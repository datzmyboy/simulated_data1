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ta\Downloads\"/>
    </mc:Choice>
  </mc:AlternateContent>
  <xr:revisionPtr revIDLastSave="0" documentId="13_ncr:1_{AEB33B2D-2252-4081-A1BB-0D9F925AB45E}" xr6:coauthVersionLast="47" xr6:coauthVersionMax="47" xr10:uidLastSave="{00000000-0000-0000-0000-000000000000}"/>
  <bookViews>
    <workbookView xWindow="-108" yWindow="-108" windowWidth="23256" windowHeight="12456" activeTab="5" xr2:uid="{00000000-000D-0000-FFFF-FFFF00000000}"/>
  </bookViews>
  <sheets>
    <sheet name="raw_data" sheetId="1" r:id="rId1"/>
    <sheet name="Task_1" sheetId="2" r:id="rId2"/>
    <sheet name="Task_2" sheetId="3" r:id="rId3"/>
    <sheet name="Task_3" sheetId="4" r:id="rId4"/>
    <sheet name="Task_4" sheetId="6" r:id="rId5"/>
    <sheet name="Management_report" sheetId="5" r:id="rId6"/>
    <sheet name="bonus" sheetId="7" r:id="rId7"/>
  </sheets>
  <calcPr calcId="191029"/>
  <pivotCaches>
    <pivotCache cacheId="1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7" l="1"/>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3" i="7"/>
  <c r="O16" i="2"/>
  <c r="Z10"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Q7" i="3"/>
  <c r="Q6"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P1005" i="3"/>
  <c r="O1005" i="3"/>
  <c r="P1004" i="3"/>
  <c r="O1004" i="3"/>
  <c r="P1003" i="3"/>
  <c r="O1003" i="3"/>
  <c r="P1002" i="3"/>
  <c r="O1002" i="3"/>
  <c r="P1001" i="3"/>
  <c r="O1001" i="3"/>
  <c r="P1000" i="3"/>
  <c r="O1000" i="3"/>
  <c r="P999" i="3"/>
  <c r="O999" i="3"/>
  <c r="P998" i="3"/>
  <c r="O998" i="3"/>
  <c r="P997" i="3"/>
  <c r="O997" i="3"/>
  <c r="P996" i="3"/>
  <c r="O996" i="3"/>
  <c r="P995" i="3"/>
  <c r="O995" i="3"/>
  <c r="P994" i="3"/>
  <c r="O994" i="3"/>
  <c r="P993" i="3"/>
  <c r="O993" i="3"/>
  <c r="P992" i="3"/>
  <c r="O992" i="3"/>
  <c r="P991" i="3"/>
  <c r="O991" i="3"/>
  <c r="P990" i="3"/>
  <c r="O990" i="3"/>
  <c r="P989" i="3"/>
  <c r="O989" i="3"/>
  <c r="P988" i="3"/>
  <c r="O988" i="3"/>
  <c r="P987" i="3"/>
  <c r="O987" i="3"/>
  <c r="P986" i="3"/>
  <c r="O986" i="3"/>
  <c r="P985" i="3"/>
  <c r="O985" i="3"/>
  <c r="P984" i="3"/>
  <c r="O984" i="3"/>
  <c r="P983" i="3"/>
  <c r="O983" i="3"/>
  <c r="P982" i="3"/>
  <c r="O982" i="3"/>
  <c r="P981" i="3"/>
  <c r="O981" i="3"/>
  <c r="P980" i="3"/>
  <c r="O980" i="3"/>
  <c r="P979" i="3"/>
  <c r="O979" i="3"/>
  <c r="P978" i="3"/>
  <c r="O978" i="3"/>
  <c r="P977" i="3"/>
  <c r="O977" i="3"/>
  <c r="P976" i="3"/>
  <c r="O976" i="3"/>
  <c r="P975" i="3"/>
  <c r="O975" i="3"/>
  <c r="P974" i="3"/>
  <c r="O974" i="3"/>
  <c r="P973" i="3"/>
  <c r="O973" i="3"/>
  <c r="P972" i="3"/>
  <c r="O972" i="3"/>
  <c r="P971" i="3"/>
  <c r="O971" i="3"/>
  <c r="P970" i="3"/>
  <c r="O970" i="3"/>
  <c r="P969" i="3"/>
  <c r="O969" i="3"/>
  <c r="P968" i="3"/>
  <c r="O968" i="3"/>
  <c r="P967" i="3"/>
  <c r="O967" i="3"/>
  <c r="P966" i="3"/>
  <c r="O966" i="3"/>
  <c r="P965" i="3"/>
  <c r="O965" i="3"/>
  <c r="P964" i="3"/>
  <c r="O964" i="3"/>
  <c r="P963" i="3"/>
  <c r="O963" i="3"/>
  <c r="P962" i="3"/>
  <c r="O962" i="3"/>
  <c r="P961" i="3"/>
  <c r="O961" i="3"/>
  <c r="P960" i="3"/>
  <c r="O960" i="3"/>
  <c r="P959" i="3"/>
  <c r="O959" i="3"/>
  <c r="P958" i="3"/>
  <c r="O958" i="3"/>
  <c r="P957" i="3"/>
  <c r="O957" i="3"/>
  <c r="P956" i="3"/>
  <c r="O956" i="3"/>
  <c r="P955" i="3"/>
  <c r="O955" i="3"/>
  <c r="P954" i="3"/>
  <c r="O954" i="3"/>
  <c r="P953" i="3"/>
  <c r="O953" i="3"/>
  <c r="P952" i="3"/>
  <c r="O952" i="3"/>
  <c r="P951" i="3"/>
  <c r="O951" i="3"/>
  <c r="P950" i="3"/>
  <c r="O950" i="3"/>
  <c r="P949" i="3"/>
  <c r="O949" i="3"/>
  <c r="P948" i="3"/>
  <c r="O948" i="3"/>
  <c r="P947" i="3"/>
  <c r="O947" i="3"/>
  <c r="P946" i="3"/>
  <c r="O946" i="3"/>
  <c r="P945" i="3"/>
  <c r="O945" i="3"/>
  <c r="P944" i="3"/>
  <c r="O944" i="3"/>
  <c r="P943" i="3"/>
  <c r="O943" i="3"/>
  <c r="P942" i="3"/>
  <c r="O942" i="3"/>
  <c r="P941" i="3"/>
  <c r="O941" i="3"/>
  <c r="P940" i="3"/>
  <c r="O940" i="3"/>
  <c r="P939" i="3"/>
  <c r="O939" i="3"/>
  <c r="P938" i="3"/>
  <c r="O938" i="3"/>
  <c r="P937" i="3"/>
  <c r="O937" i="3"/>
  <c r="P936" i="3"/>
  <c r="O936" i="3"/>
  <c r="P935" i="3"/>
  <c r="O935" i="3"/>
  <c r="P934" i="3"/>
  <c r="O934" i="3"/>
  <c r="P933" i="3"/>
  <c r="O933" i="3"/>
  <c r="P932" i="3"/>
  <c r="O932" i="3"/>
  <c r="P931" i="3"/>
  <c r="O931" i="3"/>
  <c r="P930" i="3"/>
  <c r="O930" i="3"/>
  <c r="P929" i="3"/>
  <c r="O929" i="3"/>
  <c r="P928" i="3"/>
  <c r="O928" i="3"/>
  <c r="P927" i="3"/>
  <c r="O927" i="3"/>
  <c r="P926" i="3"/>
  <c r="O926" i="3"/>
  <c r="P925" i="3"/>
  <c r="O925" i="3"/>
  <c r="P924" i="3"/>
  <c r="O924" i="3"/>
  <c r="P923" i="3"/>
  <c r="O923" i="3"/>
  <c r="P922" i="3"/>
  <c r="O922" i="3"/>
  <c r="P921" i="3"/>
  <c r="O921" i="3"/>
  <c r="P920" i="3"/>
  <c r="O920" i="3"/>
  <c r="P919" i="3"/>
  <c r="O919" i="3"/>
  <c r="P918" i="3"/>
  <c r="O918" i="3"/>
  <c r="P917" i="3"/>
  <c r="O917" i="3"/>
  <c r="P916" i="3"/>
  <c r="O916" i="3"/>
  <c r="P915" i="3"/>
  <c r="O915" i="3"/>
  <c r="P914" i="3"/>
  <c r="O914" i="3"/>
  <c r="P913" i="3"/>
  <c r="O913" i="3"/>
  <c r="P912" i="3"/>
  <c r="O912" i="3"/>
  <c r="P911" i="3"/>
  <c r="O911" i="3"/>
  <c r="P910" i="3"/>
  <c r="O910" i="3"/>
  <c r="P909" i="3"/>
  <c r="O909" i="3"/>
  <c r="P908" i="3"/>
  <c r="O908" i="3"/>
  <c r="P907" i="3"/>
  <c r="O907" i="3"/>
  <c r="P906" i="3"/>
  <c r="O906" i="3"/>
  <c r="P905" i="3"/>
  <c r="O905" i="3"/>
  <c r="P904" i="3"/>
  <c r="O904" i="3"/>
  <c r="P903" i="3"/>
  <c r="O903" i="3"/>
  <c r="P902" i="3"/>
  <c r="O902" i="3"/>
  <c r="P901" i="3"/>
  <c r="O901" i="3"/>
  <c r="P900" i="3"/>
  <c r="O900" i="3"/>
  <c r="P899" i="3"/>
  <c r="O899" i="3"/>
  <c r="P898" i="3"/>
  <c r="O898" i="3"/>
  <c r="P897" i="3"/>
  <c r="O897" i="3"/>
  <c r="P896" i="3"/>
  <c r="O896" i="3"/>
  <c r="P895" i="3"/>
  <c r="O895" i="3"/>
  <c r="P894" i="3"/>
  <c r="O894" i="3"/>
  <c r="P893" i="3"/>
  <c r="O893" i="3"/>
  <c r="P892" i="3"/>
  <c r="O892" i="3"/>
  <c r="P891" i="3"/>
  <c r="O891" i="3"/>
  <c r="P890" i="3"/>
  <c r="O890" i="3"/>
  <c r="P889" i="3"/>
  <c r="O889" i="3"/>
  <c r="P888" i="3"/>
  <c r="O888" i="3"/>
  <c r="P887" i="3"/>
  <c r="O887" i="3"/>
  <c r="P886" i="3"/>
  <c r="O886" i="3"/>
  <c r="P885" i="3"/>
  <c r="O885" i="3"/>
  <c r="P884" i="3"/>
  <c r="O884" i="3"/>
  <c r="P883" i="3"/>
  <c r="O883" i="3"/>
  <c r="P882" i="3"/>
  <c r="O882" i="3"/>
  <c r="P881" i="3"/>
  <c r="O881" i="3"/>
  <c r="P880" i="3"/>
  <c r="O880" i="3"/>
  <c r="P879" i="3"/>
  <c r="O879" i="3"/>
  <c r="P878" i="3"/>
  <c r="O878" i="3"/>
  <c r="P877" i="3"/>
  <c r="O877" i="3"/>
  <c r="P876" i="3"/>
  <c r="O876" i="3"/>
  <c r="P875" i="3"/>
  <c r="O875" i="3"/>
  <c r="P874" i="3"/>
  <c r="O874" i="3"/>
  <c r="P873" i="3"/>
  <c r="O873" i="3"/>
  <c r="P872" i="3"/>
  <c r="O872" i="3"/>
  <c r="P871" i="3"/>
  <c r="O871" i="3"/>
  <c r="P870" i="3"/>
  <c r="O870" i="3"/>
  <c r="P869" i="3"/>
  <c r="O869" i="3"/>
  <c r="P868" i="3"/>
  <c r="O868" i="3"/>
  <c r="P867" i="3"/>
  <c r="O867" i="3"/>
  <c r="P866" i="3"/>
  <c r="O866" i="3"/>
  <c r="P865" i="3"/>
  <c r="O865" i="3"/>
  <c r="P864" i="3"/>
  <c r="O864" i="3"/>
  <c r="P863" i="3"/>
  <c r="O863" i="3"/>
  <c r="P862" i="3"/>
  <c r="O862" i="3"/>
  <c r="P861" i="3"/>
  <c r="O861" i="3"/>
  <c r="P860" i="3"/>
  <c r="O860" i="3"/>
  <c r="P859" i="3"/>
  <c r="O859" i="3"/>
  <c r="P858" i="3"/>
  <c r="O858" i="3"/>
  <c r="P857" i="3"/>
  <c r="O857" i="3"/>
  <c r="P856" i="3"/>
  <c r="O856" i="3"/>
  <c r="P855" i="3"/>
  <c r="O855" i="3"/>
  <c r="P854" i="3"/>
  <c r="O854" i="3"/>
  <c r="P853" i="3"/>
  <c r="O853" i="3"/>
  <c r="P852" i="3"/>
  <c r="O852" i="3"/>
  <c r="P851" i="3"/>
  <c r="O851" i="3"/>
  <c r="P850" i="3"/>
  <c r="O850" i="3"/>
  <c r="P849" i="3"/>
  <c r="O849" i="3"/>
  <c r="P848" i="3"/>
  <c r="O848" i="3"/>
  <c r="P847" i="3"/>
  <c r="O847" i="3"/>
  <c r="P846" i="3"/>
  <c r="O846" i="3"/>
  <c r="P845" i="3"/>
  <c r="O845" i="3"/>
  <c r="P844" i="3"/>
  <c r="O844" i="3"/>
  <c r="P843" i="3"/>
  <c r="O843" i="3"/>
  <c r="P842" i="3"/>
  <c r="O842" i="3"/>
  <c r="P841" i="3"/>
  <c r="O841" i="3"/>
  <c r="P840" i="3"/>
  <c r="O840" i="3"/>
  <c r="P839" i="3"/>
  <c r="O839" i="3"/>
  <c r="P838" i="3"/>
  <c r="O838" i="3"/>
  <c r="P837" i="3"/>
  <c r="O837" i="3"/>
  <c r="P836" i="3"/>
  <c r="O836" i="3"/>
  <c r="P835" i="3"/>
  <c r="O835" i="3"/>
  <c r="P834" i="3"/>
  <c r="O834" i="3"/>
  <c r="P833" i="3"/>
  <c r="O833" i="3"/>
  <c r="P832" i="3"/>
  <c r="O832" i="3"/>
  <c r="P831" i="3"/>
  <c r="O831" i="3"/>
  <c r="P830" i="3"/>
  <c r="O830" i="3"/>
  <c r="P829" i="3"/>
  <c r="O829" i="3"/>
  <c r="P828" i="3"/>
  <c r="O828" i="3"/>
  <c r="P827" i="3"/>
  <c r="O827" i="3"/>
  <c r="P826" i="3"/>
  <c r="O826" i="3"/>
  <c r="P825" i="3"/>
  <c r="O825" i="3"/>
  <c r="P824" i="3"/>
  <c r="O824" i="3"/>
  <c r="P823" i="3"/>
  <c r="O823" i="3"/>
  <c r="P822" i="3"/>
  <c r="O822" i="3"/>
  <c r="P821" i="3"/>
  <c r="O821" i="3"/>
  <c r="P820" i="3"/>
  <c r="O820" i="3"/>
  <c r="P819" i="3"/>
  <c r="O819" i="3"/>
  <c r="P818" i="3"/>
  <c r="O818" i="3"/>
  <c r="P817" i="3"/>
  <c r="O817" i="3"/>
  <c r="P816" i="3"/>
  <c r="O816" i="3"/>
  <c r="P815" i="3"/>
  <c r="O815" i="3"/>
  <c r="P814" i="3"/>
  <c r="O814" i="3"/>
  <c r="P813" i="3"/>
  <c r="O813" i="3"/>
  <c r="P812" i="3"/>
  <c r="O812" i="3"/>
  <c r="P811" i="3"/>
  <c r="O811" i="3"/>
  <c r="P810" i="3"/>
  <c r="O810" i="3"/>
  <c r="P809" i="3"/>
  <c r="O809" i="3"/>
  <c r="P808" i="3"/>
  <c r="O808" i="3"/>
  <c r="P807" i="3"/>
  <c r="O807" i="3"/>
  <c r="P806" i="3"/>
  <c r="O806" i="3"/>
  <c r="P805" i="3"/>
  <c r="O805" i="3"/>
  <c r="P804" i="3"/>
  <c r="O804" i="3"/>
  <c r="P803" i="3"/>
  <c r="O803" i="3"/>
  <c r="P802" i="3"/>
  <c r="O802" i="3"/>
  <c r="P801" i="3"/>
  <c r="O801" i="3"/>
  <c r="P800" i="3"/>
  <c r="O800" i="3"/>
  <c r="P799" i="3"/>
  <c r="O799" i="3"/>
  <c r="P798" i="3"/>
  <c r="O798" i="3"/>
  <c r="P797" i="3"/>
  <c r="O797" i="3"/>
  <c r="P796" i="3"/>
  <c r="O796" i="3"/>
  <c r="P795" i="3"/>
  <c r="O795" i="3"/>
  <c r="P794" i="3"/>
  <c r="O794" i="3"/>
  <c r="P793" i="3"/>
  <c r="O793" i="3"/>
  <c r="P792" i="3"/>
  <c r="O792" i="3"/>
  <c r="P791" i="3"/>
  <c r="O791" i="3"/>
  <c r="P790" i="3"/>
  <c r="O790" i="3"/>
  <c r="P789" i="3"/>
  <c r="O789" i="3"/>
  <c r="P788" i="3"/>
  <c r="O788" i="3"/>
  <c r="P787" i="3"/>
  <c r="O787" i="3"/>
  <c r="P786" i="3"/>
  <c r="O786" i="3"/>
  <c r="P785" i="3"/>
  <c r="O785" i="3"/>
  <c r="P784" i="3"/>
  <c r="O784" i="3"/>
  <c r="P783" i="3"/>
  <c r="O783" i="3"/>
  <c r="P782" i="3"/>
  <c r="O782" i="3"/>
  <c r="P781" i="3"/>
  <c r="O781" i="3"/>
  <c r="P780" i="3"/>
  <c r="O780" i="3"/>
  <c r="P779" i="3"/>
  <c r="O779" i="3"/>
  <c r="P778" i="3"/>
  <c r="O778" i="3"/>
  <c r="P777" i="3"/>
  <c r="O777" i="3"/>
  <c r="P776" i="3"/>
  <c r="O776" i="3"/>
  <c r="P775" i="3"/>
  <c r="O775" i="3"/>
  <c r="P774" i="3"/>
  <c r="O774" i="3"/>
  <c r="P773" i="3"/>
  <c r="O773" i="3"/>
  <c r="P772" i="3"/>
  <c r="O772" i="3"/>
  <c r="P771" i="3"/>
  <c r="O771" i="3"/>
  <c r="P770" i="3"/>
  <c r="O770" i="3"/>
  <c r="P769" i="3"/>
  <c r="O769" i="3"/>
  <c r="P768" i="3"/>
  <c r="O768" i="3"/>
  <c r="P767" i="3"/>
  <c r="O767" i="3"/>
  <c r="P766" i="3"/>
  <c r="O766" i="3"/>
  <c r="P765" i="3"/>
  <c r="O765" i="3"/>
  <c r="P764" i="3"/>
  <c r="O764" i="3"/>
  <c r="P763" i="3"/>
  <c r="O763" i="3"/>
  <c r="P762" i="3"/>
  <c r="O762" i="3"/>
  <c r="P761" i="3"/>
  <c r="O761" i="3"/>
  <c r="P760" i="3"/>
  <c r="O760" i="3"/>
  <c r="P759" i="3"/>
  <c r="O759" i="3"/>
  <c r="P758" i="3"/>
  <c r="O758" i="3"/>
  <c r="P757" i="3"/>
  <c r="O757" i="3"/>
  <c r="P756" i="3"/>
  <c r="O756" i="3"/>
  <c r="P755" i="3"/>
  <c r="O755" i="3"/>
  <c r="P754" i="3"/>
  <c r="O754" i="3"/>
  <c r="P753" i="3"/>
  <c r="O753" i="3"/>
  <c r="P752" i="3"/>
  <c r="O752" i="3"/>
  <c r="P751" i="3"/>
  <c r="O751" i="3"/>
  <c r="P750" i="3"/>
  <c r="O750" i="3"/>
  <c r="P749" i="3"/>
  <c r="O749" i="3"/>
  <c r="P748" i="3"/>
  <c r="O748" i="3"/>
  <c r="P747" i="3"/>
  <c r="O747" i="3"/>
  <c r="P746" i="3"/>
  <c r="O746" i="3"/>
  <c r="P745" i="3"/>
  <c r="O745" i="3"/>
  <c r="P744" i="3"/>
  <c r="O744" i="3"/>
  <c r="P743" i="3"/>
  <c r="O743" i="3"/>
  <c r="P742" i="3"/>
  <c r="O742" i="3"/>
  <c r="P741" i="3"/>
  <c r="O741" i="3"/>
  <c r="P740" i="3"/>
  <c r="O740" i="3"/>
  <c r="P739" i="3"/>
  <c r="O739" i="3"/>
  <c r="P738" i="3"/>
  <c r="O738" i="3"/>
  <c r="P737" i="3"/>
  <c r="O737" i="3"/>
  <c r="P736" i="3"/>
  <c r="O736" i="3"/>
  <c r="P735" i="3"/>
  <c r="O735" i="3"/>
  <c r="P734" i="3"/>
  <c r="O734" i="3"/>
  <c r="P733" i="3"/>
  <c r="O733" i="3"/>
  <c r="P732" i="3"/>
  <c r="O732" i="3"/>
  <c r="P731" i="3"/>
  <c r="O731" i="3"/>
  <c r="P730" i="3"/>
  <c r="O730" i="3"/>
  <c r="P729" i="3"/>
  <c r="O729" i="3"/>
  <c r="P728" i="3"/>
  <c r="O728" i="3"/>
  <c r="P727" i="3"/>
  <c r="O727" i="3"/>
  <c r="P726" i="3"/>
  <c r="O726" i="3"/>
  <c r="P725" i="3"/>
  <c r="O725" i="3"/>
  <c r="P724" i="3"/>
  <c r="O724" i="3"/>
  <c r="P723" i="3"/>
  <c r="O723" i="3"/>
  <c r="P722" i="3"/>
  <c r="O722" i="3"/>
  <c r="P721" i="3"/>
  <c r="O721" i="3"/>
  <c r="P720" i="3"/>
  <c r="O720" i="3"/>
  <c r="P719" i="3"/>
  <c r="O719" i="3"/>
  <c r="P718" i="3"/>
  <c r="O718" i="3"/>
  <c r="P717" i="3"/>
  <c r="O717" i="3"/>
  <c r="P716" i="3"/>
  <c r="O716" i="3"/>
  <c r="P715" i="3"/>
  <c r="O715" i="3"/>
  <c r="P714" i="3"/>
  <c r="O714" i="3"/>
  <c r="P713" i="3"/>
  <c r="O713" i="3"/>
  <c r="P712" i="3"/>
  <c r="O712" i="3"/>
  <c r="P711" i="3"/>
  <c r="O711" i="3"/>
  <c r="P710" i="3"/>
  <c r="O710" i="3"/>
  <c r="P709" i="3"/>
  <c r="O709" i="3"/>
  <c r="P708" i="3"/>
  <c r="O708" i="3"/>
  <c r="P707" i="3"/>
  <c r="O707" i="3"/>
  <c r="P706" i="3"/>
  <c r="O706" i="3"/>
  <c r="P705" i="3"/>
  <c r="O705" i="3"/>
  <c r="P704" i="3"/>
  <c r="O704" i="3"/>
  <c r="P703" i="3"/>
  <c r="O703" i="3"/>
  <c r="P702" i="3"/>
  <c r="O702" i="3"/>
  <c r="P701" i="3"/>
  <c r="O701" i="3"/>
  <c r="P700" i="3"/>
  <c r="O700" i="3"/>
  <c r="P699" i="3"/>
  <c r="O699" i="3"/>
  <c r="P698" i="3"/>
  <c r="O698" i="3"/>
  <c r="P697" i="3"/>
  <c r="O697" i="3"/>
  <c r="P696" i="3"/>
  <c r="O696" i="3"/>
  <c r="P695" i="3"/>
  <c r="O695" i="3"/>
  <c r="P694" i="3"/>
  <c r="O694" i="3"/>
  <c r="P693" i="3"/>
  <c r="O693" i="3"/>
  <c r="P692" i="3"/>
  <c r="O692" i="3"/>
  <c r="P691" i="3"/>
  <c r="O691" i="3"/>
  <c r="P690" i="3"/>
  <c r="O690" i="3"/>
  <c r="P689" i="3"/>
  <c r="O689" i="3"/>
  <c r="P688" i="3"/>
  <c r="O688" i="3"/>
  <c r="P687" i="3"/>
  <c r="O687" i="3"/>
  <c r="P686" i="3"/>
  <c r="O686" i="3"/>
  <c r="P685" i="3"/>
  <c r="O685" i="3"/>
  <c r="P684" i="3"/>
  <c r="O684" i="3"/>
  <c r="P683" i="3"/>
  <c r="O683" i="3"/>
  <c r="P682" i="3"/>
  <c r="O682" i="3"/>
  <c r="P681" i="3"/>
  <c r="O681" i="3"/>
  <c r="P680" i="3"/>
  <c r="O680" i="3"/>
  <c r="P679" i="3"/>
  <c r="O679" i="3"/>
  <c r="P678" i="3"/>
  <c r="O678" i="3"/>
  <c r="P677" i="3"/>
  <c r="O677" i="3"/>
  <c r="P676" i="3"/>
  <c r="O676" i="3"/>
  <c r="P675" i="3"/>
  <c r="O675" i="3"/>
  <c r="P674" i="3"/>
  <c r="O674" i="3"/>
  <c r="P673" i="3"/>
  <c r="O673" i="3"/>
  <c r="P672" i="3"/>
  <c r="O672" i="3"/>
  <c r="P671" i="3"/>
  <c r="O671" i="3"/>
  <c r="P670" i="3"/>
  <c r="O670" i="3"/>
  <c r="P669" i="3"/>
  <c r="O669" i="3"/>
  <c r="P668" i="3"/>
  <c r="O668" i="3"/>
  <c r="P667" i="3"/>
  <c r="O667" i="3"/>
  <c r="P666" i="3"/>
  <c r="O666" i="3"/>
  <c r="P665" i="3"/>
  <c r="O665" i="3"/>
  <c r="P664" i="3"/>
  <c r="O664" i="3"/>
  <c r="P663" i="3"/>
  <c r="O663" i="3"/>
  <c r="P662" i="3"/>
  <c r="O662" i="3"/>
  <c r="P661" i="3"/>
  <c r="O661" i="3"/>
  <c r="P660" i="3"/>
  <c r="O660" i="3"/>
  <c r="P659" i="3"/>
  <c r="O659" i="3"/>
  <c r="P658" i="3"/>
  <c r="O658" i="3"/>
  <c r="P657" i="3"/>
  <c r="O657" i="3"/>
  <c r="P656" i="3"/>
  <c r="O656" i="3"/>
  <c r="P655" i="3"/>
  <c r="O655" i="3"/>
  <c r="P654" i="3"/>
  <c r="O654" i="3"/>
  <c r="P653" i="3"/>
  <c r="O653" i="3"/>
  <c r="P652" i="3"/>
  <c r="O652" i="3"/>
  <c r="P651" i="3"/>
  <c r="O651" i="3"/>
  <c r="P650" i="3"/>
  <c r="O650" i="3"/>
  <c r="P649" i="3"/>
  <c r="O649" i="3"/>
  <c r="P648" i="3"/>
  <c r="O648" i="3"/>
  <c r="P647" i="3"/>
  <c r="O647" i="3"/>
  <c r="P646" i="3"/>
  <c r="O646" i="3"/>
  <c r="P645" i="3"/>
  <c r="O645" i="3"/>
  <c r="P644" i="3"/>
  <c r="O644" i="3"/>
  <c r="P643" i="3"/>
  <c r="O643" i="3"/>
  <c r="P642" i="3"/>
  <c r="O642" i="3"/>
  <c r="P641" i="3"/>
  <c r="O641" i="3"/>
  <c r="P640" i="3"/>
  <c r="O640" i="3"/>
  <c r="P639" i="3"/>
  <c r="O639" i="3"/>
  <c r="P638" i="3"/>
  <c r="O638" i="3"/>
  <c r="P637" i="3"/>
  <c r="O637" i="3"/>
  <c r="P636" i="3"/>
  <c r="O636" i="3"/>
  <c r="P635" i="3"/>
  <c r="O635" i="3"/>
  <c r="P634" i="3"/>
  <c r="O634" i="3"/>
  <c r="P633" i="3"/>
  <c r="O633" i="3"/>
  <c r="P632" i="3"/>
  <c r="O632" i="3"/>
  <c r="P631" i="3"/>
  <c r="O631" i="3"/>
  <c r="P630" i="3"/>
  <c r="O630" i="3"/>
  <c r="P629" i="3"/>
  <c r="O629" i="3"/>
  <c r="P628" i="3"/>
  <c r="O628" i="3"/>
  <c r="P627" i="3"/>
  <c r="O627" i="3"/>
  <c r="P626" i="3"/>
  <c r="O626" i="3"/>
  <c r="P625" i="3"/>
  <c r="O625" i="3"/>
  <c r="P624" i="3"/>
  <c r="O624" i="3"/>
  <c r="P623" i="3"/>
  <c r="O623" i="3"/>
  <c r="P622" i="3"/>
  <c r="O622" i="3"/>
  <c r="P621" i="3"/>
  <c r="O621" i="3"/>
  <c r="P620" i="3"/>
  <c r="O620" i="3"/>
  <c r="P619" i="3"/>
  <c r="O619" i="3"/>
  <c r="P618" i="3"/>
  <c r="O618" i="3"/>
  <c r="P617" i="3"/>
  <c r="O617" i="3"/>
  <c r="P616" i="3"/>
  <c r="O616" i="3"/>
  <c r="P615" i="3"/>
  <c r="O615" i="3"/>
  <c r="P614" i="3"/>
  <c r="O614" i="3"/>
  <c r="P613" i="3"/>
  <c r="O613" i="3"/>
  <c r="P612" i="3"/>
  <c r="O612" i="3"/>
  <c r="P611" i="3"/>
  <c r="O611" i="3"/>
  <c r="P610" i="3"/>
  <c r="O610" i="3"/>
  <c r="P609" i="3"/>
  <c r="O609" i="3"/>
  <c r="P608" i="3"/>
  <c r="O608" i="3"/>
  <c r="P607" i="3"/>
  <c r="O607" i="3"/>
  <c r="P606" i="3"/>
  <c r="O606" i="3"/>
  <c r="P605" i="3"/>
  <c r="O605" i="3"/>
  <c r="P604" i="3"/>
  <c r="O604" i="3"/>
  <c r="P603" i="3"/>
  <c r="O603" i="3"/>
  <c r="P602" i="3"/>
  <c r="O602" i="3"/>
  <c r="P601" i="3"/>
  <c r="O601" i="3"/>
  <c r="P600" i="3"/>
  <c r="O600" i="3"/>
  <c r="P599" i="3"/>
  <c r="O599" i="3"/>
  <c r="P598" i="3"/>
  <c r="O598" i="3"/>
  <c r="P597" i="3"/>
  <c r="O597" i="3"/>
  <c r="P596" i="3"/>
  <c r="O596" i="3"/>
  <c r="P595" i="3"/>
  <c r="O595" i="3"/>
  <c r="P594" i="3"/>
  <c r="O594" i="3"/>
  <c r="P593" i="3"/>
  <c r="O593" i="3"/>
  <c r="P592" i="3"/>
  <c r="O592" i="3"/>
  <c r="P591" i="3"/>
  <c r="O591" i="3"/>
  <c r="P590" i="3"/>
  <c r="O590" i="3"/>
  <c r="P589" i="3"/>
  <c r="O589" i="3"/>
  <c r="P588" i="3"/>
  <c r="O588" i="3"/>
  <c r="P587" i="3"/>
  <c r="O587" i="3"/>
  <c r="P586" i="3"/>
  <c r="O586" i="3"/>
  <c r="P585" i="3"/>
  <c r="O585" i="3"/>
  <c r="P584" i="3"/>
  <c r="O584" i="3"/>
  <c r="P583" i="3"/>
  <c r="O583" i="3"/>
  <c r="P582" i="3"/>
  <c r="O582" i="3"/>
  <c r="P581" i="3"/>
  <c r="O581" i="3"/>
  <c r="P580" i="3"/>
  <c r="O580" i="3"/>
  <c r="P579" i="3"/>
  <c r="O579" i="3"/>
  <c r="P578" i="3"/>
  <c r="O578" i="3"/>
  <c r="P577" i="3"/>
  <c r="O577" i="3"/>
  <c r="P576" i="3"/>
  <c r="O576" i="3"/>
  <c r="P575" i="3"/>
  <c r="O575" i="3"/>
  <c r="P574" i="3"/>
  <c r="O574" i="3"/>
  <c r="P573" i="3"/>
  <c r="O573" i="3"/>
  <c r="P572" i="3"/>
  <c r="O572" i="3"/>
  <c r="P571" i="3"/>
  <c r="O571" i="3"/>
  <c r="P570" i="3"/>
  <c r="O570" i="3"/>
  <c r="P569" i="3"/>
  <c r="O569" i="3"/>
  <c r="P568" i="3"/>
  <c r="O568" i="3"/>
  <c r="P567" i="3"/>
  <c r="O567" i="3"/>
  <c r="P566" i="3"/>
  <c r="O566" i="3"/>
  <c r="P565" i="3"/>
  <c r="O565" i="3"/>
  <c r="P564" i="3"/>
  <c r="O564" i="3"/>
  <c r="P563" i="3"/>
  <c r="O563" i="3"/>
  <c r="P562" i="3"/>
  <c r="O562" i="3"/>
  <c r="P561" i="3"/>
  <c r="O561" i="3"/>
  <c r="P560" i="3"/>
  <c r="O560" i="3"/>
  <c r="P559" i="3"/>
  <c r="O559" i="3"/>
  <c r="P558" i="3"/>
  <c r="O558" i="3"/>
  <c r="P557" i="3"/>
  <c r="O557" i="3"/>
  <c r="P556" i="3"/>
  <c r="O556" i="3"/>
  <c r="P555" i="3"/>
  <c r="O555" i="3"/>
  <c r="P554" i="3"/>
  <c r="O554" i="3"/>
  <c r="P553" i="3"/>
  <c r="O553" i="3"/>
  <c r="P552" i="3"/>
  <c r="O552" i="3"/>
  <c r="P551" i="3"/>
  <c r="O551" i="3"/>
  <c r="P550" i="3"/>
  <c r="O550" i="3"/>
  <c r="P549" i="3"/>
  <c r="O549" i="3"/>
  <c r="P548" i="3"/>
  <c r="O548" i="3"/>
  <c r="P547" i="3"/>
  <c r="O547" i="3"/>
  <c r="P546" i="3"/>
  <c r="O546" i="3"/>
  <c r="P545" i="3"/>
  <c r="O545" i="3"/>
  <c r="P544" i="3"/>
  <c r="O544" i="3"/>
  <c r="P543" i="3"/>
  <c r="O543" i="3"/>
  <c r="P542" i="3"/>
  <c r="O542" i="3"/>
  <c r="P541" i="3"/>
  <c r="O541" i="3"/>
  <c r="P540" i="3"/>
  <c r="O540" i="3"/>
  <c r="P539" i="3"/>
  <c r="O539" i="3"/>
  <c r="P538" i="3"/>
  <c r="O538" i="3"/>
  <c r="P537" i="3"/>
  <c r="O537" i="3"/>
  <c r="P536" i="3"/>
  <c r="O536" i="3"/>
  <c r="P535" i="3"/>
  <c r="O535" i="3"/>
  <c r="P534" i="3"/>
  <c r="O534" i="3"/>
  <c r="P533" i="3"/>
  <c r="O533" i="3"/>
  <c r="P532" i="3"/>
  <c r="O532" i="3"/>
  <c r="P531" i="3"/>
  <c r="O531" i="3"/>
  <c r="P530" i="3"/>
  <c r="O530" i="3"/>
  <c r="P529" i="3"/>
  <c r="O529" i="3"/>
  <c r="P528" i="3"/>
  <c r="O528" i="3"/>
  <c r="P527" i="3"/>
  <c r="O527" i="3"/>
  <c r="P526" i="3"/>
  <c r="O526" i="3"/>
  <c r="P525" i="3"/>
  <c r="O525" i="3"/>
  <c r="P524" i="3"/>
  <c r="O524" i="3"/>
  <c r="P523" i="3"/>
  <c r="O523" i="3"/>
  <c r="P522" i="3"/>
  <c r="O522" i="3"/>
  <c r="P521" i="3"/>
  <c r="O521" i="3"/>
  <c r="P520" i="3"/>
  <c r="O520" i="3"/>
  <c r="P519" i="3"/>
  <c r="O519" i="3"/>
  <c r="P518" i="3"/>
  <c r="O518" i="3"/>
  <c r="P517" i="3"/>
  <c r="O517" i="3"/>
  <c r="P516" i="3"/>
  <c r="O516" i="3"/>
  <c r="P515" i="3"/>
  <c r="O515" i="3"/>
  <c r="P514" i="3"/>
  <c r="O514" i="3"/>
  <c r="P513" i="3"/>
  <c r="O513" i="3"/>
  <c r="P512" i="3"/>
  <c r="O512" i="3"/>
  <c r="P511" i="3"/>
  <c r="O511" i="3"/>
  <c r="P510" i="3"/>
  <c r="O510" i="3"/>
  <c r="P509" i="3"/>
  <c r="O509" i="3"/>
  <c r="P508" i="3"/>
  <c r="O508" i="3"/>
  <c r="P507" i="3"/>
  <c r="O507" i="3"/>
  <c r="P506" i="3"/>
  <c r="O506" i="3"/>
  <c r="P505" i="3"/>
  <c r="O505" i="3"/>
  <c r="P504" i="3"/>
  <c r="O504" i="3"/>
  <c r="P503" i="3"/>
  <c r="O503" i="3"/>
  <c r="P502" i="3"/>
  <c r="O502" i="3"/>
  <c r="P501" i="3"/>
  <c r="O501" i="3"/>
  <c r="P500" i="3"/>
  <c r="O500" i="3"/>
  <c r="P499" i="3"/>
  <c r="O499" i="3"/>
  <c r="P498" i="3"/>
  <c r="O498" i="3"/>
  <c r="P497" i="3"/>
  <c r="O497" i="3"/>
  <c r="P496" i="3"/>
  <c r="O496" i="3"/>
  <c r="P495" i="3"/>
  <c r="O495" i="3"/>
  <c r="P494" i="3"/>
  <c r="O494" i="3"/>
  <c r="P493" i="3"/>
  <c r="O493" i="3"/>
  <c r="P492" i="3"/>
  <c r="O492" i="3"/>
  <c r="P491" i="3"/>
  <c r="O491" i="3"/>
  <c r="P490" i="3"/>
  <c r="O490" i="3"/>
  <c r="P489" i="3"/>
  <c r="O489" i="3"/>
  <c r="P488" i="3"/>
  <c r="O488" i="3"/>
  <c r="P487" i="3"/>
  <c r="O487" i="3"/>
  <c r="P486" i="3"/>
  <c r="O486" i="3"/>
  <c r="P485" i="3"/>
  <c r="O485" i="3"/>
  <c r="P484" i="3"/>
  <c r="O484" i="3"/>
  <c r="P483" i="3"/>
  <c r="O483" i="3"/>
  <c r="P482" i="3"/>
  <c r="O482" i="3"/>
  <c r="P481" i="3"/>
  <c r="O481" i="3"/>
  <c r="P480" i="3"/>
  <c r="O480" i="3"/>
  <c r="P479" i="3"/>
  <c r="O479" i="3"/>
  <c r="P478" i="3"/>
  <c r="O478" i="3"/>
  <c r="P477" i="3"/>
  <c r="O477" i="3"/>
  <c r="P476" i="3"/>
  <c r="O476" i="3"/>
  <c r="P475" i="3"/>
  <c r="O475" i="3"/>
  <c r="P474" i="3"/>
  <c r="O474" i="3"/>
  <c r="P473" i="3"/>
  <c r="O473" i="3"/>
  <c r="P472" i="3"/>
  <c r="O472" i="3"/>
  <c r="P471" i="3"/>
  <c r="O471" i="3"/>
  <c r="P470" i="3"/>
  <c r="O470" i="3"/>
  <c r="P469" i="3"/>
  <c r="O469" i="3"/>
  <c r="P468" i="3"/>
  <c r="O468" i="3"/>
  <c r="P467" i="3"/>
  <c r="O467" i="3"/>
  <c r="P466" i="3"/>
  <c r="O466" i="3"/>
  <c r="P465" i="3"/>
  <c r="O465" i="3"/>
  <c r="P464" i="3"/>
  <c r="O464" i="3"/>
  <c r="P463" i="3"/>
  <c r="O463" i="3"/>
  <c r="P462" i="3"/>
  <c r="O462" i="3"/>
  <c r="P461" i="3"/>
  <c r="O461" i="3"/>
  <c r="P460" i="3"/>
  <c r="O460" i="3"/>
  <c r="P459" i="3"/>
  <c r="O459" i="3"/>
  <c r="P458" i="3"/>
  <c r="O458" i="3"/>
  <c r="P457" i="3"/>
  <c r="O457" i="3"/>
  <c r="P456" i="3"/>
  <c r="O456" i="3"/>
  <c r="P455" i="3"/>
  <c r="O455" i="3"/>
  <c r="P454" i="3"/>
  <c r="O454" i="3"/>
  <c r="P453" i="3"/>
  <c r="O453" i="3"/>
  <c r="P452" i="3"/>
  <c r="O452" i="3"/>
  <c r="P451" i="3"/>
  <c r="O451" i="3"/>
  <c r="P450" i="3"/>
  <c r="O450" i="3"/>
  <c r="P449" i="3"/>
  <c r="O449" i="3"/>
  <c r="P448" i="3"/>
  <c r="O448" i="3"/>
  <c r="P447" i="3"/>
  <c r="O447" i="3"/>
  <c r="P446" i="3"/>
  <c r="O446" i="3"/>
  <c r="P445" i="3"/>
  <c r="O445" i="3"/>
  <c r="P444" i="3"/>
  <c r="O444" i="3"/>
  <c r="P443" i="3"/>
  <c r="O443" i="3"/>
  <c r="P442" i="3"/>
  <c r="O442" i="3"/>
  <c r="P441" i="3"/>
  <c r="O441" i="3"/>
  <c r="P440" i="3"/>
  <c r="O440" i="3"/>
  <c r="P439" i="3"/>
  <c r="O439" i="3"/>
  <c r="P438" i="3"/>
  <c r="O438" i="3"/>
  <c r="P437" i="3"/>
  <c r="O437" i="3"/>
  <c r="P436" i="3"/>
  <c r="O436" i="3"/>
  <c r="P435" i="3"/>
  <c r="O435" i="3"/>
  <c r="P434" i="3"/>
  <c r="O434" i="3"/>
  <c r="P433" i="3"/>
  <c r="O433" i="3"/>
  <c r="P432" i="3"/>
  <c r="O432" i="3"/>
  <c r="P431" i="3"/>
  <c r="O431" i="3"/>
  <c r="P430" i="3"/>
  <c r="O430" i="3"/>
  <c r="P429" i="3"/>
  <c r="O429" i="3"/>
  <c r="P428" i="3"/>
  <c r="O428" i="3"/>
  <c r="P427" i="3"/>
  <c r="O427" i="3"/>
  <c r="P426" i="3"/>
  <c r="O426" i="3"/>
  <c r="P425" i="3"/>
  <c r="O425" i="3"/>
  <c r="P424" i="3"/>
  <c r="O424" i="3"/>
  <c r="P423" i="3"/>
  <c r="O423" i="3"/>
  <c r="P422" i="3"/>
  <c r="O422" i="3"/>
  <c r="P421" i="3"/>
  <c r="O421" i="3"/>
  <c r="P420" i="3"/>
  <c r="O420" i="3"/>
  <c r="P419" i="3"/>
  <c r="O419" i="3"/>
  <c r="P418" i="3"/>
  <c r="O418" i="3"/>
  <c r="P417" i="3"/>
  <c r="O417" i="3"/>
  <c r="P416" i="3"/>
  <c r="O416" i="3"/>
  <c r="P415" i="3"/>
  <c r="O415" i="3"/>
  <c r="P414" i="3"/>
  <c r="O414" i="3"/>
  <c r="P413" i="3"/>
  <c r="O413" i="3"/>
  <c r="P412" i="3"/>
  <c r="O412" i="3"/>
  <c r="P411" i="3"/>
  <c r="O411" i="3"/>
  <c r="P410" i="3"/>
  <c r="O410" i="3"/>
  <c r="P409" i="3"/>
  <c r="O409" i="3"/>
  <c r="P408" i="3"/>
  <c r="O408" i="3"/>
  <c r="P407" i="3"/>
  <c r="O407" i="3"/>
  <c r="P406" i="3"/>
  <c r="O406" i="3"/>
  <c r="P405" i="3"/>
  <c r="O405" i="3"/>
  <c r="P404" i="3"/>
  <c r="O404" i="3"/>
  <c r="P403" i="3"/>
  <c r="O403" i="3"/>
  <c r="P402" i="3"/>
  <c r="O402" i="3"/>
  <c r="P401" i="3"/>
  <c r="O401" i="3"/>
  <c r="P400" i="3"/>
  <c r="O400" i="3"/>
  <c r="P399" i="3"/>
  <c r="O399" i="3"/>
  <c r="P398" i="3"/>
  <c r="O398" i="3"/>
  <c r="P397" i="3"/>
  <c r="O397" i="3"/>
  <c r="P396" i="3"/>
  <c r="O396" i="3"/>
  <c r="P395" i="3"/>
  <c r="O395" i="3"/>
  <c r="P394" i="3"/>
  <c r="O394" i="3"/>
  <c r="P393" i="3"/>
  <c r="O393" i="3"/>
  <c r="P392" i="3"/>
  <c r="O392" i="3"/>
  <c r="P391" i="3"/>
  <c r="O391" i="3"/>
  <c r="P390" i="3"/>
  <c r="O390" i="3"/>
  <c r="P389" i="3"/>
  <c r="O389" i="3"/>
  <c r="P388" i="3"/>
  <c r="O388" i="3"/>
  <c r="P387" i="3"/>
  <c r="O387" i="3"/>
  <c r="P386" i="3"/>
  <c r="O386" i="3"/>
  <c r="P385" i="3"/>
  <c r="O385" i="3"/>
  <c r="P384" i="3"/>
  <c r="O384" i="3"/>
  <c r="P383" i="3"/>
  <c r="O383" i="3"/>
  <c r="P382" i="3"/>
  <c r="O382" i="3"/>
  <c r="P381" i="3"/>
  <c r="O381" i="3"/>
  <c r="P380" i="3"/>
  <c r="O380" i="3"/>
  <c r="P379" i="3"/>
  <c r="O379" i="3"/>
  <c r="P378" i="3"/>
  <c r="O378" i="3"/>
  <c r="P377" i="3"/>
  <c r="O377" i="3"/>
  <c r="P376" i="3"/>
  <c r="O376" i="3"/>
  <c r="P375" i="3"/>
  <c r="O375" i="3"/>
  <c r="P374" i="3"/>
  <c r="O374" i="3"/>
  <c r="P373" i="3"/>
  <c r="O373" i="3"/>
  <c r="P372" i="3"/>
  <c r="O372" i="3"/>
  <c r="P371" i="3"/>
  <c r="O371" i="3"/>
  <c r="P370" i="3"/>
  <c r="O370" i="3"/>
  <c r="P369" i="3"/>
  <c r="O369" i="3"/>
  <c r="P368" i="3"/>
  <c r="O368" i="3"/>
  <c r="P367" i="3"/>
  <c r="O367" i="3"/>
  <c r="P366" i="3"/>
  <c r="O366" i="3"/>
  <c r="P365" i="3"/>
  <c r="O365" i="3"/>
  <c r="P364" i="3"/>
  <c r="P363" i="3"/>
  <c r="O363" i="3"/>
  <c r="P362" i="3"/>
  <c r="O362" i="3"/>
  <c r="P361" i="3"/>
  <c r="O361" i="3"/>
  <c r="P360" i="3"/>
  <c r="O360" i="3"/>
  <c r="P359" i="3"/>
  <c r="O359" i="3"/>
  <c r="P358" i="3"/>
  <c r="O358" i="3"/>
  <c r="P357" i="3"/>
  <c r="O357" i="3"/>
  <c r="P356" i="3"/>
  <c r="O356" i="3"/>
  <c r="P355" i="3"/>
  <c r="O355" i="3"/>
  <c r="P354" i="3"/>
  <c r="O354" i="3"/>
  <c r="P353" i="3"/>
  <c r="O353" i="3"/>
  <c r="P352" i="3"/>
  <c r="O352" i="3"/>
  <c r="P351" i="3"/>
  <c r="O351" i="3"/>
  <c r="P350" i="3"/>
  <c r="O350" i="3"/>
  <c r="P349" i="3"/>
  <c r="O349" i="3"/>
  <c r="P348" i="3"/>
  <c r="O348" i="3"/>
  <c r="P347" i="3"/>
  <c r="O347" i="3"/>
  <c r="P346" i="3"/>
  <c r="O346" i="3"/>
  <c r="P345" i="3"/>
  <c r="O345" i="3"/>
  <c r="P344" i="3"/>
  <c r="O344" i="3"/>
  <c r="P343" i="3"/>
  <c r="O343" i="3"/>
  <c r="P342" i="3"/>
  <c r="O342" i="3"/>
  <c r="P341" i="3"/>
  <c r="O341" i="3"/>
  <c r="P340" i="3"/>
  <c r="O340" i="3"/>
  <c r="P339" i="3"/>
  <c r="O339" i="3"/>
  <c r="P338" i="3"/>
  <c r="O338" i="3"/>
  <c r="P337" i="3"/>
  <c r="O337" i="3"/>
  <c r="P336" i="3"/>
  <c r="O336" i="3"/>
  <c r="P335" i="3"/>
  <c r="O335" i="3"/>
  <c r="P334" i="3"/>
  <c r="O334" i="3"/>
  <c r="P333" i="3"/>
  <c r="O333" i="3"/>
  <c r="P332" i="3"/>
  <c r="O332" i="3"/>
  <c r="P331" i="3"/>
  <c r="O331" i="3"/>
  <c r="P330" i="3"/>
  <c r="O330" i="3"/>
  <c r="P329" i="3"/>
  <c r="O329" i="3"/>
  <c r="P328" i="3"/>
  <c r="O328" i="3"/>
  <c r="P327" i="3"/>
  <c r="O327" i="3"/>
  <c r="P326" i="3"/>
  <c r="O326" i="3"/>
  <c r="P325" i="3"/>
  <c r="O325" i="3"/>
  <c r="P324" i="3"/>
  <c r="O324" i="3"/>
  <c r="P323" i="3"/>
  <c r="O323" i="3"/>
  <c r="P322" i="3"/>
  <c r="O322" i="3"/>
  <c r="P321" i="3"/>
  <c r="O321" i="3"/>
  <c r="P320" i="3"/>
  <c r="O320" i="3"/>
  <c r="P319" i="3"/>
  <c r="O319" i="3"/>
  <c r="P318" i="3"/>
  <c r="O318" i="3"/>
  <c r="P317" i="3"/>
  <c r="O317" i="3"/>
  <c r="P316" i="3"/>
  <c r="O316" i="3"/>
  <c r="P315" i="3"/>
  <c r="O315" i="3"/>
  <c r="P314" i="3"/>
  <c r="O314" i="3"/>
  <c r="P313" i="3"/>
  <c r="O313" i="3"/>
  <c r="P312" i="3"/>
  <c r="O312" i="3"/>
  <c r="P311" i="3"/>
  <c r="O311" i="3"/>
  <c r="P310" i="3"/>
  <c r="O310" i="3"/>
  <c r="P309" i="3"/>
  <c r="O309" i="3"/>
  <c r="P308" i="3"/>
  <c r="O308" i="3"/>
  <c r="P307" i="3"/>
  <c r="O307" i="3"/>
  <c r="P306" i="3"/>
  <c r="O306" i="3"/>
  <c r="P305" i="3"/>
  <c r="O305" i="3"/>
  <c r="P304" i="3"/>
  <c r="O304" i="3"/>
  <c r="P303" i="3"/>
  <c r="O303" i="3"/>
  <c r="P302" i="3"/>
  <c r="O302" i="3"/>
  <c r="P301" i="3"/>
  <c r="O301" i="3"/>
  <c r="P300" i="3"/>
  <c r="O300" i="3"/>
  <c r="P299" i="3"/>
  <c r="O299" i="3"/>
  <c r="P298" i="3"/>
  <c r="O298" i="3"/>
  <c r="P297" i="3"/>
  <c r="O297" i="3"/>
  <c r="P296" i="3"/>
  <c r="O296" i="3"/>
  <c r="P295" i="3"/>
  <c r="O295" i="3"/>
  <c r="P294" i="3"/>
  <c r="O294" i="3"/>
  <c r="P293" i="3"/>
  <c r="O293" i="3"/>
  <c r="P292" i="3"/>
  <c r="O292" i="3"/>
  <c r="P291" i="3"/>
  <c r="O291" i="3"/>
  <c r="P290" i="3"/>
  <c r="O290" i="3"/>
  <c r="P289" i="3"/>
  <c r="O289" i="3"/>
  <c r="P288" i="3"/>
  <c r="O288" i="3"/>
  <c r="P287" i="3"/>
  <c r="O287" i="3"/>
  <c r="P286" i="3"/>
  <c r="O286" i="3"/>
  <c r="P285" i="3"/>
  <c r="O285" i="3"/>
  <c r="P284" i="3"/>
  <c r="O284" i="3"/>
  <c r="P283" i="3"/>
  <c r="O283" i="3"/>
  <c r="P282" i="3"/>
  <c r="O282" i="3"/>
  <c r="P281" i="3"/>
  <c r="O281" i="3"/>
  <c r="P280" i="3"/>
  <c r="O280" i="3"/>
  <c r="P279" i="3"/>
  <c r="O279" i="3"/>
  <c r="P278" i="3"/>
  <c r="O278" i="3"/>
  <c r="P277" i="3"/>
  <c r="O277" i="3"/>
  <c r="P276" i="3"/>
  <c r="O276" i="3"/>
  <c r="P275" i="3"/>
  <c r="O275" i="3"/>
  <c r="P274" i="3"/>
  <c r="O274" i="3"/>
  <c r="P273" i="3"/>
  <c r="O273" i="3"/>
  <c r="P272" i="3"/>
  <c r="O272" i="3"/>
  <c r="P271" i="3"/>
  <c r="O271" i="3"/>
  <c r="P270" i="3"/>
  <c r="O270" i="3"/>
  <c r="P269" i="3"/>
  <c r="O269" i="3"/>
  <c r="P268" i="3"/>
  <c r="O268" i="3"/>
  <c r="P267" i="3"/>
  <c r="O267" i="3"/>
  <c r="P266" i="3"/>
  <c r="O266" i="3"/>
  <c r="P265" i="3"/>
  <c r="O265" i="3"/>
  <c r="P264" i="3"/>
  <c r="O264" i="3"/>
  <c r="P263" i="3"/>
  <c r="O263" i="3"/>
  <c r="P262" i="3"/>
  <c r="O262" i="3"/>
  <c r="P261" i="3"/>
  <c r="O261" i="3"/>
  <c r="P260" i="3"/>
  <c r="O260" i="3"/>
  <c r="P259" i="3"/>
  <c r="O259" i="3"/>
  <c r="P258" i="3"/>
  <c r="O258" i="3"/>
  <c r="P257" i="3"/>
  <c r="O257" i="3"/>
  <c r="P256" i="3"/>
  <c r="O256" i="3"/>
  <c r="P255" i="3"/>
  <c r="O255" i="3"/>
  <c r="P254" i="3"/>
  <c r="O254" i="3"/>
  <c r="P253" i="3"/>
  <c r="O253" i="3"/>
  <c r="P252" i="3"/>
  <c r="O252" i="3"/>
  <c r="P251" i="3"/>
  <c r="O251" i="3"/>
  <c r="P250" i="3"/>
  <c r="O250" i="3"/>
  <c r="P249" i="3"/>
  <c r="O249" i="3"/>
  <c r="P248" i="3"/>
  <c r="O248" i="3"/>
  <c r="P247" i="3"/>
  <c r="O247" i="3"/>
  <c r="P246" i="3"/>
  <c r="O246" i="3"/>
  <c r="P245" i="3"/>
  <c r="O245" i="3"/>
  <c r="P244" i="3"/>
  <c r="O244" i="3"/>
  <c r="P243" i="3"/>
  <c r="O243" i="3"/>
  <c r="P242" i="3"/>
  <c r="O242" i="3"/>
  <c r="P241" i="3"/>
  <c r="O241" i="3"/>
  <c r="P240" i="3"/>
  <c r="O240" i="3"/>
  <c r="P239" i="3"/>
  <c r="O239" i="3"/>
  <c r="P238" i="3"/>
  <c r="O238" i="3"/>
  <c r="P237" i="3"/>
  <c r="O237" i="3"/>
  <c r="P236" i="3"/>
  <c r="O236" i="3"/>
  <c r="P235" i="3"/>
  <c r="O235" i="3"/>
  <c r="P234" i="3"/>
  <c r="O234" i="3"/>
  <c r="P233" i="3"/>
  <c r="O233" i="3"/>
  <c r="P232" i="3"/>
  <c r="O232" i="3"/>
  <c r="P231" i="3"/>
  <c r="O231" i="3"/>
  <c r="P230" i="3"/>
  <c r="O230" i="3"/>
  <c r="P229" i="3"/>
  <c r="O229" i="3"/>
  <c r="P228" i="3"/>
  <c r="O228" i="3"/>
  <c r="P227" i="3"/>
  <c r="O227" i="3"/>
  <c r="P226" i="3"/>
  <c r="O226" i="3"/>
  <c r="P225" i="3"/>
  <c r="O225" i="3"/>
  <c r="P224" i="3"/>
  <c r="O224" i="3"/>
  <c r="P223" i="3"/>
  <c r="O223" i="3"/>
  <c r="P222" i="3"/>
  <c r="O222" i="3"/>
  <c r="P221" i="3"/>
  <c r="O221" i="3"/>
  <c r="P220" i="3"/>
  <c r="O220" i="3"/>
  <c r="P219" i="3"/>
  <c r="O219" i="3"/>
  <c r="P218" i="3"/>
  <c r="O218" i="3"/>
  <c r="P217" i="3"/>
  <c r="O217" i="3"/>
  <c r="P216" i="3"/>
  <c r="O216" i="3"/>
  <c r="P215" i="3"/>
  <c r="O215" i="3"/>
  <c r="P214" i="3"/>
  <c r="O214" i="3"/>
  <c r="P213" i="3"/>
  <c r="O213" i="3"/>
  <c r="P212" i="3"/>
  <c r="O212" i="3"/>
  <c r="P211" i="3"/>
  <c r="O211" i="3"/>
  <c r="P210" i="3"/>
  <c r="O210" i="3"/>
  <c r="P209" i="3"/>
  <c r="O209" i="3"/>
  <c r="P208" i="3"/>
  <c r="O208" i="3"/>
  <c r="P207" i="3"/>
  <c r="O207" i="3"/>
  <c r="P206" i="3"/>
  <c r="O206" i="3"/>
  <c r="P205" i="3"/>
  <c r="O205" i="3"/>
  <c r="P204" i="3"/>
  <c r="O204" i="3"/>
  <c r="P203" i="3"/>
  <c r="O203" i="3"/>
  <c r="P202" i="3"/>
  <c r="O202" i="3"/>
  <c r="P201" i="3"/>
  <c r="O201" i="3"/>
  <c r="P200" i="3"/>
  <c r="O200" i="3"/>
  <c r="P199" i="3"/>
  <c r="O199" i="3"/>
  <c r="P198" i="3"/>
  <c r="O198" i="3"/>
  <c r="P197" i="3"/>
  <c r="O197" i="3"/>
  <c r="P196" i="3"/>
  <c r="O196" i="3"/>
  <c r="P195" i="3"/>
  <c r="O195" i="3"/>
  <c r="P194" i="3"/>
  <c r="O194" i="3"/>
  <c r="P193" i="3"/>
  <c r="O193" i="3"/>
  <c r="P192" i="3"/>
  <c r="O192" i="3"/>
  <c r="P191" i="3"/>
  <c r="O191" i="3"/>
  <c r="P190" i="3"/>
  <c r="O190" i="3"/>
  <c r="P189" i="3"/>
  <c r="O189" i="3"/>
  <c r="P188" i="3"/>
  <c r="O188" i="3"/>
  <c r="P187" i="3"/>
  <c r="O187" i="3"/>
  <c r="P186" i="3"/>
  <c r="O186" i="3"/>
  <c r="P185" i="3"/>
  <c r="O185" i="3"/>
  <c r="P184" i="3"/>
  <c r="O184" i="3"/>
  <c r="P183" i="3"/>
  <c r="O183" i="3"/>
  <c r="P182" i="3"/>
  <c r="O182" i="3"/>
  <c r="P181" i="3"/>
  <c r="O181" i="3"/>
  <c r="P180" i="3"/>
  <c r="O180" i="3"/>
  <c r="P179" i="3"/>
  <c r="O179" i="3"/>
  <c r="P178" i="3"/>
  <c r="O178" i="3"/>
  <c r="P177" i="3"/>
  <c r="O177" i="3"/>
  <c r="P176" i="3"/>
  <c r="O176" i="3"/>
  <c r="P175" i="3"/>
  <c r="O175" i="3"/>
  <c r="P174" i="3"/>
  <c r="O174" i="3"/>
  <c r="P173" i="3"/>
  <c r="O173" i="3"/>
  <c r="P172" i="3"/>
  <c r="O172" i="3"/>
  <c r="P171" i="3"/>
  <c r="O171" i="3"/>
  <c r="P170" i="3"/>
  <c r="O170" i="3"/>
  <c r="P169" i="3"/>
  <c r="O169" i="3"/>
  <c r="P168" i="3"/>
  <c r="O168" i="3"/>
  <c r="P167" i="3"/>
  <c r="O167" i="3"/>
  <c r="P166" i="3"/>
  <c r="O166" i="3"/>
  <c r="P165" i="3"/>
  <c r="O165" i="3"/>
  <c r="P164" i="3"/>
  <c r="O164" i="3"/>
  <c r="P163" i="3"/>
  <c r="O163" i="3"/>
  <c r="P162" i="3"/>
  <c r="O162" i="3"/>
  <c r="P161" i="3"/>
  <c r="O161" i="3"/>
  <c r="P160" i="3"/>
  <c r="O160" i="3"/>
  <c r="P159" i="3"/>
  <c r="O159" i="3"/>
  <c r="P158" i="3"/>
  <c r="O158" i="3"/>
  <c r="P157" i="3"/>
  <c r="O157" i="3"/>
  <c r="P156" i="3"/>
  <c r="O156" i="3"/>
  <c r="P155" i="3"/>
  <c r="O155" i="3"/>
  <c r="P154" i="3"/>
  <c r="O154" i="3"/>
  <c r="P153" i="3"/>
  <c r="O153" i="3"/>
  <c r="P152" i="3"/>
  <c r="O152" i="3"/>
  <c r="P151" i="3"/>
  <c r="O151" i="3"/>
  <c r="P150" i="3"/>
  <c r="O150" i="3"/>
  <c r="P149" i="3"/>
  <c r="O149" i="3"/>
  <c r="P148" i="3"/>
  <c r="O148" i="3"/>
  <c r="P147" i="3"/>
  <c r="O147" i="3"/>
  <c r="P146" i="3"/>
  <c r="O146" i="3"/>
  <c r="P145" i="3"/>
  <c r="O145" i="3"/>
  <c r="P144" i="3"/>
  <c r="O144" i="3"/>
  <c r="P143" i="3"/>
  <c r="O143" i="3"/>
  <c r="P142" i="3"/>
  <c r="O142" i="3"/>
  <c r="P141" i="3"/>
  <c r="O141" i="3"/>
  <c r="P140" i="3"/>
  <c r="O140" i="3"/>
  <c r="P139" i="3"/>
  <c r="O139" i="3"/>
  <c r="P138" i="3"/>
  <c r="O138" i="3"/>
  <c r="P137" i="3"/>
  <c r="O137" i="3"/>
  <c r="P136" i="3"/>
  <c r="O136" i="3"/>
  <c r="P135" i="3"/>
  <c r="O135" i="3"/>
  <c r="P134" i="3"/>
  <c r="O134" i="3"/>
  <c r="P133" i="3"/>
  <c r="O133" i="3"/>
  <c r="P132" i="3"/>
  <c r="O132" i="3"/>
  <c r="P131" i="3"/>
  <c r="O131" i="3"/>
  <c r="P130" i="3"/>
  <c r="O130" i="3"/>
  <c r="P129" i="3"/>
  <c r="O129" i="3"/>
  <c r="P128" i="3"/>
  <c r="O128" i="3"/>
  <c r="P127" i="3"/>
  <c r="O127" i="3"/>
  <c r="P126" i="3"/>
  <c r="O126" i="3"/>
  <c r="P125" i="3"/>
  <c r="O125" i="3"/>
  <c r="P124" i="3"/>
  <c r="O124" i="3"/>
  <c r="P123" i="3"/>
  <c r="O123" i="3"/>
  <c r="P122" i="3"/>
  <c r="O122" i="3"/>
  <c r="P121" i="3"/>
  <c r="O121" i="3"/>
  <c r="P120" i="3"/>
  <c r="O120" i="3"/>
  <c r="P119" i="3"/>
  <c r="O119" i="3"/>
  <c r="P118" i="3"/>
  <c r="O118" i="3"/>
  <c r="P117" i="3"/>
  <c r="O117" i="3"/>
  <c r="P116" i="3"/>
  <c r="O116" i="3"/>
  <c r="P115" i="3"/>
  <c r="O115" i="3"/>
  <c r="P114" i="3"/>
  <c r="O114" i="3"/>
  <c r="P113" i="3"/>
  <c r="O113" i="3"/>
  <c r="P112" i="3"/>
  <c r="O112" i="3"/>
  <c r="P111" i="3"/>
  <c r="O111" i="3"/>
  <c r="P110" i="3"/>
  <c r="O110" i="3"/>
  <c r="P109" i="3"/>
  <c r="O109" i="3"/>
  <c r="P108" i="3"/>
  <c r="O108" i="3"/>
  <c r="P107" i="3"/>
  <c r="O107" i="3"/>
  <c r="P106" i="3"/>
  <c r="O106" i="3"/>
  <c r="P105" i="3"/>
  <c r="O105" i="3"/>
  <c r="P104" i="3"/>
  <c r="O104" i="3"/>
  <c r="P103" i="3"/>
  <c r="O103" i="3"/>
  <c r="P102" i="3"/>
  <c r="O102" i="3"/>
  <c r="P101" i="3"/>
  <c r="O101" i="3"/>
  <c r="P100" i="3"/>
  <c r="O100" i="3"/>
  <c r="P99" i="3"/>
  <c r="O99" i="3"/>
  <c r="P98" i="3"/>
  <c r="O98" i="3"/>
  <c r="P97" i="3"/>
  <c r="O97" i="3"/>
  <c r="P96" i="3"/>
  <c r="O96" i="3"/>
  <c r="P95" i="3"/>
  <c r="O95" i="3"/>
  <c r="P94" i="3"/>
  <c r="O94" i="3"/>
  <c r="P93" i="3"/>
  <c r="O93" i="3"/>
  <c r="P92" i="3"/>
  <c r="O92" i="3"/>
  <c r="P91" i="3"/>
  <c r="O91" i="3"/>
  <c r="P90" i="3"/>
  <c r="O90" i="3"/>
  <c r="P89" i="3"/>
  <c r="O89" i="3"/>
  <c r="P88" i="3"/>
  <c r="O88" i="3"/>
  <c r="P87" i="3"/>
  <c r="O87" i="3"/>
  <c r="P86" i="3"/>
  <c r="O86" i="3"/>
  <c r="P85" i="3"/>
  <c r="O85" i="3"/>
  <c r="P84" i="3"/>
  <c r="O84" i="3"/>
  <c r="P83" i="3"/>
  <c r="O83" i="3"/>
  <c r="P82" i="3"/>
  <c r="O82" i="3"/>
  <c r="P81" i="3"/>
  <c r="O81" i="3"/>
  <c r="P80" i="3"/>
  <c r="O80" i="3"/>
  <c r="P79" i="3"/>
  <c r="O79" i="3"/>
  <c r="P78" i="3"/>
  <c r="O78" i="3"/>
  <c r="P77" i="3"/>
  <c r="O77" i="3"/>
  <c r="P76" i="3"/>
  <c r="O76" i="3"/>
  <c r="P75" i="3"/>
  <c r="O75" i="3"/>
  <c r="P74" i="3"/>
  <c r="O74" i="3"/>
  <c r="P73" i="3"/>
  <c r="O73" i="3"/>
  <c r="P72" i="3"/>
  <c r="O72" i="3"/>
  <c r="P71" i="3"/>
  <c r="O71" i="3"/>
  <c r="P70" i="3"/>
  <c r="O70" i="3"/>
  <c r="P69" i="3"/>
  <c r="O69" i="3"/>
  <c r="P68" i="3"/>
  <c r="O68" i="3"/>
  <c r="P67" i="3"/>
  <c r="O67" i="3"/>
  <c r="P66" i="3"/>
  <c r="O66" i="3"/>
  <c r="P65" i="3"/>
  <c r="O65" i="3"/>
  <c r="P64" i="3"/>
  <c r="O64" i="3"/>
  <c r="P63" i="3"/>
  <c r="O63" i="3"/>
  <c r="P62" i="3"/>
  <c r="O62" i="3"/>
  <c r="P61" i="3"/>
  <c r="O61" i="3"/>
  <c r="P60" i="3"/>
  <c r="O60" i="3"/>
  <c r="P59" i="3"/>
  <c r="O59" i="3"/>
  <c r="P58" i="3"/>
  <c r="O58" i="3"/>
  <c r="P57" i="3"/>
  <c r="O57" i="3"/>
  <c r="P56" i="3"/>
  <c r="O56" i="3"/>
  <c r="P55" i="3"/>
  <c r="O55" i="3"/>
  <c r="P54" i="3"/>
  <c r="O54" i="3"/>
  <c r="P53" i="3"/>
  <c r="O53" i="3"/>
  <c r="P52" i="3"/>
  <c r="O52" i="3"/>
  <c r="P51" i="3"/>
  <c r="O51" i="3"/>
  <c r="P50" i="3"/>
  <c r="O50" i="3"/>
  <c r="P49" i="3"/>
  <c r="O49" i="3"/>
  <c r="P48" i="3"/>
  <c r="O48" i="3"/>
  <c r="P47" i="3"/>
  <c r="O47" i="3"/>
  <c r="P46" i="3"/>
  <c r="O46" i="3"/>
  <c r="P45" i="3"/>
  <c r="O45" i="3"/>
  <c r="P44" i="3"/>
  <c r="O44" i="3"/>
  <c r="P43" i="3"/>
  <c r="O43" i="3"/>
  <c r="P42" i="3"/>
  <c r="O42" i="3"/>
  <c r="P41" i="3"/>
  <c r="O41" i="3"/>
  <c r="P40" i="3"/>
  <c r="O40" i="3"/>
  <c r="P39" i="3"/>
  <c r="O39" i="3"/>
  <c r="P38" i="3"/>
  <c r="O38" i="3"/>
  <c r="P37" i="3"/>
  <c r="O37" i="3"/>
  <c r="P36" i="3"/>
  <c r="O36" i="3"/>
  <c r="P35" i="3"/>
  <c r="O35" i="3"/>
  <c r="P34" i="3"/>
  <c r="O34" i="3"/>
  <c r="P33" i="3"/>
  <c r="O33" i="3"/>
  <c r="P32" i="3"/>
  <c r="O32" i="3"/>
  <c r="P31" i="3"/>
  <c r="O31" i="3"/>
  <c r="P30" i="3"/>
  <c r="O30" i="3"/>
  <c r="P29" i="3"/>
  <c r="O29" i="3"/>
  <c r="P28" i="3"/>
  <c r="O28" i="3"/>
  <c r="P27" i="3"/>
  <c r="O27" i="3"/>
  <c r="P26" i="3"/>
  <c r="O26" i="3"/>
  <c r="P25" i="3"/>
  <c r="O25" i="3"/>
  <c r="P24" i="3"/>
  <c r="O24" i="3"/>
  <c r="P23" i="3"/>
  <c r="O23" i="3"/>
  <c r="P22" i="3"/>
  <c r="O22" i="3"/>
  <c r="P21" i="3"/>
  <c r="O21" i="3"/>
  <c r="P20" i="3"/>
  <c r="O20" i="3"/>
  <c r="P19" i="3"/>
  <c r="O19" i="3"/>
  <c r="P18" i="3"/>
  <c r="O18" i="3"/>
  <c r="P17" i="3"/>
  <c r="O17" i="3"/>
  <c r="P16" i="3"/>
  <c r="O16" i="3"/>
  <c r="P15" i="3"/>
  <c r="O15" i="3"/>
  <c r="P14" i="3"/>
  <c r="O14" i="3"/>
  <c r="P13" i="3"/>
  <c r="O13" i="3"/>
  <c r="P12" i="3"/>
  <c r="O12" i="3"/>
  <c r="P11" i="3"/>
  <c r="O11" i="3"/>
  <c r="P10" i="3"/>
  <c r="O10" i="3"/>
  <c r="P9" i="3"/>
  <c r="O9" i="3"/>
  <c r="P8" i="3"/>
  <c r="O8" i="3"/>
  <c r="P7" i="3"/>
  <c r="O7" i="3"/>
  <c r="P6" i="3"/>
  <c r="O6" i="3"/>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O7" i="2"/>
  <c r="O6" i="2"/>
  <c r="O39" i="2"/>
  <c r="O8" i="2"/>
  <c r="O9" i="2"/>
  <c r="O10" i="2"/>
  <c r="O11" i="2"/>
  <c r="O12" i="2"/>
  <c r="O13" i="2"/>
  <c r="O14" i="2"/>
  <c r="O15" i="2"/>
  <c r="O17" i="2"/>
  <c r="O18" i="2"/>
  <c r="O19" i="2"/>
  <c r="O20" i="2"/>
  <c r="O21" i="2"/>
  <c r="O22" i="2"/>
  <c r="O23" i="2"/>
  <c r="O24" i="2"/>
  <c r="O25" i="2"/>
  <c r="O26" i="2"/>
  <c r="O27" i="2"/>
  <c r="O28" i="2"/>
  <c r="O29" i="2"/>
  <c r="O30" i="2"/>
  <c r="O31" i="2"/>
  <c r="O32" i="2"/>
  <c r="O33" i="2"/>
  <c r="O34" i="2"/>
  <c r="O35" i="2"/>
  <c r="O36" i="2"/>
  <c r="O37" i="2"/>
  <c r="O38"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W10" i="3" l="1"/>
  <c r="X10" i="3"/>
  <c r="Y10" i="3"/>
  <c r="U11" i="2"/>
  <c r="T11" i="2"/>
</calcChain>
</file>

<file path=xl/sharedStrings.xml><?xml version="1.0" encoding="utf-8"?>
<sst xmlns="http://schemas.openxmlformats.org/spreadsheetml/2006/main" count="18556" uniqueCount="216">
  <si>
    <t>Order_ID</t>
  </si>
  <si>
    <t>Order_Date</t>
  </si>
  <si>
    <t>Platform</t>
  </si>
  <si>
    <t>Product_SKU</t>
  </si>
  <si>
    <t>Product_Name</t>
  </si>
  <si>
    <t>Category</t>
  </si>
  <si>
    <t>Quantity</t>
  </si>
  <si>
    <t>Unit_Price</t>
  </si>
  <si>
    <t>Discount_%</t>
  </si>
  <si>
    <t>Country</t>
  </si>
  <si>
    <t>Order_Status</t>
  </si>
  <si>
    <t>Gross_Sales</t>
  </si>
  <si>
    <t>Discount_Amount</t>
  </si>
  <si>
    <t>Net_Sales</t>
  </si>
  <si>
    <t>Amazon</t>
  </si>
  <si>
    <t>Shopify</t>
  </si>
  <si>
    <t>SKU-017</t>
  </si>
  <si>
    <t>SKU-009</t>
  </si>
  <si>
    <t>SKU-033</t>
  </si>
  <si>
    <t>SKU-020</t>
  </si>
  <si>
    <t>SKU-013</t>
  </si>
  <si>
    <t>SKU-028</t>
  </si>
  <si>
    <t>SKU-048</t>
  </si>
  <si>
    <t>SKU-029</t>
  </si>
  <si>
    <t>SKU-046</t>
  </si>
  <si>
    <t>SKU-035</t>
  </si>
  <si>
    <t>SKU-006</t>
  </si>
  <si>
    <t>SKU-018</t>
  </si>
  <si>
    <t>SKU-005</t>
  </si>
  <si>
    <t>SKU-047</t>
  </si>
  <si>
    <t>SKU-025</t>
  </si>
  <si>
    <t>SKU-002</t>
  </si>
  <si>
    <t>SKU-010</t>
  </si>
  <si>
    <t>SKU-030</t>
  </si>
  <si>
    <t>SKU-050</t>
  </si>
  <si>
    <t>SKU-045</t>
  </si>
  <si>
    <t>SKU-001</t>
  </si>
  <si>
    <t>SKU-032</t>
  </si>
  <si>
    <t>SKU-049</t>
  </si>
  <si>
    <t>SKU-011</t>
  </si>
  <si>
    <t>SKU-021</t>
  </si>
  <si>
    <t>SKU-026</t>
  </si>
  <si>
    <t>SKU-022</t>
  </si>
  <si>
    <t>SKU-027</t>
  </si>
  <si>
    <t>SKU-034</t>
  </si>
  <si>
    <t>SKU-041</t>
  </si>
  <si>
    <t>SKU-031</t>
  </si>
  <si>
    <t>SKU-038</t>
  </si>
  <si>
    <t>SKU-003</t>
  </si>
  <si>
    <t>SKU-023</t>
  </si>
  <si>
    <t>SKU-037</t>
  </si>
  <si>
    <t>SKU-019</t>
  </si>
  <si>
    <t>SKU-014</t>
  </si>
  <si>
    <t>SKU-004</t>
  </si>
  <si>
    <t>SKU-040</t>
  </si>
  <si>
    <t>SKU-008</t>
  </si>
  <si>
    <t>SKU-039</t>
  </si>
  <si>
    <t>SKU-012</t>
  </si>
  <si>
    <t>SKU-044</t>
  </si>
  <si>
    <t>SKU-015</t>
  </si>
  <si>
    <t>SKU-024</t>
  </si>
  <si>
    <t>SKU-042</t>
  </si>
  <si>
    <t>SKU-043</t>
  </si>
  <si>
    <t>SKU-016</t>
  </si>
  <si>
    <t>SKU-036</t>
  </si>
  <si>
    <t>SKU-007</t>
  </si>
  <si>
    <t>Headphones</t>
  </si>
  <si>
    <t>Wireless Mouse</t>
  </si>
  <si>
    <t>USB-C Cable</t>
  </si>
  <si>
    <t>Laptop Stand</t>
  </si>
  <si>
    <t>Keyboard</t>
  </si>
  <si>
    <t>Electronics</t>
  </si>
  <si>
    <t>Accessories</t>
  </si>
  <si>
    <t>PH</t>
  </si>
  <si>
    <t>AU</t>
  </si>
  <si>
    <t>US</t>
  </si>
  <si>
    <t>SG</t>
  </si>
  <si>
    <t>Completed</t>
  </si>
  <si>
    <t>Returned</t>
  </si>
  <si>
    <t>Cancelled</t>
  </si>
  <si>
    <t>Date_issue_flag</t>
  </si>
  <si>
    <t xml:space="preserve">Date_issue_flag </t>
  </si>
  <si>
    <t>Date_problem</t>
  </si>
  <si>
    <t>Final_sales</t>
  </si>
  <si>
    <t>High_value_orders</t>
  </si>
  <si>
    <t>count_of_high_value_order</t>
  </si>
  <si>
    <t>Row Labels</t>
  </si>
  <si>
    <t>Grand Total</t>
  </si>
  <si>
    <t>Sum of Final_sales</t>
  </si>
  <si>
    <t>total_quantity_sold_by_product</t>
  </si>
  <si>
    <t>total_final_sales_by_platform</t>
  </si>
  <si>
    <t>returned</t>
  </si>
  <si>
    <t>Management Report</t>
  </si>
  <si>
    <t>Discrepancy &amp; Root Cause Analysis</t>
  </si>
  <si>
    <t>Question</t>
  </si>
  <si>
    <t>1.)  Which platform has higher return rates?</t>
  </si>
  <si>
    <t>Answer</t>
  </si>
  <si>
    <t>2.) Are discounts correlated with higher returns?</t>
  </si>
  <si>
    <t>Column Labels</t>
  </si>
  <si>
    <t>Count of Platform</t>
  </si>
  <si>
    <t>The total number of returned items with discounts in Amazon is 33, while Shopify has 34. The discount percentages observed are 5%, 10%, and 15%. At the 5% discount level, Amazon has more returned items, while at 10% both platforms show the same number of returned items. At the 15% discount level, Shopify has a higher number of returned items, resulting in Shopify having slightly more discounted returned orders overall. Based on the pivot tables, returned orders occur across all discount levels, indicating that discounts alone do not eliminate return impact, and other factors may also influence return behavior.</t>
  </si>
  <si>
    <t>Based on the returned orders analysis, Amazon shows a higher return impact compared to Shopify, as it has a larger total negative value from returned orders. This indicates that Amazon experiences greater financial loss due to returns, suggesting a higher return exposure on that platform.</t>
  </si>
  <si>
    <t>3.) Which products should be audited before future uploads?</t>
  </si>
  <si>
    <t>Sum of Unit_Price</t>
  </si>
  <si>
    <t>Based on the pivot table analysis, the products that should be prioritized for audit are the Laptop Stand and the Keyboard/Mouse. The Laptop Stand has the highest quantity sold and the highest total unit price exposure, meaning that any data or listing issues could result in significant financial impact due to its high volume. Meanwhile, although the Keyboard/Mouse has a lower sales quantity compared to the Laptop Stand, it shows a higher return value, indicating a greater return risk per unit and the need for closer review before future uploads.</t>
  </si>
  <si>
    <t>Task 1: Data Validation &amp; Internal Control</t>
  </si>
  <si>
    <t xml:space="preserve">date_issue flag. Created this column </t>
  </si>
  <si>
    <t>Task 2: Excel Formula Proficiency</t>
  </si>
  <si>
    <t>Total Final Sales by Platform</t>
  </si>
  <si>
    <t>Total Quantity Sold by Product</t>
  </si>
  <si>
    <t>Total Returned Sales by Country</t>
  </si>
  <si>
    <t>Pivot tables for Task 4</t>
  </si>
  <si>
    <t>Task_4- #1 reff</t>
  </si>
  <si>
    <t>Task_4- #2 reff</t>
  </si>
  <si>
    <t>Task_4-#3 reff</t>
  </si>
  <si>
    <t>Standard_Price</t>
  </si>
  <si>
    <t>Keyboard Mouse</t>
  </si>
  <si>
    <t>USB Cable</t>
  </si>
  <si>
    <t>Monitor</t>
  </si>
  <si>
    <t>Webcam</t>
  </si>
  <si>
    <t>Headset</t>
  </si>
  <si>
    <t>Mouse Pad</t>
  </si>
  <si>
    <t>HDMI Cable</t>
  </si>
  <si>
    <t>Power Bank</t>
  </si>
  <si>
    <t>Laptop Sleeve</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</si>
  <si>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</si>
  <si>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</si>
  <si>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</si>
  <si>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</si>
  <si>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</si>
  <si>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</si>
  <si>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</si>
  <si>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</si>
  <si>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</si>
  <si>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</si>
  <si>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</si>
  <si>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</si>
  <si>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</si>
  <si>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</si>
  <si>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</si>
  <si>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</si>
  <si>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</si>
  <si>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</si>
  <si>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</si>
  <si>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</si>
  <si>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</si>
  <si>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</si>
  <si>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</si>
  <si>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</si>
  <si>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</si>
  <si>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</si>
  <si>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</si>
  <si>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</si>
  <si>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</si>
  <si>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</si>
  <si>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</si>
  <si>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</si>
  <si>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</si>
  <si>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</si>
  <si>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</si>
  <si>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</si>
  <si>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</si>
  <si>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</si>
  <si>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</si>
  <si>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</si>
  <si>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</si>
  <si>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</si>
  <si>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</si>
  <si>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</si>
  <si>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</si>
  <si>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</si>
  <si>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</si>
  <si>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</si>
  <si>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</si>
  <si>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</si>
  <si>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</si>
  <si>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</si>
  <si>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</si>
  <si>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</si>
  <si>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</si>
  <si>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</si>
  <si>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</si>
  <si>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</si>
  <si>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</si>
  <si>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</si>
  <si>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</si>
  <si>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</si>
  <si>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</si>
  <si>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</si>
  <si>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</si>
  <si>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</si>
  <si>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</si>
  <si>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</si>
  <si>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</si>
  <si>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</si>
  <si>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</si>
  <si>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</si>
  <si>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</si>
  <si>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</si>
  <si>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</si>
  <si>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</si>
  <si>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</si>
  <si>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</si>
  <si>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</si>
  <si>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</si>
  <si>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</si>
  <si>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</si>
  <si>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</si>
  <si>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</si>
  <si>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</si>
  <si>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</si>
  <si>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</si>
  <si>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</si>
  <si>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</si>
  <si>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</si>
  <si>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Row_ID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</si>
</sst>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3" x14ac:knownFonts="1">
    <font>
      <sz val="11"/>
      <color theme="1"/>
      <name val="Calibri"/>
      <family val="2"/>
      <scheme val="minor"/>
    </font>
    <font>
      <b/>
      <sz val="11"/>
      <color theme="1"/>
      <name val="Calibri"/>
      <family val="2"/>
      <scheme val="minor"/>
    </font>
    <font>
      <b/>
      <sz val="11"/>
      <color theme="9"/>
      <name val="Calibri"/>
      <family val="2"/>
      <scheme val="minor"/>
    </font>
    <font>
      <sz val="9"/>
      <name val="Calibri"/>
      <family val="2"/>
      <scheme val="minor"/>
    </font>
    <font>
      <sz val="20"/>
      <color theme="1"/>
      <name val="Calibri"/>
      <family val="2"/>
      <scheme val="minor"/>
    </font>
    <font>
      <sz val="26"/>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b/>
      <sz val="26"/>
      <color theme="1"/>
      <name val="Calibri"/>
      <family val="2"/>
      <scheme val="minor"/>
    </font>
    <font>
      <sz val="18"/>
      <color theme="1"/>
      <name val="Calibri"/>
      <family val="2"/>
      <scheme val="minor"/>
    </font>
    <font>
      <sz val="24"/>
      <color theme="1"/>
      <name val="Calibri"/>
      <family val="2"/>
      <scheme val="minor"/>
    </font>
    <font>
      <sz val="28"/>
      <color theme="1"/>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theme="3"/>
        <bgColor indexed="64"/>
      </patternFill>
    </fill>
    <fill>
      <patternFill patternType="solid">
        <fgColor theme="9" tint="0.79998168889431442"/>
        <bgColor indexed="64"/>
      </patternFill>
    </fill>
    <fill>
      <patternFill patternType="solid">
        <fgColor theme="9"/>
        <bgColor indexed="64"/>
      </patternFill>
    </fill>
    <fill>
      <patternFill patternType="solid">
        <fgColor theme="4"/>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bottom style="thin">
        <color auto="1"/>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3" xfId="0" applyBorder="1"/>
    <xf numFmtId="0" fontId="1" fillId="2" borderId="0" xfId="0" applyFont="1" applyFill="1"/>
    <xf numFmtId="0" fontId="2" fillId="3" borderId="0" xfId="0" applyFont="1" applyFill="1"/>
    <xf numFmtId="14" fontId="1" fillId="0" borderId="2" xfId="0" applyNumberFormat="1" applyFont="1" applyBorder="1" applyAlignment="1">
      <alignment horizontal="center" vertical="top"/>
    </xf>
    <xf numFmtId="14" fontId="0" fillId="0" borderId="0" xfId="0" applyNumberFormat="1"/>
    <xf numFmtId="0" fontId="0" fillId="0" borderId="0" xfId="0" applyNumberFormat="1"/>
    <xf numFmtId="0" fontId="3" fillId="4" borderId="0" xfId="0" applyFont="1" applyFill="1"/>
    <xf numFmtId="0" fontId="0" fillId="0" borderId="0" xfId="0" pivotButton="1"/>
    <xf numFmtId="0" fontId="0" fillId="0" borderId="0" xfId="0" applyAlignment="1">
      <alignment horizontal="left"/>
    </xf>
    <xf numFmtId="0" fontId="1" fillId="5" borderId="0" xfId="0" applyFont="1" applyFill="1"/>
    <xf numFmtId="4" fontId="0" fillId="0" borderId="0" xfId="0" applyNumberFormat="1"/>
    <xf numFmtId="0" fontId="6" fillId="0" borderId="0" xfId="0" applyFont="1"/>
    <xf numFmtId="0" fontId="5" fillId="6" borderId="0" xfId="0" applyFont="1" applyFill="1" applyAlignment="1">
      <alignment horizontal="center" vertical="center"/>
    </xf>
    <xf numFmtId="0" fontId="9" fillId="6" borderId="0" xfId="0" applyFont="1" applyFill="1" applyAlignment="1">
      <alignment horizontal="center" vertical="center"/>
    </xf>
    <xf numFmtId="0" fontId="0" fillId="0" borderId="0" xfId="0" applyFont="1" applyAlignment="1">
      <alignment vertical="center"/>
    </xf>
    <xf numFmtId="0" fontId="0" fillId="0" borderId="0" xfId="0" applyBorder="1"/>
    <xf numFmtId="0" fontId="0" fillId="0" borderId="5" xfId="0" applyBorder="1"/>
    <xf numFmtId="0" fontId="0" fillId="0" borderId="10" xfId="0" applyBorder="1"/>
    <xf numFmtId="0" fontId="0" fillId="0" borderId="11" xfId="0" applyBorder="1"/>
    <xf numFmtId="0" fontId="0" fillId="0" borderId="12" xfId="0" applyBorder="1"/>
    <xf numFmtId="0" fontId="0" fillId="0" borderId="4" xfId="0" applyBorder="1"/>
    <xf numFmtId="0" fontId="0" fillId="0" borderId="13" xfId="0" applyBorder="1"/>
    <xf numFmtId="0" fontId="0" fillId="0" borderId="9" xfId="0" applyBorder="1"/>
    <xf numFmtId="0" fontId="7" fillId="0" borderId="6" xfId="0" applyFont="1" applyBorder="1" applyAlignment="1"/>
    <xf numFmtId="0" fontId="7" fillId="0" borderId="7" xfId="0" applyFont="1" applyBorder="1" applyAlignment="1"/>
    <xf numFmtId="0" fontId="7" fillId="0" borderId="8" xfId="0" applyFont="1" applyBorder="1" applyAlignment="1"/>
    <xf numFmtId="0" fontId="0" fillId="0" borderId="3" xfId="0" pivotButton="1" applyBorder="1"/>
    <xf numFmtId="0" fontId="0" fillId="0" borderId="0" xfId="0" pivotButton="1" applyBorder="1"/>
    <xf numFmtId="0" fontId="0" fillId="0" borderId="0" xfId="0" applyBorder="1" applyAlignment="1">
      <alignment horizontal="left"/>
    </xf>
    <xf numFmtId="4" fontId="0" fillId="0" borderId="0" xfId="0" applyNumberFormat="1" applyBorder="1"/>
    <xf numFmtId="0" fontId="0" fillId="0" borderId="3" xfId="0" applyBorder="1" applyAlignment="1">
      <alignment horizontal="left" vertical="top"/>
    </xf>
    <xf numFmtId="0" fontId="0" fillId="0" borderId="0" xfId="0" applyBorder="1" applyAlignment="1">
      <alignment horizontal="left" vertical="top"/>
    </xf>
    <xf numFmtId="0" fontId="0" fillId="0" borderId="3" xfId="0" applyBorder="1" applyAlignment="1">
      <alignment horizontal="left" vertical="top" wrapText="1"/>
    </xf>
    <xf numFmtId="0" fontId="0" fillId="0" borderId="0" xfId="0" applyBorder="1" applyAlignment="1">
      <alignment horizontal="left" vertical="top" wrapText="1"/>
    </xf>
    <xf numFmtId="0" fontId="0" fillId="0" borderId="3" xfId="0" applyBorder="1" applyAlignment="1">
      <alignment horizontal="center" vertical="top" wrapText="1"/>
    </xf>
    <xf numFmtId="0" fontId="0" fillId="0" borderId="0" xfId="0" applyBorder="1" applyAlignment="1">
      <alignment horizontal="center" vertical="top" wrapText="1"/>
    </xf>
    <xf numFmtId="0" fontId="0" fillId="0" borderId="10" xfId="0" applyBorder="1" applyAlignment="1">
      <alignment horizontal="left" vertical="top" wrapText="1"/>
    </xf>
    <xf numFmtId="0" fontId="0" fillId="0" borderId="12" xfId="0" applyBorder="1" applyAlignment="1">
      <alignment horizontal="left" vertical="top" wrapText="1"/>
    </xf>
    <xf numFmtId="0" fontId="0" fillId="0" borderId="5" xfId="0" applyBorder="1" applyAlignment="1">
      <alignment horizontal="left" vertical="top" wrapText="1"/>
    </xf>
    <xf numFmtId="0" fontId="0" fillId="0" borderId="13" xfId="0" applyBorder="1" applyAlignment="1">
      <alignment horizontal="left" vertical="top" wrapText="1"/>
    </xf>
    <xf numFmtId="0" fontId="0" fillId="0" borderId="9" xfId="0" applyFont="1" applyBorder="1" applyAlignment="1">
      <alignment horizontal="left" vertical="top" wrapText="1"/>
    </xf>
    <xf numFmtId="0" fontId="0" fillId="0" borderId="3" xfId="0" applyFont="1"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0" fillId="0" borderId="0" xfId="0" applyFont="1" applyBorder="1" applyAlignment="1">
      <alignment horizontal="left" vertical="top" wrapText="1"/>
    </xf>
    <xf numFmtId="0" fontId="0" fillId="0" borderId="12" xfId="0" applyFont="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13" xfId="0" applyFont="1"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13" xfId="0" applyBorder="1" applyAlignment="1">
      <alignment horizontal="left" vertical="top"/>
    </xf>
    <xf numFmtId="0" fontId="0" fillId="0" borderId="0" xfId="0" applyNumberFormat="1" applyBorder="1"/>
    <xf numFmtId="0" fontId="0" fillId="0" borderId="12" xfId="0" applyNumberFormat="1" applyBorder="1"/>
    <xf numFmtId="0" fontId="0" fillId="0" borderId="5" xfId="0" applyBorder="1" applyAlignment="1">
      <alignment horizontal="left"/>
    </xf>
    <xf numFmtId="0" fontId="0" fillId="0" borderId="13" xfId="0" applyNumberFormat="1" applyBorder="1"/>
    <xf numFmtId="0" fontId="0" fillId="0" borderId="6"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center" vertical="top" wrapText="1"/>
    </xf>
    <xf numFmtId="0" fontId="0" fillId="0" borderId="12" xfId="0" applyBorder="1" applyAlignment="1">
      <alignment horizontal="center" vertical="top" wrapText="1"/>
    </xf>
    <xf numFmtId="0" fontId="0" fillId="0" borderId="5" xfId="0" applyBorder="1" applyAlignment="1">
      <alignment horizontal="center" vertical="top" wrapText="1"/>
    </xf>
    <xf numFmtId="0" fontId="0" fillId="0" borderId="13" xfId="0" applyBorder="1" applyAlignment="1">
      <alignment horizontal="center" vertical="top" wrapText="1"/>
    </xf>
    <xf numFmtId="0" fontId="0" fillId="0" borderId="9" xfId="0" applyBorder="1" applyAlignment="1">
      <alignment horizontal="center" vertical="top" wrapText="1"/>
    </xf>
    <xf numFmtId="0" fontId="0" fillId="0" borderId="11" xfId="0" applyBorder="1" applyAlignment="1">
      <alignment horizontal="center" vertical="top" wrapText="1"/>
    </xf>
    <xf numFmtId="0" fontId="0" fillId="0" borderId="4" xfId="0" applyBorder="1" applyAlignment="1">
      <alignment horizontal="center" vertical="top" wrapText="1"/>
    </xf>
    <xf numFmtId="0" fontId="4" fillId="0" borderId="0" xfId="0" applyFont="1" applyAlignment="1">
      <alignment horizontal="center" vertical="center"/>
    </xf>
    <xf numFmtId="0" fontId="4" fillId="0" borderId="5" xfId="0" applyFont="1" applyBorder="1" applyAlignment="1">
      <alignment horizontal="center" vertical="center"/>
    </xf>
    <xf numFmtId="0" fontId="11" fillId="7" borderId="0" xfId="0" applyFont="1" applyFill="1" applyAlignment="1">
      <alignment horizontal="center" vertical="center" wrapText="1"/>
    </xf>
    <xf numFmtId="0" fontId="0" fillId="7" borderId="0" xfId="0" applyFill="1" applyAlignment="1">
      <alignment horizontal="center" wrapText="1"/>
    </xf>
    <xf numFmtId="0" fontId="12" fillId="8" borderId="0" xfId="0" applyFont="1" applyFill="1" applyAlignment="1">
      <alignment horizontal="left" vertical="top"/>
    </xf>
    <xf numFmtId="0" fontId="10" fillId="9" borderId="0" xfId="0" applyFont="1" applyFill="1" applyAlignment="1">
      <alignment horizontal="left" vertical="top" wrapText="1"/>
    </xf>
    <xf numFmtId="0" fontId="8" fillId="9" borderId="3" xfId="0" applyFont="1" applyFill="1" applyBorder="1" applyAlignment="1">
      <alignment horizontal="left" vertical="top" wrapText="1"/>
    </xf>
    <xf numFmtId="0" fontId="8" fillId="9" borderId="0" xfId="0" applyFont="1" applyFill="1" applyAlignment="1">
      <alignment horizontal="left" vertical="top" wrapText="1"/>
    </xf>
    <xf numFmtId="0" fontId="1" fillId="9" borderId="9" xfId="0" applyFont="1" applyFill="1" applyBorder="1" applyAlignment="1">
      <alignment horizontal="center" vertical="center"/>
    </xf>
    <xf numFmtId="0" fontId="1" fillId="9" borderId="11" xfId="0" applyFont="1" applyFill="1" applyBorder="1" applyAlignment="1">
      <alignment horizontal="center" vertical="center"/>
    </xf>
    <xf numFmtId="0" fontId="4" fillId="9" borderId="0" xfId="0" applyFont="1" applyFill="1" applyAlignment="1">
      <alignment horizont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center" wrapText="1"/>
    </xf>
  </cellXfs>
  <cellStyles count="1">
    <cellStyle name="Normal" xfId="0" builtinId="0"/>
  </cellStyles>
  <dxfs count="8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19" formatCode="dd/mm/yyyy"/>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[simulated_data_task_raw_dataset.xlsx]Task_3!PivotTable2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Total Final Sales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7825896762905"/>
          <c:y val="0.27080727409073868"/>
          <c:w val="0.71058092738407697"/>
          <c:h val="0.52453655793025866"/>
        </c:manualLayout>
      </c:layout>
      <c:barChart>
        <c:barDir val="col"/>
        <c:grouping val="clustered"/>
        <c:varyColors val="0"/>
        <c:ser>
          <c:idx val="0"/>
          <c:order val="0"/>
          <c:tx>
            <c:strRef>
              <c:f>Task_3!$B$5</c:f>
              <c:strCache>
                <c:ptCount val="1"/>
                <c:pt idx="0">
                  <c:v>Total</c:v>
                </c:pt>
              </c:strCache>
            </c:strRef>
          </c:tx>
          <c:spPr>
            <a:solidFill>
              <a:schemeClr val="accent1"/>
            </a:solidFill>
            <a:ln>
              <a:noFill/>
            </a:ln>
            <a:effectLst/>
          </c:spPr>
          <c:invertIfNegative val="0"/>
          <c:cat>
            <c:strRef>
              <c:f>Task_3!$A$6:$A$8</c:f>
              <c:strCache>
                <c:ptCount val="2"/>
                <c:pt idx="0">
                  <c:v>Amazon</c:v>
                </c:pt>
                <c:pt idx="1">
                  <c:v>Shopify</c:v>
                </c:pt>
              </c:strCache>
            </c:strRef>
          </c:cat>
          <c:val>
            <c:numRef>
              <c:f>Task_3!$B$6:$B$8</c:f>
              <c:numCache>
                <c:formatCode>#,##0.00</c:formatCode>
                <c:ptCount val="2"/>
                <c:pt idx="0">
                  <c:v>59041.265499999994</c:v>
                </c:pt>
                <c:pt idx="1">
                  <c:v>65139.902999999947</c:v>
                </c:pt>
              </c:numCache>
            </c:numRef>
          </c:val>
          <c:extLst>
            <c:ext xmlns:c16="http://schemas.microsoft.com/office/drawing/2014/chart" uri="{C3380CC4-5D6E-409C-BE32-E72D297353CC}">
              <c16:uniqueId val="{00000000-B898-4130-95AE-55FEB51F72B5}"/>
            </c:ext>
          </c:extLst>
        </c:ser>
        <c:dLbls>
          <c:showLegendKey val="0"/>
          <c:showVal val="0"/>
          <c:showCatName val="0"/>
          <c:showSerName val="0"/>
          <c:showPercent val="0"/>
          <c:showBubbleSize val="0"/>
        </c:dLbls>
        <c:gapWidth val="219"/>
        <c:overlap val="-27"/>
        <c:axId val="415232496"/>
        <c:axId val="415232016"/>
      </c:barChart>
      <c:catAx>
        <c:axId val="415232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232016"/>
        <c:crosses val="autoZero"/>
        <c:auto val="1"/>
        <c:lblAlgn val="ctr"/>
        <c:lblOffset val="100"/>
        <c:noMultiLvlLbl val="0"/>
      </c:catAx>
      <c:valAx>
        <c:axId val="4152320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2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[simulated_data_task_raw_dataset.xlsx]Task_3!PivotTable3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Total quantity sold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Task_3!$B$13</c:f>
              <c:strCache>
                <c:ptCount val="1"/>
                <c:pt idx="0">
                  <c:v>Total</c:v>
                </c:pt>
              </c:strCache>
            </c:strRef>
          </c:tx>
          <c:spPr>
            <a:solidFill>
              <a:schemeClr val="accent1"/>
            </a:solidFill>
            <a:ln>
              <a:noFill/>
            </a:ln>
            <a:effectLst/>
          </c:spPr>
          <c:invertIfNegative val="0"/>
          <c:cat>
            <c:strRef>
              <c:f>Task_3!$A$14:$A$19</c:f>
              <c:strCache>
                <c:ptCount val="5"/>
                <c:pt idx="0">
                  <c:v>USB-C Cable</c:v>
                </c:pt>
                <c:pt idx="1">
                  <c:v>Wireless Mouse</c:v>
                </c:pt>
                <c:pt idx="2">
                  <c:v>Keyboard</c:v>
                </c:pt>
                <c:pt idx="3">
                  <c:v>Headphones</c:v>
                </c:pt>
                <c:pt idx="4">
                  <c:v>Laptop Stand</c:v>
                </c:pt>
              </c:strCache>
            </c:strRef>
          </c:cat>
          <c:val>
            <c:numRef>
              <c:f>Task_3!$B$14:$B$19</c:f>
              <c:numCache>
                <c:formatCode>General</c:formatCode>
                <c:ptCount val="5"/>
                <c:pt idx="0">
                  <c:v>517</c:v>
                </c:pt>
                <c:pt idx="1">
                  <c:v>570</c:v>
                </c:pt>
                <c:pt idx="2">
                  <c:v>603</c:v>
                </c:pt>
                <c:pt idx="3">
                  <c:v>635</c:v>
                </c:pt>
                <c:pt idx="4">
                  <c:v>657</c:v>
                </c:pt>
              </c:numCache>
            </c:numRef>
          </c:val>
          <c:extLst>
            <c:ext xmlns:c16="http://schemas.microsoft.com/office/drawing/2014/chart" uri="{C3380CC4-5D6E-409C-BE32-E72D297353CC}">
              <c16:uniqueId val="{00000000-B704-47E1-A3B6-6F2CF1004F92}"/>
            </c:ext>
          </c:extLst>
        </c:ser>
        <c:dLbls>
          <c:showLegendKey val="0"/>
          <c:showVal val="0"/>
          <c:showCatName val="0"/>
          <c:showSerName val="0"/>
          <c:showPercent val="0"/>
          <c:showBubbleSize val="0"/>
        </c:dLbls>
        <c:gapWidth val="182"/>
        <c:axId val="742372752"/>
        <c:axId val="742373712"/>
      </c:barChart>
      <c:catAx>
        <c:axId val="74237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3712"/>
        <c:crosses val="autoZero"/>
        <c:auto val="1"/>
        <c:lblAlgn val="ctr"/>
        <c:lblOffset val="100"/>
        <c:noMultiLvlLbl val="0"/>
      </c:catAx>
      <c:valAx>
        <c:axId val="742373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[simulated_data_task_raw_dataset.xlsx]Task_3!PivotTable4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Total Returns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Task_3!$B$28</c:f>
              <c:strCache>
                <c:ptCount val="1"/>
                <c:pt idx="0">
                  <c:v>Total</c:v>
                </c:pt>
              </c:strCache>
            </c:strRef>
          </c:tx>
          <c:spPr>
            <a:solidFill>
              <a:schemeClr val="accent1"/>
            </a:solidFill>
            <a:ln>
              <a:noFill/>
            </a:ln>
            <a:effectLst/>
          </c:spPr>
          <c:invertIfNegative val="0"/>
          <c:cat>
            <c:strRef>
              <c:f>Task_3!$A$29:$A$33</c:f>
              <c:strCache>
                <c:ptCount val="4"/>
                <c:pt idx="0">
                  <c:v>PH</c:v>
                </c:pt>
                <c:pt idx="1">
                  <c:v>SG</c:v>
                </c:pt>
                <c:pt idx="2">
                  <c:v>US</c:v>
                </c:pt>
                <c:pt idx="3">
                  <c:v>AU</c:v>
                </c:pt>
              </c:strCache>
            </c:strRef>
          </c:cat>
          <c:val>
            <c:numRef>
              <c:f>Task_3!$B$29:$B$33</c:f>
              <c:numCache>
                <c:formatCode>General</c:formatCode>
                <c:ptCount val="4"/>
                <c:pt idx="0">
                  <c:v>-5393.5814999999993</c:v>
                </c:pt>
                <c:pt idx="1">
                  <c:v>-4643.4240000000009</c:v>
                </c:pt>
                <c:pt idx="2">
                  <c:v>-3994.2880000000009</c:v>
                </c:pt>
                <c:pt idx="3">
                  <c:v>-3221.1980000000003</c:v>
                </c:pt>
              </c:numCache>
            </c:numRef>
          </c:val>
          <c:extLst>
            <c:ext xmlns:c16="http://schemas.microsoft.com/office/drawing/2014/chart" uri="{C3380CC4-5D6E-409C-BE32-E72D297353CC}">
              <c16:uniqueId val="{00000000-BA6D-47EE-8403-69689FCE019F}"/>
            </c:ext>
          </c:extLst>
        </c:ser>
        <c:dLbls>
          <c:showLegendKey val="0"/>
          <c:showVal val="0"/>
          <c:showCatName val="0"/>
          <c:showSerName val="0"/>
          <c:showPercent val="0"/>
          <c:showBubbleSize val="0"/>
        </c:dLbls>
        <c:gapWidth val="219"/>
        <c:overlap val="-27"/>
        <c:axId val="346626144"/>
        <c:axId val="346639104"/>
      </c:barChart>
      <c:catAx>
        <c:axId val="34662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39104"/>
        <c:crosses val="autoZero"/>
        <c:auto val="1"/>
        <c:lblAlgn val="ctr"/>
        <c:lblOffset val="100"/>
        <c:noMultiLvlLbl val="0"/>
      </c:catAx>
      <c:valAx>
        <c:axId val="3466391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2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10160</xdr:rowOff>
    </xdr:from>
    <xdr:to>
      <xdr:col>19</xdr:col>
      <xdr:colOff>10160</xdr:colOff>
      <xdr:row>35</xdr:row>
      <xdr:rowOff>172720</xdr:rowOff>
    </xdr:to>
    <xdr:sp macro="" textlink="">
      <xdr:nvSpPr>
        <xdr:cNvPr id="12" name="Rectangle 11">
          <a:extLst>
            <a:ext uri="{FF2B5EF4-FFF2-40B4-BE49-F238E27FC236}">
              <a16:creationId xmlns:a16="http://schemas.microsoft.com/office/drawing/2014/main" id="{97490745-A201-8702-01ED-6AA90BEA1D94}"/>
            </a:ext>
          </a:extLst>
        </xdr:cNvPr>
        <xdr:cNvSpPr/>
      </xdr:nvSpPr>
      <xdr:spPr>
        <a:xfrm>
          <a:off x="0" y="802640"/>
          <a:ext cx="11592560" cy="6035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566450</xdr:colOff>
      <xdr:row>20</xdr:row>
      <xdr:rowOff>24087</xdr:rowOff>
    </xdr:from>
    <xdr:to>
      <xdr:col>16</xdr:col>
      <xdr:colOff>93837</xdr:colOff>
      <xdr:row>34</xdr:row>
      <xdr:rowOff>172720</xdr:rowOff>
    </xdr:to>
    <xdr:sp macro="" textlink="">
      <xdr:nvSpPr>
        <xdr:cNvPr id="8" name="Rectangle: Rounded Corners 7">
          <a:extLst>
            <a:ext uri="{FF2B5EF4-FFF2-40B4-BE49-F238E27FC236}">
              <a16:creationId xmlns:a16="http://schemas.microsoft.com/office/drawing/2014/main" id="{90E87E44-366C-4DD9-9663-9BA5D6BE5956}"/>
            </a:ext>
          </a:extLst>
        </xdr:cNvPr>
        <xdr:cNvSpPr/>
      </xdr:nvSpPr>
      <xdr:spPr>
        <a:xfrm>
          <a:off x="1176050" y="3945847"/>
          <a:ext cx="8671387" cy="27089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102741</xdr:colOff>
      <xdr:row>4</xdr:row>
      <xdr:rowOff>68495</xdr:rowOff>
    </xdr:from>
    <xdr:to>
      <xdr:col>9</xdr:col>
      <xdr:colOff>68494</xdr:colOff>
      <xdr:row>19</xdr:row>
      <xdr:rowOff>17124</xdr:rowOff>
    </xdr:to>
    <xdr:sp macro="" textlink="">
      <xdr:nvSpPr>
        <xdr:cNvPr id="7" name="Rectangle: Rounded Corners 6">
          <a:extLst>
            <a:ext uri="{FF2B5EF4-FFF2-40B4-BE49-F238E27FC236}">
              <a16:creationId xmlns:a16="http://schemas.microsoft.com/office/drawing/2014/main" id="{976A699D-FFB5-6E79-6AC1-73E4234C6947}"/>
            </a:ext>
          </a:extLst>
        </xdr:cNvPr>
        <xdr:cNvSpPr/>
      </xdr:nvSpPr>
      <xdr:spPr>
        <a:xfrm>
          <a:off x="710629" y="1035978"/>
          <a:ext cx="4828854" cy="26627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369988</xdr:colOff>
      <xdr:row>5</xdr:row>
      <xdr:rowOff>59932</xdr:rowOff>
    </xdr:from>
    <xdr:to>
      <xdr:col>8</xdr:col>
      <xdr:colOff>222606</xdr:colOff>
      <xdr:row>18</xdr:row>
      <xdr:rowOff>25685</xdr:rowOff>
    </xdr:to>
    <xdr:graphicFrame macro="">
      <xdr:nvGraphicFramePr>
        <xdr:cNvPr id="3" name="Chart 2">
          <a:extLst>
            <a:ext uri="{FF2B5EF4-FFF2-40B4-BE49-F238E27FC236}">
              <a16:creationId xmlns:a16="http://schemas.microsoft.com/office/drawing/2014/main" id="{6830599A-F32E-4073-8B1A-8ACF8F72A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184821</xdr:colOff>
      <xdr:row>21</xdr:row>
      <xdr:rowOff>67650</xdr:rowOff>
    </xdr:from>
    <xdr:to>
      <xdr:col>12</xdr:col>
      <xdr:colOff>558479</xdr:colOff>
      <xdr:row>34</xdr:row>
      <xdr:rowOff>12997</xdr:rowOff>
    </xdr:to>
    <xdr:graphicFrame macro="">
      <xdr:nvGraphicFramePr>
        <xdr:cNvPr id="4" name="Chart 3">
          <a:extLst>
            <a:ext uri="{FF2B5EF4-FFF2-40B4-BE49-F238E27FC236}">
              <a16:creationId xmlns:a16="http://schemas.microsoft.com/office/drawing/2014/main" id="{29B3B20E-A729-4204-BDCF-2928BD85D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470899</xdr:colOff>
      <xdr:row>3</xdr:row>
      <xdr:rowOff>171237</xdr:rowOff>
    </xdr:from>
    <xdr:to>
      <xdr:col>18</xdr:col>
      <xdr:colOff>162674</xdr:colOff>
      <xdr:row>19</xdr:row>
      <xdr:rowOff>25687</xdr:rowOff>
    </xdr:to>
    <xdr:sp macro="" textlink="">
      <xdr:nvSpPr>
        <xdr:cNvPr id="9" name="Rectangle: Rounded Corners 8">
          <a:extLst>
            <a:ext uri="{FF2B5EF4-FFF2-40B4-BE49-F238E27FC236}">
              <a16:creationId xmlns:a16="http://schemas.microsoft.com/office/drawing/2014/main" id="{65BA95EC-9502-40AB-868E-3754CC5773A3}"/>
            </a:ext>
          </a:extLst>
        </xdr:cNvPr>
        <xdr:cNvSpPr/>
      </xdr:nvSpPr>
      <xdr:spPr>
        <a:xfrm>
          <a:off x="5941888" y="958922"/>
          <a:ext cx="5162764" cy="27483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10</xdr:col>
      <xdr:colOff>145552</xdr:colOff>
      <xdr:row>5</xdr:row>
      <xdr:rowOff>111304</xdr:rowOff>
    </xdr:from>
    <xdr:to>
      <xdr:col>17</xdr:col>
      <xdr:colOff>524518</xdr:colOff>
      <xdr:row>17</xdr:row>
      <xdr:rowOff>86333</xdr:rowOff>
    </xdr:to>
    <xdr:graphicFrame macro="">
      <xdr:nvGraphicFramePr>
        <xdr:cNvPr id="10" name="Chart 9">
          <a:extLst>
            <a:ext uri="{FF2B5EF4-FFF2-40B4-BE49-F238E27FC236}">
              <a16:creationId xmlns:a16="http://schemas.microsoft.com/office/drawing/2014/main" id="{1DCD28FB-3BF1-4AA7-AD40-6C436213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 refreshedDate="46016.247703240741" createdVersion="8" refreshedVersion="8" minRefreshableVersion="3" recordCount="1000" xr:uid="{DEFCE383-0CE6-4F89-8318-F73054409754}">
  <cacheSource type="worksheet">
    <worksheetSource name="Table13"/>
  </cacheSource>
  <cacheFields count="18">
    <cacheField name="Order_ID" numFmtId="0">
      <sharedItems containsSemiMixedTypes="0" containsString="0" containsNumber="1" containsInteger="1" minValue="100001" maxValue="101000"/>
    </cacheField>
    <cacheField name="Order_Date" numFmtId="14">
      <sharedItems containsSemiMixedTypes="0" containsNonDate="0" containsDate="1" containsString="0" minDate="2024-01-01T00:00:00" maxDate="2173-10-22T00:00:00"/>
    </cacheField>
    <cacheField name="Platform" numFmtId="0">
      <sharedItems count="2">
        <s v="Amazon"/>
        <s v="Shopify"/>
      </sharedItems>
    </cacheField>
    <cacheField name="Product_SKU" numFmtId="0">
      <sharedItems/>
    </cacheField>
    <cacheField name="Product_Name" numFmtId="0">
      <sharedItems count="5">
        <s v="Headphones"/>
        <s v="Wireless Mouse"/>
        <s v="USB-C Cable"/>
        <s v="Laptop Stand"/>
        <s v="Keyboard"/>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 maxValue="119.95" count="949">
        <n v="31.4"/>
        <n v="18.52"/>
        <n v="24.01"/>
        <n v="5.23"/>
        <n v="87.66"/>
        <n v="89.23"/>
        <n v="64.22"/>
        <n v="23.56"/>
        <n v="14.61"/>
        <n v="7.2"/>
        <n v="24.06"/>
        <n v="107.45"/>
        <n v="32.78"/>
        <n v="45.74"/>
        <n v="17.11"/>
        <n v="30.57"/>
        <n v="64.709999999999994"/>
        <n v="74.89"/>
        <n v="33.22"/>
        <n v="11.64"/>
        <n v="49.97"/>
        <n v="31.93"/>
        <n v="30.25"/>
        <n v="115.38"/>
        <n v="75.87"/>
        <n v="69.040000000000006"/>
        <n v="52.81"/>
        <n v="54.33"/>
        <n v="67.2"/>
        <n v="85.09"/>
        <n v="85.75"/>
        <n v="24.74"/>
        <n v="62.51"/>
        <n v="52.38"/>
        <n v="105.11"/>
        <n v="77.61"/>
        <n v="66.239999999999995"/>
        <n v="18.27"/>
        <n v="74.650000000000006"/>
        <n v="18.48"/>
        <n v="43.78"/>
        <n v="21.43"/>
        <n v="84.59"/>
        <n v="28.72"/>
        <n v="50.06"/>
        <n v="108"/>
        <n v="28.5"/>
        <n v="63.4"/>
        <n v="53.22"/>
        <n v="7.08"/>
        <n v="96.17"/>
        <n v="12.94"/>
        <n v="59.54"/>
        <n v="69.48"/>
        <n v="77.27"/>
        <n v="84.19"/>
        <n v="34.130000000000003"/>
        <n v="6.15"/>
        <n v="88.2"/>
        <n v="66.599999999999994"/>
        <n v="101.15"/>
        <n v="99.46"/>
        <n v="101.98"/>
        <n v="60.79"/>
        <n v="43.37"/>
        <n v="96.03"/>
        <n v="56.9"/>
        <n v="26.1"/>
        <n v="103.32"/>
        <n v="106.49"/>
        <n v="58.63"/>
        <n v="13.71"/>
        <n v="49.6"/>
        <n v="97.41"/>
        <n v="108.7"/>
        <n v="28.4"/>
        <n v="12.7"/>
        <n v="105.9"/>
        <n v="49.78"/>
        <n v="67.3"/>
        <n v="116.33"/>
        <n v="12.65"/>
        <n v="79.56"/>
        <n v="13.52"/>
        <n v="48.18"/>
        <n v="97.44"/>
        <n v="54.85"/>
        <n v="119.68"/>
        <n v="69.290000000000006"/>
        <n v="41.93"/>
        <n v="30.31"/>
        <n v="45.31"/>
        <n v="47.84"/>
        <n v="12.9"/>
        <n v="47.5"/>
        <n v="58.39"/>
        <n v="88.11"/>
        <n v="80.52"/>
        <n v="86.51"/>
        <n v="5.96"/>
        <n v="30.03"/>
        <n v="81.09"/>
        <n v="60.66"/>
        <n v="5.61"/>
        <n v="97.52"/>
        <n v="93.87"/>
        <n v="68.069999999999993"/>
        <n v="12.64"/>
        <n v="93.15"/>
        <n v="72.13"/>
        <n v="94.93"/>
        <n v="91.45"/>
        <n v="97.35"/>
        <n v="64.569999999999993"/>
        <n v="21.14"/>
        <n v="82.18"/>
        <n v="76.349999999999994"/>
        <n v="90.36"/>
        <n v="24.54"/>
        <n v="27.42"/>
        <n v="107.4"/>
        <n v="91.25"/>
        <n v="109.45"/>
        <n v="92.25"/>
        <n v="73.67"/>
        <n v="80.23"/>
        <n v="107.25"/>
        <n v="71.56"/>
        <n v="77.73"/>
        <n v="22.99"/>
        <n v="59.5"/>
        <n v="87.39"/>
        <n v="36.159999999999997"/>
        <n v="28.26"/>
        <n v="41.09"/>
        <n v="32.770000000000003"/>
        <n v="29.71"/>
        <n v="53.86"/>
        <n v="109.4"/>
        <n v="63.31"/>
        <n v="26.61"/>
        <n v="13.85"/>
        <n v="85.06"/>
        <n v="49.02"/>
        <n v="99.51"/>
        <n v="80.84"/>
        <n v="96.57"/>
        <n v="36.270000000000003"/>
        <n v="84.62"/>
        <n v="35.369999999999997"/>
        <n v="112.99"/>
        <n v="78.180000000000007"/>
        <n v="42.32"/>
        <n v="35.99"/>
        <n v="26.96"/>
        <n v="84.88"/>
        <n v="30.15"/>
        <n v="73.459999999999994"/>
        <n v="35.43"/>
        <n v="81.13"/>
        <n v="98.72"/>
        <n v="94.47"/>
        <n v="92.5"/>
        <n v="26.59"/>
        <n v="15.16"/>
        <n v="85.38"/>
        <n v="47.36"/>
        <n v="54.72"/>
        <n v="8.58"/>
        <n v="34.85"/>
        <n v="8.8699999999999992"/>
        <n v="106.11"/>
        <n v="32.99"/>
        <n v="69.09"/>
        <n v="9.48"/>
        <n v="81.69"/>
        <n v="42.15"/>
        <n v="108.26"/>
        <n v="107.13"/>
        <n v="42.41"/>
        <n v="108.61"/>
        <n v="119.56"/>
        <n v="99.92"/>
        <n v="102.16"/>
        <n v="33.64"/>
        <n v="71.319999999999993"/>
        <n v="12.73"/>
        <n v="15.92"/>
        <n v="119.87"/>
        <n v="42.56"/>
        <n v="91.04"/>
        <n v="97.77"/>
        <n v="103.67"/>
        <n v="119.73"/>
        <n v="9.64"/>
        <n v="52.29"/>
        <n v="19.96"/>
        <n v="7.58"/>
        <n v="46.45"/>
        <n v="95.13"/>
        <n v="70.11"/>
        <n v="40.97"/>
        <n v="80.25"/>
        <n v="31.68"/>
        <n v="6.65"/>
        <n v="92.9"/>
        <n v="76.73"/>
        <n v="92.66"/>
        <n v="101.27"/>
        <n v="76.25"/>
        <n v="69.790000000000006"/>
        <n v="76.83"/>
        <n v="104.41"/>
        <n v="72.5"/>
        <n v="71.81"/>
        <n v="118.93"/>
        <n v="92.02"/>
        <n v="55.86"/>
        <n v="86.35"/>
        <n v="49.76"/>
        <n v="31.32"/>
        <n v="73.64"/>
        <n v="111.74"/>
        <n v="111.85"/>
        <n v="44.32"/>
        <n v="65.680000000000007"/>
        <n v="29.34"/>
        <n v="119.5"/>
        <n v="117.83"/>
        <n v="79.69"/>
        <n v="97.51"/>
        <n v="87.24"/>
        <n v="73.209999999999994"/>
        <n v="11.14"/>
        <n v="57.3"/>
        <n v="82.6"/>
        <n v="82.92"/>
        <n v="47.91"/>
        <n v="113.29"/>
        <n v="24.25"/>
        <n v="62.54"/>
        <n v="84.45"/>
        <n v="85.17"/>
        <n v="79.59"/>
        <n v="36.659999999999997"/>
        <n v="22.96"/>
        <n v="78.13"/>
        <n v="73.92"/>
        <n v="25.63"/>
        <n v="86.09"/>
        <n v="57.34"/>
        <n v="81.790000000000006"/>
        <n v="101.3"/>
        <n v="24.52"/>
        <n v="94.6"/>
        <n v="75.12"/>
        <n v="85.46"/>
        <n v="101.39"/>
        <n v="97.32"/>
        <n v="115.51"/>
        <n v="66.63"/>
        <n v="61.18"/>
        <n v="51.22"/>
        <n v="22.67"/>
        <n v="70.849999999999994"/>
        <n v="36.86"/>
        <n v="110.95"/>
        <n v="72.069999999999993"/>
        <n v="73.180000000000007"/>
        <n v="45.82"/>
        <n v="10.98"/>
        <n v="8.65"/>
        <n v="53.68"/>
        <n v="14.73"/>
        <n v="74.790000000000006"/>
        <n v="106.31"/>
        <n v="106.54"/>
        <n v="80.790000000000006"/>
        <n v="29.29"/>
        <n v="104.24"/>
        <n v="106.9"/>
        <n v="27.62"/>
        <n v="89.8"/>
        <n v="37.950000000000003"/>
        <n v="97.3"/>
        <n v="8.4499999999999993"/>
        <n v="108.2"/>
        <n v="76.599999999999994"/>
        <n v="116.94"/>
        <n v="58.48"/>
        <n v="102.45"/>
        <n v="12.18"/>
        <n v="43.56"/>
        <n v="12.71"/>
        <n v="117.16"/>
        <n v="98.95"/>
        <n v="103.04"/>
        <n v="112.87"/>
        <n v="14.79"/>
        <n v="49.34"/>
        <n v="13.17"/>
        <n v="29.24"/>
        <n v="31.38"/>
        <n v="58.95"/>
        <n v="35.880000000000003"/>
        <n v="16.61"/>
        <n v="24.26"/>
        <n v="21.94"/>
        <n v="116.9"/>
        <n v="92.32"/>
        <n v="116.29"/>
        <n v="55.57"/>
        <n v="37.01"/>
        <n v="96.8"/>
        <n v="42.52"/>
        <n v="39.43"/>
        <n v="31.74"/>
        <n v="19.91"/>
        <n v="34.49"/>
        <n v="45.86"/>
        <n v="82.51"/>
        <n v="12.19"/>
        <n v="29.21"/>
        <n v="98.04"/>
        <n v="21.9"/>
        <n v="44.4"/>
        <n v="104.44"/>
        <n v="22.82"/>
        <n v="14.51"/>
        <n v="60.72"/>
        <n v="39.78"/>
        <n v="20.77"/>
        <n v="71.78"/>
        <n v="63.13"/>
        <n v="21.57"/>
        <n v="76.760000000000005"/>
        <n v="36.47"/>
        <n v="61.1"/>
        <n v="14.46"/>
        <n v="57.85"/>
        <n v="40.24"/>
        <n v="99.57"/>
        <n v="11.55"/>
        <n v="53.14"/>
        <n v="57.72"/>
        <n v="88.38"/>
        <n v="71.040000000000006"/>
        <n v="81.73"/>
        <n v="94.36"/>
        <n v="104.15"/>
        <n v="41.1"/>
        <n v="66.87"/>
        <n v="101.61"/>
        <n v="118.79"/>
        <n v="107.29"/>
        <n v="47.72"/>
        <n v="27.44"/>
        <n v="61.28"/>
        <n v="90.29"/>
        <n v="61.65"/>
        <n v="60.57"/>
        <n v="101.4"/>
        <n v="46.56"/>
        <n v="103.88"/>
        <n v="51.78"/>
        <n v="42.75"/>
        <n v="57.21"/>
        <n v="92.68"/>
        <n v="19.489999999999998"/>
        <n v="27.59"/>
        <n v="114.42"/>
        <n v="25.18"/>
        <n v="70.290000000000006"/>
        <n v="71.62"/>
        <n v="61.31"/>
        <n v="79.150000000000006"/>
        <n v="31.43"/>
        <n v="68.56"/>
        <n v="47.8"/>
        <n v="21.24"/>
        <n v="70.650000000000006"/>
        <n v="26.31"/>
        <n v="37.04"/>
        <n v="26.03"/>
        <n v="99.96"/>
        <n v="37.86"/>
        <n v="111.62"/>
        <n v="116.54"/>
        <n v="70.69"/>
        <n v="21.45"/>
        <n v="48.07"/>
        <n v="96.74"/>
        <n v="47.25"/>
        <n v="15.01"/>
        <n v="69.03"/>
        <n v="102.19"/>
        <n v="96.53"/>
        <n v="25.14"/>
        <n v="82.37"/>
        <n v="30.36"/>
        <n v="30.09"/>
        <n v="105.52"/>
        <n v="33.71"/>
        <n v="35.270000000000003"/>
        <n v="5.08"/>
        <n v="105.13"/>
        <n v="96.15"/>
        <n v="77.14"/>
        <n v="91.28"/>
        <n v="22.49"/>
        <n v="57.71"/>
        <n v="45.39"/>
        <n v="15.78"/>
        <n v="60.91"/>
        <n v="110.89"/>
        <n v="9.61"/>
        <n v="38.520000000000003"/>
        <n v="28.87"/>
        <n v="32.39"/>
        <n v="109.47"/>
        <n v="58.83"/>
        <n v="58.62"/>
        <n v="92.47"/>
        <n v="22.77"/>
        <n v="61.04"/>
        <n v="54.45"/>
        <n v="119.95"/>
        <n v="93.49"/>
        <n v="50.75"/>
        <n v="100.17"/>
        <n v="24.63"/>
        <n v="8.5"/>
        <n v="28.51"/>
        <n v="44.15"/>
        <n v="63.72"/>
        <n v="75.739999999999995"/>
        <n v="109.72"/>
        <n v="63.63"/>
        <n v="62.65"/>
        <n v="10.78"/>
        <n v="9.01"/>
        <n v="68.38"/>
        <n v="55.39"/>
        <n v="101.51"/>
        <n v="23.48"/>
        <n v="7.87"/>
        <n v="56.64"/>
        <n v="32.31"/>
        <n v="10.71"/>
        <n v="88.33"/>
        <n v="17.829999999999998"/>
        <n v="74.959999999999994"/>
        <n v="37.32"/>
        <n v="24.95"/>
        <n v="48.67"/>
        <n v="97.17"/>
        <n v="50.09"/>
        <n v="91.34"/>
        <n v="19.43"/>
        <n v="32.25"/>
        <n v="82.9"/>
        <n v="70.06"/>
        <n v="49.54"/>
        <n v="12.61"/>
        <n v="100.09"/>
        <n v="65.34"/>
        <n v="94.15"/>
        <n v="31.96"/>
        <n v="44.68"/>
        <n v="8.4600000000000009"/>
        <n v="115.57"/>
        <n v="81.8"/>
        <n v="112.32"/>
        <n v="35.53"/>
        <n v="75.319999999999993"/>
        <n v="83.03"/>
        <n v="41.52"/>
        <n v="102.53"/>
        <n v="113.92"/>
        <n v="106.76"/>
        <n v="89.99"/>
        <n v="36.909999999999997"/>
        <n v="37.39"/>
        <n v="115.79"/>
        <n v="6.18"/>
        <n v="87.35"/>
        <n v="86.22"/>
        <n v="76.61"/>
        <n v="118.86"/>
        <n v="40.869999999999997"/>
        <n v="44.1"/>
        <n v="14.08"/>
        <n v="55.92"/>
        <n v="35.020000000000003"/>
        <n v="44.49"/>
        <n v="100.98"/>
        <n v="112.58"/>
        <n v="26.36"/>
        <n v="111.79"/>
        <n v="12.11"/>
        <n v="15.62"/>
        <n v="23.72"/>
        <n v="73.45"/>
        <n v="22.3"/>
        <n v="56.37"/>
        <n v="62.67"/>
        <n v="33.369999999999997"/>
        <n v="59.16"/>
        <n v="81.12"/>
        <n v="91.39"/>
        <n v="91.69"/>
        <n v="71.459999999999994"/>
        <n v="109"/>
        <n v="99"/>
        <n v="92.06"/>
        <n v="11.39"/>
        <n v="5.79"/>
        <n v="29.43"/>
        <n v="81.31"/>
        <n v="51.28"/>
        <n v="106.73"/>
        <n v="107.99"/>
        <n v="109.56"/>
        <n v="84.47"/>
        <n v="36.24"/>
        <n v="26.92"/>
        <n v="26.23"/>
        <n v="44.34"/>
        <n v="100.56"/>
        <n v="18.79"/>
        <n v="89.52"/>
        <n v="66.12"/>
        <n v="38.11"/>
        <n v="61.67"/>
        <n v="39.49"/>
        <n v="73.55"/>
        <n v="54.89"/>
        <n v="23.91"/>
        <n v="18.41"/>
        <n v="67.87"/>
        <n v="108.78"/>
        <n v="44.56"/>
        <n v="89.3"/>
        <n v="80.75"/>
        <n v="112.13"/>
        <n v="99.41"/>
        <n v="70.16"/>
        <n v="80.56"/>
        <n v="108.31"/>
        <n v="50.94"/>
        <n v="42.58"/>
        <n v="6.24"/>
        <n v="100.05"/>
        <n v="97.11"/>
        <n v="17.010000000000002"/>
        <n v="71.34"/>
        <n v="58.36"/>
        <n v="18.649999999999999"/>
        <n v="117.77"/>
        <n v="29.69"/>
        <n v="73.41"/>
        <n v="89.97"/>
        <n v="8.73"/>
        <n v="66.209999999999994"/>
        <n v="16.88"/>
        <n v="24.84"/>
        <n v="70.319999999999993"/>
        <n v="39.08"/>
        <n v="112.91"/>
        <n v="99.16"/>
        <n v="118.11"/>
        <n v="34.86"/>
        <n v="116.52"/>
        <n v="54.59"/>
        <n v="44.96"/>
        <n v="10.79"/>
        <n v="11.07"/>
        <n v="84.58"/>
        <n v="57.66"/>
        <n v="31.05"/>
        <n v="75.61"/>
        <n v="34.08"/>
        <n v="71.430000000000007"/>
        <n v="46.31"/>
        <n v="99.71"/>
        <n v="99.38"/>
        <n v="59.9"/>
        <n v="45.34"/>
        <n v="46.69"/>
        <n v="97.66"/>
        <n v="42.74"/>
        <n v="29.04"/>
        <n v="14.74"/>
        <n v="58.67"/>
        <n v="60.45"/>
        <n v="101.7"/>
        <n v="30.44"/>
        <n v="48.81"/>
        <n v="97.97"/>
        <n v="99.72"/>
        <n v="49.23"/>
        <n v="57.8"/>
        <n v="39.880000000000003"/>
        <n v="112.24"/>
        <n v="18.64"/>
        <n v="112.38"/>
        <n v="83.64"/>
        <n v="66.13"/>
        <n v="8.76"/>
        <n v="59.69"/>
        <n v="51.89"/>
        <n v="23.54"/>
        <n v="80.489999999999995"/>
        <n v="116.68"/>
        <n v="69.650000000000006"/>
        <n v="87.2"/>
        <n v="12.87"/>
        <n v="53.03"/>
        <n v="18.38"/>
        <n v="75.47"/>
        <n v="112.93"/>
        <n v="81.099999999999994"/>
        <n v="13.83"/>
        <n v="45.79"/>
        <n v="68.33"/>
        <n v="51.37"/>
        <n v="100.87"/>
        <n v="98.69"/>
        <n v="75.36"/>
        <n v="47.95"/>
        <n v="34.36"/>
        <n v="17.18"/>
        <n v="45.81"/>
        <n v="52.51"/>
        <n v="82.72"/>
        <n v="80.69"/>
        <n v="13.06"/>
        <n v="50.45"/>
        <n v="25.9"/>
        <n v="23.03"/>
        <n v="100.14"/>
        <n v="9.82"/>
        <n v="53.21"/>
        <n v="24.34"/>
        <n v="106.12"/>
        <n v="69.06"/>
        <n v="31.61"/>
        <n v="62.78"/>
        <n v="89.12"/>
        <n v="115.18"/>
        <n v="30.35"/>
        <n v="106.91"/>
        <n v="112.44"/>
        <n v="110.39"/>
        <n v="78.069999999999993"/>
        <n v="77.430000000000007"/>
        <n v="91.53"/>
        <n v="66.099999999999994"/>
        <n v="82.91"/>
        <n v="54.27"/>
        <n v="99.81"/>
        <n v="21.84"/>
        <n v="100.79"/>
        <n v="67.13"/>
        <n v="102.14"/>
        <n v="54.6"/>
        <n v="48.59"/>
        <n v="110.23"/>
        <n v="33.880000000000003"/>
        <n v="102.08"/>
        <n v="64.12"/>
        <n v="40.47"/>
        <n v="70.900000000000006"/>
        <n v="42.4"/>
        <n v="9.52"/>
        <n v="36.28"/>
        <n v="5.73"/>
        <n v="117.51"/>
        <n v="116.06"/>
        <n v="50.44"/>
        <n v="88.76"/>
        <n v="44.77"/>
        <n v="97.62"/>
        <n v="113.88"/>
        <n v="51.02"/>
        <n v="95.08"/>
        <n v="35.58"/>
        <n v="118.89"/>
        <n v="7.96"/>
        <n v="74.41"/>
        <n v="84.13"/>
        <n v="18.84"/>
        <n v="25.84"/>
        <n v="76.62"/>
        <n v="30.61"/>
        <n v="40.33"/>
        <n v="67.84"/>
        <n v="52.98"/>
        <n v="23.43"/>
        <n v="24.66"/>
        <n v="53.09"/>
        <n v="92.09"/>
        <n v="108.27"/>
        <n v="14.67"/>
        <n v="50.21"/>
        <n v="16.53"/>
        <n v="6.91"/>
        <n v="74.28"/>
        <n v="23.75"/>
        <n v="31.89"/>
        <n v="7.73"/>
        <n v="101.02"/>
        <n v="117.09"/>
        <n v="20.58"/>
        <n v="31.62"/>
        <n v="104.87"/>
        <n v="111.54"/>
        <n v="53.26"/>
        <n v="10.82"/>
        <n v="9.5299999999999994"/>
        <n v="71"/>
        <n v="50.18"/>
        <n v="8.3000000000000007"/>
        <n v="6.3"/>
        <n v="95.55"/>
        <n v="9.6300000000000008"/>
        <n v="72.66"/>
        <n v="50.73"/>
        <n v="116.99"/>
        <n v="67.58"/>
        <n v="36.65"/>
        <n v="86.59"/>
        <n v="36.22"/>
        <n v="108.99"/>
        <n v="48.09"/>
        <n v="68.23"/>
        <n v="54"/>
        <n v="100.72"/>
        <n v="97.65"/>
        <n v="30.8"/>
        <n v="31"/>
        <n v="98.99"/>
        <n v="112"/>
        <n v="15.97"/>
        <n v="56.76"/>
        <n v="43.81"/>
        <n v="29.28"/>
        <n v="10.9"/>
        <n v="61.64"/>
        <n v="55.84"/>
        <n v="43.46"/>
        <n v="50.38"/>
        <n v="65.94"/>
        <n v="70.78"/>
        <n v="92.42"/>
        <n v="22.7"/>
        <n v="22.16"/>
        <n v="35.840000000000003"/>
        <n v="46.52"/>
        <n v="51.97"/>
        <n v="83.17"/>
        <n v="11.52"/>
        <n v="8.99"/>
        <n v="50.07"/>
        <n v="27.25"/>
        <n v="78.77"/>
        <n v="34.880000000000003"/>
        <n v="39.19"/>
        <n v="31.45"/>
        <n v="52.3"/>
        <n v="32.659999999999997"/>
        <n v="82.32"/>
        <n v="100"/>
        <n v="82.41"/>
        <n v="99.8"/>
        <n v="50.65"/>
        <n v="22.98"/>
        <n v="89.86"/>
        <n v="82.2"/>
        <n v="36.119999999999997"/>
        <n v="14.34"/>
        <n v="119.15"/>
        <n v="118.67"/>
        <n v="117.39"/>
        <n v="96.29"/>
        <n v="80.83"/>
        <n v="71.45"/>
        <n v="104.6"/>
        <n v="38.29"/>
        <n v="58.78"/>
        <n v="76.23"/>
        <n v="54.16"/>
        <n v="42.98"/>
        <n v="69.89"/>
        <n v="102.82"/>
        <n v="28.18"/>
        <n v="112.46"/>
        <n v="84.25"/>
        <n v="99.68"/>
        <n v="68.959999999999994"/>
        <n v="94.64"/>
        <n v="6.86"/>
        <n v="99.11"/>
        <n v="9.6199999999999992"/>
        <n v="107.34"/>
        <n v="119.08"/>
        <n v="38.82"/>
        <n v="29.19"/>
        <n v="93.02"/>
        <n v="34.1"/>
        <n v="104.54"/>
        <n v="16.829999999999998"/>
        <n v="19.48"/>
        <n v="117.6"/>
        <n v="82.49"/>
        <n v="102.39"/>
        <n v="42.3"/>
        <n v="82.8"/>
        <n v="73.34"/>
        <n v="74.36"/>
        <n v="83.49"/>
        <n v="71.17"/>
        <n v="54.34"/>
        <n v="36.729999999999997"/>
        <n v="93.39"/>
        <n v="31.02"/>
        <n v="31.83"/>
        <n v="76.91"/>
        <n v="90.91"/>
        <n v="11.89"/>
        <n v="20.059999999999999"/>
        <n v="74.69"/>
        <n v="102.69"/>
        <n v="10.17"/>
        <n v="89.43"/>
        <n v="44.25"/>
        <n v="60.03"/>
        <n v="111.82"/>
        <n v="43.18"/>
        <n v="58.51"/>
        <n v="6.57"/>
        <n v="14.38"/>
        <n v="34.74"/>
        <n v="8.1999999999999993"/>
        <n v="54.04"/>
        <n v="68.040000000000006"/>
        <n v="25.08"/>
        <n v="39.03"/>
        <n v="81.34"/>
        <n v="116.01"/>
        <n v="10.8"/>
        <n v="107.39"/>
        <n v="69.849999999999994"/>
        <n v="62.53"/>
        <n v="12.98"/>
        <n v="15.34"/>
        <n v="74.099999999999994"/>
        <n v="44.21"/>
        <n v="110.49"/>
        <n v="51.76"/>
        <n v="21.48"/>
        <n v="87.19"/>
        <n v="38.74"/>
        <n v="65.430000000000007"/>
        <n v="85.25"/>
        <n v="108.53"/>
        <n v="96.1"/>
        <n v="82.78"/>
        <n v="83.16"/>
        <n v="113.78"/>
        <n v="39.020000000000003"/>
        <n v="5.13"/>
        <n v="30.06"/>
        <n v="81.11"/>
        <n v="77.88"/>
        <n v="73.25"/>
        <n v="6.87"/>
        <n v="88.81"/>
        <n v="42.21"/>
        <n v="81.48"/>
        <n v="69.010000000000005"/>
        <n v="44.41"/>
        <n v="20.48"/>
        <n v="15.86"/>
        <n v="100.62"/>
        <n v="110.62"/>
        <n v="79.73"/>
        <n v="16.89"/>
        <n v="51.23"/>
        <n v="88.83"/>
        <n v="94.68"/>
        <n v="18.600000000000001"/>
        <n v="5"/>
        <n v="86.9"/>
        <n v="46.01"/>
        <n v="34.270000000000003"/>
        <n v="6.48"/>
        <n v="102.88"/>
        <n v="115.13"/>
        <n v="64.16"/>
        <n v="14.78"/>
        <n v="68.12"/>
        <n v="48.7"/>
        <n v="74.819999999999993"/>
        <n v="49.7"/>
        <n v="32.630000000000003"/>
        <n v="41.22"/>
        <n v="16.11"/>
        <n v="25.34"/>
        <n v="118.54"/>
        <n v="56.07"/>
        <n v="66.17"/>
        <n v="105.47"/>
        <n v="119.49"/>
        <n v="72.010000000000005"/>
        <n v="98.43"/>
        <n v="42.6"/>
        <n v="40.159999999999997"/>
        <n v="51.31"/>
        <n v="82.34"/>
        <n v="83.45"/>
        <n v="41.25"/>
        <n v="20.32"/>
        <n v="19.760000000000002"/>
        <n v="71.53"/>
        <n v="84.74"/>
        <n v="85.57"/>
        <n v="91.65"/>
        <n v="105.38"/>
        <n v="62.5"/>
        <n v="88.98"/>
        <n v="76.2"/>
        <n v="26.46"/>
        <n v="7.95"/>
        <n v="37.72"/>
        <n v="55.95"/>
        <n v="75.97"/>
        <n v="102.75"/>
        <n v="27.57"/>
        <n v="19.440000000000001"/>
        <n v="115.8"/>
        <n v="17.43"/>
        <n v="72.34"/>
        <n v="67.260000000000005"/>
        <n v="14.89"/>
        <n v="11.56"/>
        <n v="17.13"/>
        <n v="67.599999999999994"/>
        <n v="31.88"/>
      </sharedItems>
    </cacheField>
    <cacheField name="Discount_%" numFmtId="0">
      <sharedItems containsSemiMixedTypes="0" containsString="0" containsNumber="1" containsInteger="1" minValue="0" maxValue="15" count="4">
        <n v="5"/>
        <n v="10"/>
        <n v="15"/>
        <n v="0"/>
      </sharedItems>
    </cacheField>
    <cacheField name="Country" numFmtId="0">
      <sharedItems count="4">
        <s v="PH"/>
        <s v="AU"/>
        <s v="US"/>
        <s v="SG"/>
      </sharedItems>
    </cacheField>
    <cacheField name="Order_Status" numFmtId="0">
      <sharedItems count="3">
        <s v="Completed"/>
        <s v="Returned"/>
        <s v="Cancelled"/>
      </sharedItems>
    </cacheField>
    <cacheField name="Gross_Sales" numFmtId="0">
      <sharedItems containsSemiMixedTypes="0" containsString="0" containsNumber="1" minValue="5.23" maxValue="585.79999999999995"/>
    </cacheField>
    <cacheField name="Discount_Amount" numFmtId="0">
      <sharedItems containsSemiMixedTypes="0" containsString="0" containsNumber="1" minValue="0" maxValue="87.86999999999999" count="746">
        <n v="6.28"/>
        <n v="4.63"/>
        <n v="12.005000000000001"/>
        <n v="0.52300000000000002"/>
        <n v="4.383"/>
        <n v="22.307500000000001"/>
        <n v="12.843999999999999"/>
        <n v="11.78"/>
        <n v="10.9575"/>
        <n v="1.08"/>
        <n v="3.609"/>
        <n v="48.352499999999999"/>
        <n v="3.278"/>
        <n v="0"/>
        <n v="4.2774999999999999"/>
        <n v="13.756500000000001"/>
        <n v="7.4890000000000008"/>
        <n v="24.914999999999999"/>
        <n v="6.984"/>
        <n v="24.984999999999999"/>
        <n v="19.158000000000001"/>
        <n v="4.5375000000000014"/>
        <n v="46.152000000000001"/>
        <n v="34.141500000000001"/>
        <n v="6.9040000000000008"/>
        <n v="21.123999999999999"/>
        <n v="27.164999999999999"/>
        <n v="63.817500000000003"/>
        <n v="11.132999999999999"/>
        <n v="12.502000000000001"/>
        <n v="7.8570000000000011"/>
        <n v="26.2775"/>
        <n v="11.641500000000001"/>
        <n v="19.872"/>
        <n v="7.3079999999999998"/>
        <n v="4.3780000000000001"/>
        <n v="63.442500000000003"/>
        <n v="21.54"/>
        <n v="10.644"/>
        <n v="1.0620000000000001"/>
        <n v="9.7050000000000001"/>
        <n v="5.9540000000000006"/>
        <n v="31.265999999999998"/>
        <n v="38.634999999999998"/>
        <n v="50.514000000000003"/>
        <n v="1.845"/>
        <n v="17.64"/>
        <n v="16.649999999999999"/>
        <n v="10.115"/>
        <n v="59.675999999999988"/>
        <n v="5.0990000000000002"/>
        <n v="17.347999999999999"/>
        <n v="17.07"/>
        <n v="3.9150000000000009"/>
        <n v="30.995999999999999"/>
        <n v="42.595999999999997"/>
        <n v="23.452000000000002"/>
        <n v="4.9600000000000009"/>
        <n v="16.305"/>
        <n v="3.81"/>
        <n v="7.4669999999999996"/>
        <n v="10.095000000000001"/>
        <n v="11.632999999999999"/>
        <n v="1.2649999999999999"/>
        <n v="11.933999999999999"/>
        <n v="10.14"/>
        <n v="19.488"/>
        <n v="32.909999999999997"/>
        <n v="17.952000000000002"/>
        <n v="13.858000000000001"/>
        <n v="31.447500000000002"/>
        <n v="19.135999999999999"/>
        <n v="3.2250000000000001"/>
        <n v="7.125"/>
        <n v="8.8109999999999999"/>
        <n v="4.0259999999999998"/>
        <n v="12.9765"/>
        <n v="1.788"/>
        <n v="9.0090000000000003"/>
        <n v="45.49499999999999"/>
        <n v="1.4025000000000001"/>
        <n v="29.256"/>
        <n v="23.467500000000001"/>
        <n v="10.2105"/>
        <n v="5.6879999999999997"/>
        <n v="18.63"/>
        <n v="23.732500000000002"/>
        <n v="36.580000000000013"/>
        <n v="9.7349999999999994"/>
        <n v="3.1709999999999998"/>
        <n v="13.554"/>
        <n v="2.4540000000000002"/>
        <n v="10.74"/>
        <n v="41.0625"/>
        <n v="18.45"/>
        <n v="3.6835"/>
        <n v="40.115000000000009"/>
        <n v="16.087499999999999"/>
        <n v="17.2425"/>
        <n v="13.108499999999999"/>
        <n v="1.8080000000000001"/>
        <n v="16.956"/>
        <n v="9.8310000000000013"/>
        <n v="2.9710000000000001"/>
        <n v="5.3860000000000001"/>
        <n v="21.88"/>
        <n v="28.4895"/>
        <n v="4.1550000000000002"/>
        <n v="17.012"/>
        <n v="12.255000000000001"/>
        <n v="48.284999999999997"/>
        <n v="27.202500000000001"/>
        <n v="15.916499999999999"/>
        <n v="22.597999999999999"/>
        <n v="11.727"/>
        <n v="4.2320000000000002"/>
        <n v="10.797000000000001"/>
        <n v="10.784000000000001"/>
        <n v="33.951999999999998"/>
        <n v="6.03"/>
        <n v="22.038"/>
        <n v="3.5430000000000001"/>
        <n v="19.744"/>
        <n v="28.341000000000001"/>
        <n v="41.625"/>
        <n v="11.37"/>
        <n v="42.69"/>
        <n v="4.7359999999999998"/>
        <n v="5.4720000000000004"/>
        <n v="0.8580000000000001"/>
        <n v="17.425000000000001"/>
        <n v="6.652499999999999"/>
        <n v="34.545000000000009"/>
        <n v="4.266"/>
        <n v="4.0845000000000002"/>
        <n v="2.1074999999999999"/>
        <n v="16.239000000000001"/>
        <n v="21.425999999999998"/>
        <n v="65.165999999999997"/>
        <n v="23.911999999999999"/>
        <n v="19.984000000000002"/>
        <n v="10.215999999999999"/>
        <n v="6.7280000000000006"/>
        <n v="14.263999999999999"/>
        <n v="7.6379999999999999"/>
        <n v="11.94"/>
        <n v="23.974"/>
        <n v="31.92"/>
        <n v="13.656000000000001"/>
        <n v="9.777000000000001"/>
        <n v="23.946000000000002"/>
        <n v="6.5540000000000012"/>
        <n v="1.996"/>
        <n v="1.516"/>
        <n v="2.3224999999999998"/>
        <n v="9.5129999999999999"/>
        <n v="3.5055000000000001"/>
        <n v="20.0625"/>
        <n v="3.1680000000000001"/>
        <n v="1.9950000000000001"/>
        <n v="13.935"/>
        <n v="23.018999999999998"/>
        <n v="4.633"/>
        <n v="4.7400000000000011"/>
        <n v="3.8125"/>
        <n v="34.895000000000003"/>
        <n v="15.366"/>
        <n v="3.625"/>
        <n v="17.839500000000001"/>
        <n v="2.7930000000000001"/>
        <n v="14.928000000000001"/>
        <n v="6.2640000000000002"/>
        <n v="14.728"/>
        <n v="44.695999999999998"/>
        <n v="22.37"/>
        <n v="16.420000000000002"/>
        <n v="17.925000000000001"/>
        <n v="47.132000000000012"/>
        <n v="8.7240000000000002"/>
        <n v="7.3209999999999997"/>
        <n v="28.65"/>
        <n v="4.13"/>
        <n v="49.752000000000002"/>
        <n v="14.372999999999999"/>
        <n v="7.2749999999999986"/>
        <n v="15.635"/>
        <n v="21.112500000000001"/>
        <n v="25.550999999999998"/>
        <n v="39.795000000000009"/>
        <n v="18.329999999999998"/>
        <n v="1.1479999999999999"/>
        <n v="46.877999999999993"/>
        <n v="11.087999999999999"/>
        <n v="17.218"/>
        <n v="12.2685"/>
        <n v="50.650000000000013"/>
        <n v="9.8079999999999998"/>
        <n v="28.38"/>
        <n v="45.072000000000003"/>
        <n v="42.73"/>
        <n v="10.138999999999999"/>
        <n v="14.598000000000001"/>
        <n v="13.326000000000001"/>
        <n v="23.048999999999999"/>
        <n v="2.2669999999999999"/>
        <n v="10.6275"/>
        <n v="22.116"/>
        <n v="11.095000000000001"/>
        <n v="14.414"/>
        <n v="3.6590000000000011"/>
        <n v="2.1960000000000002"/>
        <n v="5.8920000000000003"/>
        <n v="14.958"/>
        <n v="15.9465"/>
        <n v="10.654"/>
        <n v="12.118499999999999"/>
        <n v="2.9289999999999998"/>
        <n v="62.543999999999997"/>
        <n v="80.174999999999997"/>
        <n v="20.715"/>
        <n v="44.900000000000013"/>
        <n v="7.5900000000000007"/>
        <n v="0.84499999999999997"/>
        <n v="15.32"/>
        <n v="70.164000000000001"/>
        <n v="51.225000000000001"/>
        <n v="2.1779999999999999"/>
        <n v="87.86999999999999"/>
        <n v="39.580000000000013"/>
        <n v="15.456"/>
        <n v="33.860999999999997"/>
        <n v="7.3949999999999996"/>
        <n v="2.467000000000001"/>
        <n v="1.3169999999999999"/>
        <n v="5.8479999999999999"/>
        <n v="23.58"/>
        <n v="17.940000000000001"/>
        <n v="3.3220000000000001"/>
        <n v="12.13"/>
        <n v="5.4850000000000003"/>
        <n v="35.07"/>
        <n v="46.516000000000012"/>
        <n v="11.114000000000001"/>
        <n v="5.5515000000000008"/>
        <n v="14.52"/>
        <n v="12.756"/>
        <n v="1.9715"/>
        <n v="17.245000000000001"/>
        <n v="13.757999999999999"/>
        <n v="12.3765"/>
        <n v="7.3139999999999992"/>
        <n v="5.8420000000000014"/>
        <n v="19.608000000000001"/>
        <n v="6.5699999999999994"/>
        <n v="4.4400000000000004"/>
        <n v="62.663999999999987"/>
        <n v="9.1280000000000001"/>
        <n v="24.288"/>
        <n v="41.874000000000002"/>
        <n v="29.231999999999999"/>
        <n v="15.577500000000001"/>
        <n v="18.939"/>
        <n v="3.2355"/>
        <n v="27.352499999999999"/>
        <n v="15.275"/>
        <n v="39.828000000000003"/>
        <n v="1.155"/>
        <n v="21.256"/>
        <n v="8.6579999999999995"/>
        <n v="22.094999999999999"/>
        <n v="20.432500000000001"/>
        <n v="56.616"/>
        <n v="30.0915"/>
        <n v="5.9395000000000007"/>
        <n v="53.64500000000001"/>
        <n v="21.474"/>
        <n v="5.4880000000000004"/>
        <n v="27.576000000000001"/>
        <n v="67.717500000000001"/>
        <n v="13.968"/>
        <n v="25.65"/>
        <n v="11.442"/>
        <n v="9.2680000000000007"/>
        <n v="11.694000000000001"/>
        <n v="2.7589999999999999"/>
        <n v="18.885000000000002"/>
        <n v="14.324"/>
        <n v="18.393000000000001"/>
        <n v="15.83"/>
        <n v="3.1429999999999998"/>
        <n v="14.34"/>
        <n v="4.2480000000000002"/>
        <n v="7.0650000000000013"/>
        <n v="7.4080000000000004"/>
        <n v="1.5075000000000001"/>
        <n v="7.8090000000000002"/>
        <n v="14.994"/>
        <n v="18.93"/>
        <n v="50.228999999999999"/>
        <n v="34.962000000000003"/>
        <n v="19.228000000000002"/>
        <n v="58.043999999999997"/>
        <n v="14.175000000000001"/>
        <n v="6.7545000000000002"/>
        <n v="6.9029999999999996"/>
        <n v="57.917999999999999"/>
        <n v="15.084"/>
        <n v="12.355499999999999"/>
        <n v="4.5539999999999994"/>
        <n v="31.655999999999999"/>
        <n v="1.6855"/>
        <n v="1.27"/>
        <n v="63.078000000000003"/>
        <n v="38.460000000000008"/>
        <n v="3.8570000000000002"/>
        <n v="41.076000000000001"/>
        <n v="1.1245000000000001"/>
        <n v="17.312999999999999"/>
        <n v="20.4255"/>
        <n v="4.734"/>
        <n v="30.454999999999998"/>
        <n v="11.089"/>
        <n v="82.102500000000006"/>
        <n v="8.8245000000000005"/>
        <n v="14.654999999999999"/>
        <n v="36.988"/>
        <n v="5.6924999999999999"/>
        <n v="9.1560000000000006"/>
        <n v="10.89"/>
        <n v="7.3640000000000008"/>
        <n v="14.0235"/>
        <n v="25.375"/>
        <n v="20.033999999999999"/>
        <n v="11.083500000000001"/>
        <n v="3.4"/>
        <n v="2.2075"/>
        <n v="25.488"/>
        <n v="43.888000000000012"/>
        <n v="19.088999999999999"/>
        <n v="12.53"/>
        <n v="1.0780000000000001"/>
        <n v="3.6040000000000001"/>
        <n v="13.8475"/>
        <n v="5.0755000000000008"/>
        <n v="2.3479999999999999"/>
        <n v="1.1805000000000001"/>
        <n v="9.6929999999999996"/>
        <n v="6.4260000000000002"/>
        <n v="37.479999999999997"/>
        <n v="11.196"/>
        <n v="12.475"/>
        <n v="4.8670000000000009"/>
        <n v="9.7170000000000005"/>
        <n v="22.540500000000002"/>
        <n v="13.701000000000001"/>
        <n v="9.7150000000000016"/>
        <n v="9.3870000000000005"/>
        <n v="9.6749999999999989"/>
        <n v="41.45"/>
        <n v="21.018000000000001"/>
        <n v="67.11"/>
        <n v="7.4309999999999992"/>
        <n v="3.7829999999999999"/>
        <n v="30.027000000000001"/>
        <n v="39.204000000000001"/>
        <n v="18.829999999999998"/>
        <n v="23.97"/>
        <n v="0.42299999999999999"/>
        <n v="22.463999999999999"/>
        <n v="17.765000000000001"/>
        <n v="15.064"/>
        <n v="33.212000000000003"/>
        <n v="8.3040000000000003"/>
        <n v="46.138500000000001"/>
        <n v="85.44"/>
        <n v="10.676"/>
        <n v="3.6909999999999998"/>
        <n v="11.217000000000001"/>
        <n v="86.842500000000001"/>
        <n v="0.92700000000000005"/>
        <n v="4.3674999999999997"/>
        <n v="64.665000000000006"/>
        <n v="34.474499999999999"/>
        <n v="71.316000000000003"/>
        <n v="20.434999999999999"/>
        <n v="33.075000000000003"/>
        <n v="11.183999999999999"/>
        <n v="5.2530000000000001"/>
        <n v="20.020499999999998"/>
        <n v="20.196000000000002"/>
        <n v="33.774000000000001"/>
        <n v="1.3180000000000001"/>
        <n v="27.947500000000009"/>
        <n v="1.8165"/>
        <n v="17.4495"/>
        <n v="16.911000000000001"/>
        <n v="6.2670000000000003"/>
        <n v="15.016500000000001"/>
        <n v="11.832000000000001"/>
        <n v="8.1120000000000001"/>
        <n v="18.277999999999999"/>
        <n v="45.844999999999999"/>
        <n v="42.875999999999998"/>
        <n v="27.25"/>
        <n v="46.03"/>
        <n v="1.7084999999999999"/>
        <n v="1.1579999999999999"/>
        <n v="11.772"/>
        <n v="21.346"/>
        <n v="21.597999999999999"/>
        <n v="54.78"/>
        <n v="50.682000000000002"/>
        <n v="3.624000000000001"/>
        <n v="12.114000000000001"/>
        <n v="7.8689999999999998"/>
        <n v="4.4340000000000002"/>
        <n v="8.1675000000000004"/>
        <n v="50.28"/>
        <n v="1.879"/>
        <n v="8.952"/>
        <n v="3.306"/>
        <n v="11.433"/>
        <n v="46.252499999999998"/>
        <n v="3.9489999999999998"/>
        <n v="18.387499999999999"/>
        <n v="21.956"/>
        <n v="13.368"/>
        <n v="8.0750000000000011"/>
        <n v="50.458499999999987"/>
        <n v="44.734499999999997"/>
        <n v="25.47"/>
        <n v="31.934999999999999"/>
        <n v="10.005000000000001"/>
        <n v="5.1030000000000006"/>
        <n v="43.77"/>
        <n v="5.8885000000000014"/>
        <n v="2.5459999999999998"/>
        <n v="3.6705000000000001"/>
        <n v="1.746"/>
        <n v="16.149999999999999"/>
        <n v="1.242"/>
        <n v="10.548"/>
        <n v="56.454999999999998"/>
        <n v="19.832000000000001"/>
        <n v="11.811"/>
        <n v="26.145"/>
        <n v="23.303999999999998"/>
        <n v="21.835999999999999"/>
        <n v="2.1579999999999999"/>
        <n v="12.686999999999999"/>
        <n v="28.83"/>
        <n v="6.2100000000000009"/>
        <n v="56.707500000000003"/>
        <n v="53.572500000000012"/>
        <n v="14.9565"/>
        <n v="5.99"/>
        <n v="9.0680000000000014"/>
        <n v="14.648999999999999"/>
        <n v="35.201999999999998"/>
        <n v="9.0675000000000008"/>
        <n v="30.510000000000009"/>
        <n v="6.088000000000001"/>
        <n v="58.781999999999996"/>
        <n v="5.78"/>
        <n v="19.940000000000001"/>
        <n v="56.12"/>
        <n v="33.713999999999999"/>
        <n v="20.91"/>
        <n v="6.6130000000000004"/>
        <n v="2.5945"/>
        <n v="7.0620000000000012"/>
        <n v="29.170000000000009"/>
        <n v="52.237499999999997"/>
        <n v="13.08"/>
        <n v="5.7915000000000001"/>
        <n v="10.606"/>
        <n v="1.8380000000000001"/>
        <n v="11.320499999999999"/>
        <n v="6.8685000000000009"/>
        <n v="2.5684999999999998"/>
        <n v="5.0435000000000008"/>
        <n v="59.213999999999999"/>
        <n v="7.1924999999999999"/>
        <n v="10.308"/>
        <n v="8.5900000000000016"/>
        <n v="22.905000000000001"/>
        <n v="2.6255000000000002"/>
        <n v="4.1360000000000001"/>
        <n v="4.0345000000000004"/>
        <n v="30.27"/>
        <n v="1.2949999999999999"/>
        <n v="3.4544999999999999"/>
        <n v="30.042000000000002"/>
        <n v="4.4189999999999996"/>
        <n v="53.06"/>
        <n v="6.9060000000000006"/>
        <n v="4.7414999999999994"/>
        <n v="12.555999999999999"/>
        <n v="40.103999999999999"/>
        <n v="28.11"/>
        <n v="66.233999999999995"/>
        <n v="58.072500000000012"/>
        <n v="15.411"/>
        <n v="9.1530000000000005"/>
        <n v="49.746000000000002"/>
        <n v="8.9120000000000008"/>
        <n v="9.8279999999999994"/>
        <n v="20.158000000000001"/>
        <n v="13.426"/>
        <n v="40.856000000000002"/>
        <n v="5.4600000000000009"/>
        <n v="15.246"/>
        <n v="20.416"/>
        <n v="6.4120000000000008"/>
        <n v="14.18"/>
        <n v="5.7119999999999997"/>
        <n v="10.884"/>
        <n v="4.2975000000000003"/>
        <n v="35.253000000000007"/>
        <n v="5.8030000000000008"/>
        <n v="7.5659999999999989"/>
        <n v="6.7154999999999996"/>
        <n v="9.7620000000000005"/>
        <n v="56.94"/>
        <n v="5.3369999999999997"/>
        <n v="4.7759999999999998"/>
        <n v="33.484499999999997"/>
        <n v="25.239000000000001"/>
        <n v="22.585999999999999"/>
        <n v="15.504"/>
        <n v="45.972000000000001"/>
        <n v="18.148499999999999"/>
        <n v="6.7840000000000007"/>
        <n v="13.244999999999999"/>
        <n v="3.5145"/>
        <n v="7.3979999999999997"/>
        <n v="23.890499999999999"/>
        <n v="27.626999999999999"/>
        <n v="21.654"/>
        <n v="8.8019999999999996"/>
        <n v="30.126000000000001"/>
        <n v="1.653"/>
        <n v="32.44"/>
        <n v="3.5625"/>
        <n v="7.9725000000000001"/>
        <n v="2.319"/>
        <n v="11.709"/>
        <n v="2.0579999999999998"/>
        <n v="10.487"/>
        <n v="22.308"/>
        <n v="39.945"/>
        <n v="4.8689999999999998"/>
        <n v="0.95299999999999996"/>
        <n v="1.2450000000000001"/>
        <n v="9.5549999999999997"/>
        <n v="16.096"/>
        <n v="1.4444999999999999"/>
        <n v="18.164999999999999"/>
        <n v="20.292000000000002"/>
        <n v="17.548500000000001"/>
        <n v="33.79"/>
        <n v="7.33"/>
        <n v="43.295000000000009"/>
        <n v="3.6219999999999999"/>
        <n v="21.797999999999998"/>
        <n v="2.404500000000001"/>
        <n v="10.234500000000001"/>
        <n v="3.246"/>
        <n v="20.143999999999998"/>
        <n v="4.8825000000000003"/>
        <n v="6.16"/>
        <n v="9.2999999999999989"/>
        <n v="49.494999999999997"/>
        <n v="22.4"/>
        <n v="1.597"/>
        <n v="14.19"/>
        <n v="13.143000000000001"/>
        <n v="31.539000000000001"/>
        <n v="8.766"/>
        <n v="13.7295"/>
        <n v="3.27"/>
        <n v="33.503999999999998"/>
        <n v="13.038"/>
        <n v="15.114000000000001"/>
        <n v="13.188000000000001"/>
        <n v="2.3559999999999999"/>
        <n v="29.286000000000001"/>
        <n v="9.2420000000000009"/>
        <n v="13.62"/>
        <n v="4.4320000000000004"/>
        <n v="3.584000000000001"/>
        <n v="13.956"/>
        <n v="6.9119999999999999"/>
        <n v="2.6970000000000001"/>
        <n v="2.5034999999999998"/>
        <n v="51.101999999999997"/>
        <n v="10.9"/>
        <n v="35.4465"/>
        <n v="6.9760000000000009"/>
        <n v="48.104999999999997"/>
        <n v="32.4"/>
        <n v="29.392499999999998"/>
        <n v="6.29"/>
        <n v="7.8449999999999989"/>
        <n v="16.463999999999999"/>
        <n v="9.98"/>
        <n v="15.195"/>
        <n v="4.5960000000000001"/>
        <n v="13.478999999999999"/>
        <n v="27.87"/>
        <n v="9.0299999999999994"/>
        <n v="8.6039999999999992"/>
        <n v="5.9574999999999996"/>
        <n v="6.8879999999999999"/>
        <n v="11.867000000000001"/>
        <n v="9.6290000000000013"/>
        <n v="21.434999999999999"/>
        <n v="9.5724999999999998"/>
        <n v="26.451000000000001"/>
        <n v="30.492000000000001"/>
        <n v="5.2290000000000001"/>
        <n v="5.4160000000000004"/>
        <n v="21.49"/>
        <n v="13.978"/>
        <n v="5.141"/>
        <n v="4.2269999999999994"/>
        <n v="56.23"/>
        <n v="33.700000000000003"/>
        <n v="4.9840000000000009"/>
        <n v="18.928000000000001"/>
        <n v="4.9555000000000007"/>
        <n v="2.8860000000000001"/>
        <n v="29.114999999999998"/>
        <n v="5.838000000000001"/>
        <n v="4.6509999999999998"/>
        <n v="6.82"/>
        <n v="31.361999999999998"/>
        <n v="5.0489999999999986"/>
        <n v="5.8440000000000003"/>
        <n v="52.919999999999987"/>
        <n v="49.493999999999993"/>
        <n v="15.358499999999999"/>
        <n v="21.15"/>
        <n v="8.2799999999999994"/>
        <n v="5.4340000000000011"/>
        <n v="16.528500000000001"/>
        <n v="28.016999999999999"/>
        <n v="4.6529999999999996"/>
        <n v="50.771999999999998"/>
        <n v="3.1829999999999998"/>
        <n v="23.073"/>
        <n v="9.0909999999999993"/>
        <n v="6.0179999999999998"/>
        <n v="29.876000000000001"/>
        <n v="51.345000000000013"/>
        <n v="44.715000000000003"/>
        <n v="26.55"/>
        <n v="3.0015000000000001"/>
        <n v="11.182"/>
        <n v="32.384999999999998"/>
        <n v="17.553000000000001"/>
        <n v="4.3140000000000001"/>
        <n v="17.37"/>
        <n v="0.82"/>
        <n v="3.402000000000001"/>
        <n v="7.524"/>
        <n v="3.2400000000000011"/>
        <n v="42.956000000000003"/>
        <n v="34.924999999999997"/>
        <n v="28.138500000000001"/>
        <n v="2.3010000000000002"/>
        <n v="33.344999999999999"/>
        <n v="13.263"/>
        <n v="33.146999999999998"/>
        <n v="5.1760000000000002"/>
        <n v="1.0740000000000001"/>
        <n v="43.594999999999999"/>
        <n v="17.433"/>
        <n v="3.271500000000001"/>
        <n v="8.5250000000000004"/>
        <n v="65.117999999999995"/>
        <n v="41.58"/>
        <n v="11.378"/>
        <n v="2.3085"/>
        <n v="9.0179999999999989"/>
        <n v="40.555000000000007"/>
        <n v="7.7880000000000003"/>
        <n v="10.987500000000001"/>
        <n v="1.0305"/>
        <n v="17.762"/>
        <n v="4.2210000000000001"/>
        <n v="32.592000000000013"/>
        <n v="13.802"/>
        <n v="8.8819999999999997"/>
        <n v="6.1440000000000001"/>
        <n v="7.93"/>
        <n v="20.123999999999999"/>
        <n v="33.186"/>
        <n v="15.946"/>
        <n v="7.6005000000000003"/>
        <n v="10.246"/>
        <n v="8.8830000000000009"/>
        <n v="23.67"/>
        <n v="7.4400000000000013"/>
        <n v="9.202"/>
        <n v="20.562000000000001"/>
        <n v="0.97199999999999998"/>
        <n v="30.208500000000001"/>
        <n v="17.269500000000001"/>
        <n v="10.509"/>
        <n v="16.04"/>
        <n v="11.085000000000001"/>
        <n v="9.9400000000000013"/>
        <n v="8.1575000000000006"/>
        <n v="3.1840000000000002"/>
        <n v="18.548999999999999"/>
        <n v="4.0274999999999999"/>
        <n v="8.4105000000000008"/>
        <n v="13.234"/>
        <n v="26.3675"/>
        <n v="11.949"/>
        <n v="39.372000000000007"/>
        <n v="17.04"/>
        <n v="18.071999999999999"/>
        <n v="20.862500000000001"/>
        <n v="10.3125"/>
        <n v="6.0960000000000001"/>
        <n v="31.091999999999999"/>
        <n v="0.9880000000000001"/>
        <n v="17.8825"/>
        <n v="9.1650000000000009"/>
        <n v="18.75"/>
        <n v="8.8980000000000015"/>
        <n v="3.9689999999999999"/>
        <n v="11.3955"/>
        <n v="51.375"/>
        <n v="2.9159999999999999"/>
        <n v="28.95"/>
        <n v="1.7430000000000001"/>
        <n v="9.0045000000000002"/>
        <n v="20.178000000000001"/>
        <n v="1.734"/>
        <n v="4.2824999999999998"/>
        <n v="36.170000000000009"/>
        <n v="16.899999999999999"/>
        <n v="19.128"/>
      </sharedItems>
    </cacheField>
    <cacheField name="Net_Sales" numFmtId="0">
      <sharedItems containsSemiMixedTypes="0" containsString="0" containsNumber="1" minValue="4.7070000000000007" maxValue="577.84999999999991"/>
    </cacheField>
    <cacheField name="Date_issue_flag" numFmtId="0">
      <sharedItems containsBlank="1"/>
    </cacheField>
    <cacheField name="Date_problem" numFmtId="0">
      <sharedItems/>
    </cacheField>
    <cacheField name="Final_sales" numFmtId="0">
      <sharedItems containsSemiMixedTypes="0" containsString="0" containsNumber="1" minValue="-540" maxValue="577.84999999999991"/>
    </cacheField>
    <cacheField name="High_value_order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01"/>
    <d v="2024-01-01T00:00:00"/>
    <x v="0"/>
    <s v="SKU-017"/>
    <x v="0"/>
    <s v="Electronics"/>
    <n v="4"/>
    <x v="0"/>
    <x v="0"/>
    <x v="0"/>
    <x v="0"/>
    <n v="125.6"/>
    <x v="0"/>
    <n v="119.32"/>
    <s v="NO"/>
    <s v="NO"/>
    <n v="119.32"/>
    <s v="NO"/>
  </r>
  <r>
    <n v="100002"/>
    <d v="2024-01-01T01:00:00"/>
    <x v="1"/>
    <s v="SKU-009"/>
    <x v="1"/>
    <s v="Electronics"/>
    <n v="5"/>
    <x v="1"/>
    <x v="0"/>
    <x v="1"/>
    <x v="0"/>
    <n v="92.6"/>
    <x v="1"/>
    <n v="87.97"/>
    <s v="NO"/>
    <s v="NO"/>
    <n v="87.97"/>
    <s v="NO"/>
  </r>
  <r>
    <n v="100003"/>
    <d v="2024-01-01T02:00:00"/>
    <x v="0"/>
    <s v="SKU-033"/>
    <x v="2"/>
    <s v="Accessories"/>
    <n v="5"/>
    <x v="2"/>
    <x v="1"/>
    <x v="2"/>
    <x v="0"/>
    <n v="120.05"/>
    <x v="2"/>
    <n v="108.045"/>
    <s v="NO"/>
    <s v="NO"/>
    <n v="108.045"/>
    <s v="NO"/>
  </r>
  <r>
    <n v="100004"/>
    <d v="2024-01-01T03:00:00"/>
    <x v="0"/>
    <s v="SKU-020"/>
    <x v="3"/>
    <s v="Electronics"/>
    <n v="1"/>
    <x v="3"/>
    <x v="1"/>
    <x v="2"/>
    <x v="0"/>
    <n v="5.23"/>
    <x v="3"/>
    <n v="4.7070000000000007"/>
    <s v="NO"/>
    <s v="NO"/>
    <n v="4.7070000000000007"/>
    <s v="NO"/>
  </r>
  <r>
    <n v="100005"/>
    <d v="2024-01-01T04:00:00"/>
    <x v="0"/>
    <s v="SKU-013"/>
    <x v="1"/>
    <s v="Accessories"/>
    <n v="1"/>
    <x v="4"/>
    <x v="0"/>
    <x v="2"/>
    <x v="0"/>
    <n v="87.66"/>
    <x v="4"/>
    <n v="83.277000000000001"/>
    <s v="NO"/>
    <s v="NO"/>
    <n v="83.277000000000001"/>
    <s v="NO"/>
  </r>
  <r>
    <n v="100006"/>
    <d v="2024-01-01T05:00:00"/>
    <x v="1"/>
    <s v="SKU-028"/>
    <x v="2"/>
    <s v="Accessories"/>
    <n v="5"/>
    <x v="5"/>
    <x v="0"/>
    <x v="0"/>
    <x v="0"/>
    <n v="446.15"/>
    <x v="5"/>
    <n v="423.84249999999997"/>
    <s v="NO"/>
    <s v="NO"/>
    <n v="423.84249999999997"/>
    <s v="NO"/>
  </r>
  <r>
    <n v="100007"/>
    <d v="2173-10-21T00:00:00"/>
    <x v="0"/>
    <s v="SKU-048"/>
    <x v="2"/>
    <s v="Electronics"/>
    <n v="2"/>
    <x v="6"/>
    <x v="1"/>
    <x v="1"/>
    <x v="0"/>
    <n v="128.44"/>
    <x v="6"/>
    <n v="115.596"/>
    <s v="NO"/>
    <s v="YES"/>
    <n v="115.596"/>
    <s v="NO"/>
  </r>
  <r>
    <n v="100008"/>
    <d v="2024-01-01T07:00:00"/>
    <x v="0"/>
    <s v="SKU-029"/>
    <x v="1"/>
    <s v="Accessories"/>
    <n v="5"/>
    <x v="7"/>
    <x v="1"/>
    <x v="0"/>
    <x v="0"/>
    <n v="117.8"/>
    <x v="7"/>
    <n v="106.02"/>
    <s v="NO"/>
    <s v="NO"/>
    <n v="106.02"/>
    <s v="NO"/>
  </r>
  <r>
    <n v="100009"/>
    <d v="2024-01-01T08:00:00"/>
    <x v="0"/>
    <s v="SKU-013"/>
    <x v="0"/>
    <s v="Accessories"/>
    <n v="5"/>
    <x v="8"/>
    <x v="2"/>
    <x v="0"/>
    <x v="0"/>
    <n v="73.05"/>
    <x v="8"/>
    <n v="62.092500000000001"/>
    <s v="NO"/>
    <s v="NO"/>
    <n v="62.092500000000001"/>
    <s v="NO"/>
  </r>
  <r>
    <n v="100010"/>
    <d v="2024-01-01T09:00:00"/>
    <x v="1"/>
    <s v="SKU-046"/>
    <x v="2"/>
    <s v="Accessories"/>
    <n v="3"/>
    <x v="9"/>
    <x v="0"/>
    <x v="0"/>
    <x v="0"/>
    <n v="21.6"/>
    <x v="9"/>
    <n v="20.52"/>
    <s v="NO"/>
    <s v="NO"/>
    <n v="20.52"/>
    <s v="NO"/>
  </r>
  <r>
    <n v="100011"/>
    <d v="2024-01-01T10:00:00"/>
    <x v="0"/>
    <s v="SKU-035"/>
    <x v="0"/>
    <s v="Accessories"/>
    <n v="3"/>
    <x v="10"/>
    <x v="0"/>
    <x v="3"/>
    <x v="0"/>
    <n v="72.179999999999993"/>
    <x v="10"/>
    <n v="68.570999999999998"/>
    <s v="NO"/>
    <s v="NO"/>
    <n v="68.570999999999998"/>
    <s v="NO"/>
  </r>
  <r>
    <n v="100012"/>
    <d v="2024-01-01T11:00:00"/>
    <x v="0"/>
    <s v="SKU-006"/>
    <x v="1"/>
    <s v="Electronics"/>
    <n v="3"/>
    <x v="11"/>
    <x v="2"/>
    <x v="3"/>
    <x v="0"/>
    <n v="322.35000000000002"/>
    <x v="11"/>
    <n v="273.9975"/>
    <s v="NO"/>
    <s v="NO"/>
    <n v="273.9975"/>
    <s v="NO"/>
  </r>
  <r>
    <n v="100013"/>
    <d v="2024-01-01T12:00:00"/>
    <x v="0"/>
    <s v="SKU-018"/>
    <x v="0"/>
    <s v="Electronics"/>
    <n v="2"/>
    <x v="12"/>
    <x v="0"/>
    <x v="3"/>
    <x v="0"/>
    <n v="65.56"/>
    <x v="12"/>
    <n v="62.281999999999996"/>
    <s v="NO"/>
    <s v="NO"/>
    <n v="62.281999999999996"/>
    <s v="NO"/>
  </r>
  <r>
    <n v="100014"/>
    <d v="2024-01-01T13:00:00"/>
    <x v="0"/>
    <s v="SKU-005"/>
    <x v="4"/>
    <s v="Accessories"/>
    <n v="2"/>
    <x v="13"/>
    <x v="3"/>
    <x v="1"/>
    <x v="1"/>
    <n v="91.48"/>
    <x v="13"/>
    <n v="91.48"/>
    <s v="YES"/>
    <s v="NO"/>
    <n v="-91.48"/>
    <s v="NO"/>
  </r>
  <r>
    <n v="100015"/>
    <d v="2024-01-01T14:00:00"/>
    <x v="1"/>
    <s v="SKU-047"/>
    <x v="3"/>
    <s v="Accessories"/>
    <n v="5"/>
    <x v="14"/>
    <x v="0"/>
    <x v="0"/>
    <x v="0"/>
    <n v="85.55"/>
    <x v="14"/>
    <n v="81.272499999999994"/>
    <s v="NO"/>
    <s v="NO"/>
    <n v="81.272499999999994"/>
    <s v="NO"/>
  </r>
  <r>
    <n v="100016"/>
    <d v="2024-01-01T15:00:00"/>
    <x v="0"/>
    <s v="SKU-025"/>
    <x v="2"/>
    <s v="Electronics"/>
    <n v="3"/>
    <x v="15"/>
    <x v="2"/>
    <x v="0"/>
    <x v="0"/>
    <n v="91.710000000000008"/>
    <x v="15"/>
    <n v="77.953500000000005"/>
    <s v="NO"/>
    <s v="NO"/>
    <n v="77.953500000000005"/>
    <s v="NO"/>
  </r>
  <r>
    <n v="100017"/>
    <d v="2024-01-01T16:00:00"/>
    <x v="1"/>
    <s v="SKU-002"/>
    <x v="3"/>
    <s v="Accessories"/>
    <n v="2"/>
    <x v="16"/>
    <x v="3"/>
    <x v="3"/>
    <x v="0"/>
    <n v="129.41999999999999"/>
    <x v="13"/>
    <n v="129.41999999999999"/>
    <s v="NO"/>
    <s v="NO"/>
    <n v="129.41999999999999"/>
    <s v="NO"/>
  </r>
  <r>
    <n v="100018"/>
    <d v="2024-01-01T17:00:00"/>
    <x v="1"/>
    <s v="SKU-010"/>
    <x v="0"/>
    <s v="Electronics"/>
    <n v="1"/>
    <x v="17"/>
    <x v="1"/>
    <x v="0"/>
    <x v="0"/>
    <n v="74.89"/>
    <x v="16"/>
    <n v="67.400999999999996"/>
    <s v="NO"/>
    <s v="NO"/>
    <n v="67.400999999999996"/>
    <s v="NO"/>
  </r>
  <r>
    <n v="100019"/>
    <d v="2024-01-01T18:00:00"/>
    <x v="1"/>
    <s v="SKU-030"/>
    <x v="2"/>
    <s v="Accessories"/>
    <n v="5"/>
    <x v="18"/>
    <x v="2"/>
    <x v="0"/>
    <x v="0"/>
    <n v="166.1"/>
    <x v="17"/>
    <n v="141.185"/>
    <s v="NO"/>
    <s v="NO"/>
    <n v="141.185"/>
    <s v="NO"/>
  </r>
  <r>
    <n v="100020"/>
    <d v="2024-01-01T19:00:00"/>
    <x v="0"/>
    <s v="SKU-050"/>
    <x v="0"/>
    <s v="Accessories"/>
    <n v="4"/>
    <x v="19"/>
    <x v="2"/>
    <x v="2"/>
    <x v="0"/>
    <n v="46.56"/>
    <x v="18"/>
    <n v="39.576000000000001"/>
    <s v="NO"/>
    <s v="NO"/>
    <n v="39.576000000000001"/>
    <s v="NO"/>
  </r>
  <r>
    <n v="100021"/>
    <d v="2024-01-01T20:00:00"/>
    <x v="1"/>
    <s v="SKU-045"/>
    <x v="4"/>
    <s v="Electronics"/>
    <n v="5"/>
    <x v="20"/>
    <x v="1"/>
    <x v="0"/>
    <x v="0"/>
    <n v="249.85"/>
    <x v="19"/>
    <n v="224.86500000000001"/>
    <s v="NO"/>
    <s v="NO"/>
    <n v="224.86500000000001"/>
    <s v="NO"/>
  </r>
  <r>
    <n v="100022"/>
    <d v="2024-01-01T21:00:00"/>
    <x v="0"/>
    <s v="SKU-005"/>
    <x v="1"/>
    <s v="Electronics"/>
    <n v="4"/>
    <x v="21"/>
    <x v="2"/>
    <x v="2"/>
    <x v="0"/>
    <n v="127.72"/>
    <x v="20"/>
    <n v="108.562"/>
    <s v="NO"/>
    <s v="NO"/>
    <n v="108.562"/>
    <s v="NO"/>
  </r>
  <r>
    <n v="100023"/>
    <d v="2024-01-01T22:00:00"/>
    <x v="1"/>
    <s v="SKU-033"/>
    <x v="2"/>
    <s v="Electronics"/>
    <n v="3"/>
    <x v="22"/>
    <x v="0"/>
    <x v="0"/>
    <x v="0"/>
    <n v="90.75"/>
    <x v="21"/>
    <n v="86.212500000000006"/>
    <s v="NO"/>
    <s v="NO"/>
    <n v="86.212500000000006"/>
    <s v="NO"/>
  </r>
  <r>
    <n v="100024"/>
    <d v="2024-01-01T23:00:00"/>
    <x v="1"/>
    <s v="SKU-001"/>
    <x v="4"/>
    <s v="Electronics"/>
    <n v="4"/>
    <x v="23"/>
    <x v="1"/>
    <x v="1"/>
    <x v="0"/>
    <n v="461.52"/>
    <x v="22"/>
    <n v="415.36799999999999"/>
    <s v="NO"/>
    <s v="NO"/>
    <n v="415.36799999999999"/>
    <s v="NO"/>
  </r>
  <r>
    <n v="100025"/>
    <d v="2024-01-02T00:00:00"/>
    <x v="1"/>
    <s v="SKU-018"/>
    <x v="4"/>
    <s v="Accessories"/>
    <n v="3"/>
    <x v="24"/>
    <x v="2"/>
    <x v="3"/>
    <x v="0"/>
    <n v="227.61"/>
    <x v="23"/>
    <n v="193.46850000000001"/>
    <s v="NO"/>
    <s v="NO"/>
    <n v="193.46850000000001"/>
    <s v="NO"/>
  </r>
  <r>
    <n v="100026"/>
    <d v="2024-01-02T01:00:00"/>
    <x v="1"/>
    <s v="SKU-032"/>
    <x v="2"/>
    <s v="Electronics"/>
    <n v="1"/>
    <x v="25"/>
    <x v="1"/>
    <x v="2"/>
    <x v="0"/>
    <n v="69.040000000000006"/>
    <x v="24"/>
    <n v="62.136000000000003"/>
    <s v="NO"/>
    <s v="NO"/>
    <n v="62.136000000000003"/>
    <s v="NO"/>
  </r>
  <r>
    <n v="100027"/>
    <d v="2024-01-02T02:00:00"/>
    <x v="1"/>
    <s v="SKU-047"/>
    <x v="0"/>
    <s v="Accessories"/>
    <n v="4"/>
    <x v="26"/>
    <x v="1"/>
    <x v="3"/>
    <x v="2"/>
    <n v="211.24"/>
    <x v="25"/>
    <n v="190.11600000000001"/>
    <s v="YES"/>
    <s v="NO"/>
    <n v="0"/>
    <s v="NO"/>
  </r>
  <r>
    <n v="100028"/>
    <d v="2024-01-02T03:00:00"/>
    <x v="1"/>
    <s v="SKU-049"/>
    <x v="4"/>
    <s v="Electronics"/>
    <n v="5"/>
    <x v="27"/>
    <x v="1"/>
    <x v="2"/>
    <x v="0"/>
    <n v="271.64999999999998"/>
    <x v="26"/>
    <n v="244.48500000000001"/>
    <s v="NO"/>
    <s v="NO"/>
    <n v="244.48500000000001"/>
    <s v="NO"/>
  </r>
  <r>
    <n v="100029"/>
    <d v="2024-01-02T04:00:00"/>
    <x v="1"/>
    <s v="SKU-011"/>
    <x v="3"/>
    <s v="Electronics"/>
    <n v="3"/>
    <x v="28"/>
    <x v="3"/>
    <x v="2"/>
    <x v="0"/>
    <n v="201.6"/>
    <x v="13"/>
    <n v="201.6"/>
    <s v="NO"/>
    <s v="NO"/>
    <n v="201.6"/>
    <s v="NO"/>
  </r>
  <r>
    <n v="100030"/>
    <d v="2024-01-02T05:00:00"/>
    <x v="1"/>
    <s v="SKU-021"/>
    <x v="4"/>
    <s v="Accessories"/>
    <n v="5"/>
    <x v="29"/>
    <x v="2"/>
    <x v="2"/>
    <x v="1"/>
    <n v="425.45"/>
    <x v="27"/>
    <n v="361.63250000000011"/>
    <s v="YES"/>
    <s v="NO"/>
    <n v="-361.63250000000011"/>
    <s v="NO"/>
  </r>
  <r>
    <n v="100031"/>
    <d v="2024-01-02T06:00:00"/>
    <x v="0"/>
    <s v="SKU-026"/>
    <x v="0"/>
    <s v="Electronics"/>
    <n v="2"/>
    <x v="30"/>
    <x v="3"/>
    <x v="1"/>
    <x v="0"/>
    <n v="171.5"/>
    <x v="13"/>
    <n v="171.5"/>
    <s v="NO"/>
    <s v="NO"/>
    <n v="171.5"/>
    <s v="NO"/>
  </r>
  <r>
    <n v="100032"/>
    <d v="2024-01-02T07:00:00"/>
    <x v="0"/>
    <s v="SKU-025"/>
    <x v="0"/>
    <s v="Electronics"/>
    <n v="3"/>
    <x v="31"/>
    <x v="2"/>
    <x v="0"/>
    <x v="0"/>
    <n v="74.22"/>
    <x v="28"/>
    <n v="63.087000000000003"/>
    <s v="NO"/>
    <s v="NO"/>
    <n v="63.087000000000003"/>
    <s v="NO"/>
  </r>
  <r>
    <n v="100033"/>
    <d v="2024-01-02T08:00:00"/>
    <x v="1"/>
    <s v="SKU-022"/>
    <x v="3"/>
    <s v="Electronics"/>
    <n v="4"/>
    <x v="32"/>
    <x v="0"/>
    <x v="2"/>
    <x v="0"/>
    <n v="250.04"/>
    <x v="29"/>
    <n v="237.53800000000001"/>
    <s v="NO"/>
    <s v="NO"/>
    <n v="237.53800000000001"/>
    <s v="NO"/>
  </r>
  <r>
    <n v="100034"/>
    <d v="2024-01-02T09:00:00"/>
    <x v="1"/>
    <s v="SKU-027"/>
    <x v="4"/>
    <s v="Electronics"/>
    <n v="3"/>
    <x v="33"/>
    <x v="0"/>
    <x v="1"/>
    <x v="1"/>
    <n v="157.13999999999999"/>
    <x v="30"/>
    <n v="149.28299999999999"/>
    <s v="YES"/>
    <s v="NO"/>
    <n v="-149.28299999999999"/>
    <s v="NO"/>
  </r>
  <r>
    <n v="100035"/>
    <d v="2024-01-02T10:00:00"/>
    <x v="1"/>
    <s v="SKU-049"/>
    <x v="0"/>
    <s v="Accessories"/>
    <n v="5"/>
    <x v="34"/>
    <x v="0"/>
    <x v="2"/>
    <x v="0"/>
    <n v="525.54999999999995"/>
    <x v="31"/>
    <n v="499.27249999999998"/>
    <s v="NO"/>
    <s v="NO"/>
    <n v="499.27249999999998"/>
    <s v="YES"/>
  </r>
  <r>
    <n v="100036"/>
    <d v="2024-01-02T11:00:00"/>
    <x v="0"/>
    <s v="SKU-013"/>
    <x v="2"/>
    <s v="Accessories"/>
    <n v="1"/>
    <x v="35"/>
    <x v="2"/>
    <x v="0"/>
    <x v="0"/>
    <n v="77.61"/>
    <x v="32"/>
    <n v="65.968500000000006"/>
    <s v="NO"/>
    <s v="NO"/>
    <n v="65.968500000000006"/>
    <s v="NO"/>
  </r>
  <r>
    <n v="100037"/>
    <d v="2024-01-02T12:00:00"/>
    <x v="1"/>
    <s v="SKU-033"/>
    <x v="1"/>
    <s v="Electronics"/>
    <n v="3"/>
    <x v="36"/>
    <x v="1"/>
    <x v="2"/>
    <x v="0"/>
    <n v="198.72"/>
    <x v="33"/>
    <n v="178.84800000000001"/>
    <s v="NO"/>
    <s v="NO"/>
    <n v="178.84800000000001"/>
    <s v="NO"/>
  </r>
  <r>
    <n v="100038"/>
    <d v="2024-01-02T13:00:00"/>
    <x v="0"/>
    <s v="SKU-034"/>
    <x v="1"/>
    <s v="Electronics"/>
    <n v="4"/>
    <x v="37"/>
    <x v="1"/>
    <x v="1"/>
    <x v="2"/>
    <n v="73.08"/>
    <x v="34"/>
    <n v="65.771999999999991"/>
    <s v="YES"/>
    <s v="NO"/>
    <n v="0"/>
    <s v="NO"/>
  </r>
  <r>
    <n v="100039"/>
    <d v="2024-01-02T14:00:00"/>
    <x v="0"/>
    <s v="SKU-041"/>
    <x v="1"/>
    <s v="Electronics"/>
    <n v="2"/>
    <x v="38"/>
    <x v="3"/>
    <x v="0"/>
    <x v="0"/>
    <n v="149.30000000000001"/>
    <x v="13"/>
    <n v="149.30000000000001"/>
    <s v="NO"/>
    <s v="NO"/>
    <n v="149.30000000000001"/>
    <s v="NO"/>
  </r>
  <r>
    <n v="100040"/>
    <d v="2024-01-02T15:00:00"/>
    <x v="0"/>
    <s v="SKU-035"/>
    <x v="4"/>
    <s v="Accessories"/>
    <n v="1"/>
    <x v="39"/>
    <x v="3"/>
    <x v="1"/>
    <x v="0"/>
    <n v="18.48"/>
    <x v="13"/>
    <n v="18.48"/>
    <s v="NO"/>
    <s v="NO"/>
    <n v="18.48"/>
    <s v="NO"/>
  </r>
  <r>
    <n v="100041"/>
    <d v="2024-01-02T16:00:00"/>
    <x v="0"/>
    <s v="SKU-001"/>
    <x v="3"/>
    <s v="Accessories"/>
    <n v="2"/>
    <x v="40"/>
    <x v="0"/>
    <x v="0"/>
    <x v="1"/>
    <n v="87.56"/>
    <x v="35"/>
    <n v="83.182000000000002"/>
    <s v="YES"/>
    <s v="NO"/>
    <n v="-83.182000000000002"/>
    <s v="NO"/>
  </r>
  <r>
    <n v="100042"/>
    <d v="2024-01-02T17:00:00"/>
    <x v="0"/>
    <s v="SKU-021"/>
    <x v="0"/>
    <s v="Accessories"/>
    <n v="3"/>
    <x v="41"/>
    <x v="3"/>
    <x v="0"/>
    <x v="0"/>
    <n v="64.289999999999992"/>
    <x v="13"/>
    <n v="64.289999999999992"/>
    <s v="NO"/>
    <s v="NO"/>
    <n v="64.289999999999992"/>
    <s v="NO"/>
  </r>
  <r>
    <n v="100043"/>
    <d v="2024-01-02T18:00:00"/>
    <x v="1"/>
    <s v="SKU-048"/>
    <x v="2"/>
    <s v="Accessories"/>
    <n v="5"/>
    <x v="42"/>
    <x v="2"/>
    <x v="3"/>
    <x v="0"/>
    <n v="422.95"/>
    <x v="36"/>
    <n v="359.50750000000011"/>
    <s v="NO"/>
    <s v="NO"/>
    <n v="359.50750000000011"/>
    <s v="NO"/>
  </r>
  <r>
    <n v="100044"/>
    <d v="2024-01-02T19:00:00"/>
    <x v="1"/>
    <s v="SKU-006"/>
    <x v="2"/>
    <s v="Electronics"/>
    <n v="5"/>
    <x v="43"/>
    <x v="2"/>
    <x v="3"/>
    <x v="0"/>
    <n v="143.6"/>
    <x v="37"/>
    <n v="122.06"/>
    <s v="NO"/>
    <s v="NO"/>
    <n v="122.06"/>
    <s v="NO"/>
  </r>
  <r>
    <n v="100045"/>
    <d v="2024-01-02T20:00:00"/>
    <x v="1"/>
    <s v="SKU-028"/>
    <x v="4"/>
    <s v="Electronics"/>
    <n v="4"/>
    <x v="44"/>
    <x v="3"/>
    <x v="3"/>
    <x v="0"/>
    <n v="200.24"/>
    <x v="13"/>
    <n v="200.24"/>
    <s v="NO"/>
    <s v="NO"/>
    <n v="200.24"/>
    <s v="NO"/>
  </r>
  <r>
    <n v="100046"/>
    <d v="2024-01-02T21:00:00"/>
    <x v="1"/>
    <s v="SKU-017"/>
    <x v="1"/>
    <s v="Electronics"/>
    <n v="5"/>
    <x v="45"/>
    <x v="3"/>
    <x v="0"/>
    <x v="1"/>
    <n v="540"/>
    <x v="13"/>
    <n v="540"/>
    <s v="YES"/>
    <s v="NO"/>
    <n v="-540"/>
    <s v="YES"/>
  </r>
  <r>
    <n v="100047"/>
    <d v="2024-01-02T22:00:00"/>
    <x v="1"/>
    <s v="SKU-005"/>
    <x v="4"/>
    <s v="Accessories"/>
    <n v="1"/>
    <x v="46"/>
    <x v="3"/>
    <x v="2"/>
    <x v="0"/>
    <n v="28.5"/>
    <x v="13"/>
    <n v="28.5"/>
    <s v="NO"/>
    <s v="NO"/>
    <n v="28.5"/>
    <s v="NO"/>
  </r>
  <r>
    <n v="100048"/>
    <d v="2024-01-02T23:00:00"/>
    <x v="0"/>
    <s v="SKU-031"/>
    <x v="3"/>
    <s v="Electronics"/>
    <n v="5"/>
    <x v="47"/>
    <x v="3"/>
    <x v="1"/>
    <x v="0"/>
    <n v="317"/>
    <x v="13"/>
    <n v="317"/>
    <s v="NO"/>
    <s v="NO"/>
    <n v="317"/>
    <s v="NO"/>
  </r>
  <r>
    <n v="100049"/>
    <d v="2024-01-03T00:00:00"/>
    <x v="1"/>
    <s v="SKU-005"/>
    <x v="3"/>
    <s v="Accessories"/>
    <n v="4"/>
    <x v="48"/>
    <x v="0"/>
    <x v="1"/>
    <x v="0"/>
    <n v="212.88"/>
    <x v="38"/>
    <n v="202.23599999999999"/>
    <s v="NO"/>
    <s v="NO"/>
    <n v="202.23599999999999"/>
    <s v="NO"/>
  </r>
  <r>
    <n v="100050"/>
    <d v="2024-01-03T01:00:00"/>
    <x v="1"/>
    <s v="SKU-038"/>
    <x v="0"/>
    <s v="Accessories"/>
    <n v="3"/>
    <x v="49"/>
    <x v="0"/>
    <x v="1"/>
    <x v="0"/>
    <n v="21.24"/>
    <x v="39"/>
    <n v="20.178000000000001"/>
    <s v="NO"/>
    <s v="NO"/>
    <n v="20.178000000000001"/>
    <s v="NO"/>
  </r>
  <r>
    <n v="100051"/>
    <d v="2024-01-03T02:00:00"/>
    <x v="0"/>
    <s v="SKU-003"/>
    <x v="0"/>
    <s v="Electronics"/>
    <n v="3"/>
    <x v="50"/>
    <x v="3"/>
    <x v="3"/>
    <x v="2"/>
    <n v="288.51"/>
    <x v="13"/>
    <n v="288.51"/>
    <s v="YES"/>
    <s v="NO"/>
    <n v="0"/>
    <s v="NO"/>
  </r>
  <r>
    <n v="100052"/>
    <d v="2024-01-03T03:00:00"/>
    <x v="1"/>
    <s v="SKU-023"/>
    <x v="3"/>
    <s v="Electronics"/>
    <n v="5"/>
    <x v="51"/>
    <x v="2"/>
    <x v="0"/>
    <x v="0"/>
    <n v="64.7"/>
    <x v="40"/>
    <n v="54.994999999999997"/>
    <s v="NO"/>
    <s v="NO"/>
    <n v="54.994999999999997"/>
    <s v="NO"/>
  </r>
  <r>
    <n v="100053"/>
    <d v="2024-01-03T04:00:00"/>
    <x v="0"/>
    <s v="SKU-037"/>
    <x v="3"/>
    <s v="Electronics"/>
    <n v="2"/>
    <x v="52"/>
    <x v="0"/>
    <x v="3"/>
    <x v="0"/>
    <n v="119.08"/>
    <x v="41"/>
    <n v="113.126"/>
    <s v="NO"/>
    <s v="NO"/>
    <n v="113.126"/>
    <s v="NO"/>
  </r>
  <r>
    <n v="100054"/>
    <d v="2024-01-03T05:00:00"/>
    <x v="1"/>
    <s v="SKU-037"/>
    <x v="3"/>
    <s v="Accessories"/>
    <n v="3"/>
    <x v="53"/>
    <x v="2"/>
    <x v="2"/>
    <x v="0"/>
    <n v="208.44"/>
    <x v="42"/>
    <n v="177.17400000000001"/>
    <s v="NO"/>
    <s v="NO"/>
    <n v="177.17400000000001"/>
    <s v="NO"/>
  </r>
  <r>
    <n v="100055"/>
    <d v="2024-01-03T06:00:00"/>
    <x v="0"/>
    <s v="SKU-010"/>
    <x v="4"/>
    <s v="Accessories"/>
    <n v="5"/>
    <x v="54"/>
    <x v="1"/>
    <x v="0"/>
    <x v="1"/>
    <n v="386.35"/>
    <x v="43"/>
    <n v="347.71499999999997"/>
    <s v="YES"/>
    <s v="NO"/>
    <n v="-347.71499999999997"/>
    <s v="NO"/>
  </r>
  <r>
    <n v="100056"/>
    <d v="2024-01-03T07:00:00"/>
    <x v="1"/>
    <s v="SKU-010"/>
    <x v="3"/>
    <s v="Electronics"/>
    <n v="4"/>
    <x v="55"/>
    <x v="2"/>
    <x v="1"/>
    <x v="0"/>
    <n v="336.76"/>
    <x v="44"/>
    <n v="286.24599999999998"/>
    <s v="NO"/>
    <s v="NO"/>
    <n v="286.24599999999998"/>
    <s v="NO"/>
  </r>
  <r>
    <n v="100057"/>
    <d v="2024-01-03T08:00:00"/>
    <x v="1"/>
    <s v="SKU-019"/>
    <x v="2"/>
    <s v="Electronics"/>
    <n v="5"/>
    <x v="56"/>
    <x v="3"/>
    <x v="3"/>
    <x v="0"/>
    <n v="170.65"/>
    <x v="13"/>
    <n v="170.65"/>
    <s v="NO"/>
    <s v="NO"/>
    <n v="170.65"/>
    <s v="NO"/>
  </r>
  <r>
    <n v="100058"/>
    <d v="2024-01-03T09:00:00"/>
    <x v="0"/>
    <s v="SKU-017"/>
    <x v="1"/>
    <s v="Accessories"/>
    <n v="3"/>
    <x v="57"/>
    <x v="1"/>
    <x v="3"/>
    <x v="0"/>
    <n v="18.45"/>
    <x v="45"/>
    <n v="16.605"/>
    <s v="NO"/>
    <s v="NO"/>
    <n v="16.605"/>
    <s v="NO"/>
  </r>
  <r>
    <n v="100059"/>
    <d v="2024-01-03T10:00:00"/>
    <x v="0"/>
    <s v="SKU-021"/>
    <x v="3"/>
    <s v="Electronics"/>
    <n v="4"/>
    <x v="58"/>
    <x v="0"/>
    <x v="2"/>
    <x v="0"/>
    <n v="352.8"/>
    <x v="46"/>
    <n v="335.16"/>
    <s v="NO"/>
    <s v="NO"/>
    <n v="335.16"/>
    <s v="NO"/>
  </r>
  <r>
    <n v="100060"/>
    <d v="2024-01-03T11:00:00"/>
    <x v="0"/>
    <s v="SKU-014"/>
    <x v="1"/>
    <s v="Accessories"/>
    <n v="5"/>
    <x v="59"/>
    <x v="0"/>
    <x v="2"/>
    <x v="0"/>
    <n v="333"/>
    <x v="47"/>
    <n v="316.35000000000002"/>
    <s v="NO"/>
    <s v="NO"/>
    <n v="316.35000000000002"/>
    <s v="NO"/>
  </r>
  <r>
    <n v="100061"/>
    <d v="2024-01-03T12:00:00"/>
    <x v="0"/>
    <s v="SKU-009"/>
    <x v="4"/>
    <s v="Accessories"/>
    <n v="1"/>
    <x v="60"/>
    <x v="1"/>
    <x v="3"/>
    <x v="0"/>
    <n v="101.15"/>
    <x v="48"/>
    <n v="91.034999999999997"/>
    <s v="NO"/>
    <s v="NO"/>
    <n v="91.034999999999997"/>
    <s v="NO"/>
  </r>
  <r>
    <n v="100062"/>
    <d v="2024-01-03T13:00:00"/>
    <x v="0"/>
    <s v="SKU-046"/>
    <x v="1"/>
    <s v="Electronics"/>
    <n v="4"/>
    <x v="61"/>
    <x v="2"/>
    <x v="2"/>
    <x v="0"/>
    <n v="397.84"/>
    <x v="49"/>
    <n v="338.16399999999999"/>
    <s v="NO"/>
    <s v="NO"/>
    <n v="338.16399999999999"/>
    <s v="NO"/>
  </r>
  <r>
    <n v="100063"/>
    <d v="2024-01-03T14:00:00"/>
    <x v="0"/>
    <s v="SKU-001"/>
    <x v="4"/>
    <s v="Electronics"/>
    <n v="1"/>
    <x v="62"/>
    <x v="0"/>
    <x v="1"/>
    <x v="0"/>
    <n v="101.98"/>
    <x v="50"/>
    <n v="96.881"/>
    <s v="NO"/>
    <s v="NO"/>
    <n v="96.881"/>
    <s v="NO"/>
  </r>
  <r>
    <n v="100064"/>
    <d v="2024-01-03T15:00:00"/>
    <x v="0"/>
    <s v="SKU-045"/>
    <x v="2"/>
    <s v="Electronics"/>
    <n v="2"/>
    <x v="63"/>
    <x v="3"/>
    <x v="2"/>
    <x v="0"/>
    <n v="121.58"/>
    <x v="13"/>
    <n v="121.58"/>
    <s v="NO"/>
    <s v="NO"/>
    <n v="121.58"/>
    <s v="NO"/>
  </r>
  <r>
    <n v="100065"/>
    <d v="2024-01-03T16:00:00"/>
    <x v="0"/>
    <s v="SKU-013"/>
    <x v="4"/>
    <s v="Electronics"/>
    <n v="4"/>
    <x v="64"/>
    <x v="1"/>
    <x v="2"/>
    <x v="1"/>
    <n v="173.48"/>
    <x v="51"/>
    <n v="156.13200000000001"/>
    <s v="YES"/>
    <s v="NO"/>
    <n v="-156.13200000000001"/>
    <s v="NO"/>
  </r>
  <r>
    <n v="100066"/>
    <d v="2024-01-03T17:00:00"/>
    <x v="1"/>
    <s v="SKU-004"/>
    <x v="4"/>
    <s v="Accessories"/>
    <n v="1"/>
    <x v="65"/>
    <x v="3"/>
    <x v="3"/>
    <x v="0"/>
    <n v="96.03"/>
    <x v="13"/>
    <n v="96.03"/>
    <s v="NO"/>
    <s v="NO"/>
    <n v="96.03"/>
    <s v="NO"/>
  </r>
  <r>
    <n v="100067"/>
    <d v="2024-01-03T18:00:00"/>
    <x v="1"/>
    <s v="SKU-001"/>
    <x v="0"/>
    <s v="Accessories"/>
    <n v="3"/>
    <x v="66"/>
    <x v="1"/>
    <x v="3"/>
    <x v="2"/>
    <n v="170.7"/>
    <x v="52"/>
    <n v="153.63"/>
    <s v="YES"/>
    <s v="NO"/>
    <n v="0"/>
    <s v="NO"/>
  </r>
  <r>
    <n v="100068"/>
    <d v="2024-01-03T19:00:00"/>
    <x v="0"/>
    <s v="SKU-049"/>
    <x v="3"/>
    <s v="Accessories"/>
    <n v="3"/>
    <x v="67"/>
    <x v="0"/>
    <x v="0"/>
    <x v="0"/>
    <n v="78.300000000000011"/>
    <x v="53"/>
    <n v="74.385000000000005"/>
    <s v="NO"/>
    <s v="NO"/>
    <n v="74.385000000000005"/>
    <s v="NO"/>
  </r>
  <r>
    <n v="100069"/>
    <d v="2024-01-03T20:00:00"/>
    <x v="1"/>
    <s v="SKU-040"/>
    <x v="3"/>
    <s v="Electronics"/>
    <n v="2"/>
    <x v="68"/>
    <x v="2"/>
    <x v="0"/>
    <x v="0"/>
    <n v="206.64"/>
    <x v="54"/>
    <n v="175.64400000000001"/>
    <s v="NO"/>
    <s v="NO"/>
    <n v="175.64400000000001"/>
    <s v="NO"/>
  </r>
  <r>
    <n v="100070"/>
    <d v="2024-01-03T21:00:00"/>
    <x v="1"/>
    <s v="SKU-032"/>
    <x v="2"/>
    <s v="Accessories"/>
    <n v="4"/>
    <x v="69"/>
    <x v="1"/>
    <x v="3"/>
    <x v="1"/>
    <n v="425.96"/>
    <x v="55"/>
    <n v="383.36399999999998"/>
    <s v="YES"/>
    <s v="NO"/>
    <n v="-383.36399999999998"/>
    <s v="NO"/>
  </r>
  <r>
    <n v="100071"/>
    <d v="2024-01-03T22:00:00"/>
    <x v="1"/>
    <s v="SKU-034"/>
    <x v="2"/>
    <s v="Electronics"/>
    <n v="4"/>
    <x v="70"/>
    <x v="1"/>
    <x v="2"/>
    <x v="0"/>
    <n v="234.52"/>
    <x v="56"/>
    <n v="211.06800000000001"/>
    <s v="NO"/>
    <s v="NO"/>
    <n v="211.06800000000001"/>
    <s v="NO"/>
  </r>
  <r>
    <n v="100072"/>
    <d v="2024-01-03T23:00:00"/>
    <x v="1"/>
    <s v="SKU-028"/>
    <x v="3"/>
    <s v="Electronics"/>
    <n v="4"/>
    <x v="71"/>
    <x v="3"/>
    <x v="2"/>
    <x v="0"/>
    <n v="54.84"/>
    <x v="13"/>
    <n v="54.84"/>
    <s v="NO"/>
    <s v="NO"/>
    <n v="54.84"/>
    <s v="NO"/>
  </r>
  <r>
    <n v="100073"/>
    <d v="2024-01-04T00:00:00"/>
    <x v="0"/>
    <s v="SKU-031"/>
    <x v="0"/>
    <s v="Electronics"/>
    <n v="2"/>
    <x v="72"/>
    <x v="0"/>
    <x v="0"/>
    <x v="2"/>
    <n v="99.2"/>
    <x v="57"/>
    <n v="94.240000000000009"/>
    <s v="YES"/>
    <s v="NO"/>
    <n v="0"/>
    <s v="NO"/>
  </r>
  <r>
    <n v="100074"/>
    <d v="2024-01-04T01:00:00"/>
    <x v="1"/>
    <s v="SKU-008"/>
    <x v="3"/>
    <s v="Electronics"/>
    <n v="4"/>
    <x v="73"/>
    <x v="3"/>
    <x v="0"/>
    <x v="0"/>
    <n v="389.64"/>
    <x v="13"/>
    <n v="389.64"/>
    <s v="NO"/>
    <s v="NO"/>
    <n v="389.64"/>
    <s v="NO"/>
  </r>
  <r>
    <n v="100075"/>
    <d v="2024-01-04T02:00:00"/>
    <x v="0"/>
    <s v="SKU-039"/>
    <x v="0"/>
    <s v="Electronics"/>
    <n v="3"/>
    <x v="74"/>
    <x v="0"/>
    <x v="0"/>
    <x v="0"/>
    <n v="326.10000000000002"/>
    <x v="58"/>
    <n v="309.79500000000002"/>
    <s v="NO"/>
    <s v="NO"/>
    <n v="309.79500000000002"/>
    <s v="NO"/>
  </r>
  <r>
    <n v="100076"/>
    <d v="2024-01-04T03:00:00"/>
    <x v="1"/>
    <s v="SKU-026"/>
    <x v="2"/>
    <s v="Electronics"/>
    <n v="1"/>
    <x v="75"/>
    <x v="3"/>
    <x v="1"/>
    <x v="0"/>
    <n v="28.4"/>
    <x v="13"/>
    <n v="28.4"/>
    <s v="NO"/>
    <s v="NO"/>
    <n v="28.4"/>
    <s v="NO"/>
  </r>
  <r>
    <n v="100077"/>
    <d v="2024-01-04T04:00:00"/>
    <x v="1"/>
    <s v="SKU-034"/>
    <x v="1"/>
    <s v="Accessories"/>
    <n v="3"/>
    <x v="76"/>
    <x v="1"/>
    <x v="1"/>
    <x v="0"/>
    <n v="38.099999999999987"/>
    <x v="59"/>
    <n v="34.289999999999992"/>
    <s v="NO"/>
    <s v="NO"/>
    <n v="34.289999999999992"/>
    <s v="NO"/>
  </r>
  <r>
    <n v="100078"/>
    <d v="2024-01-04T05:00:00"/>
    <x v="1"/>
    <s v="SKU-003"/>
    <x v="2"/>
    <s v="Electronics"/>
    <n v="3"/>
    <x v="77"/>
    <x v="3"/>
    <x v="0"/>
    <x v="0"/>
    <n v="317.7"/>
    <x v="13"/>
    <n v="317.7"/>
    <s v="NO"/>
    <s v="NO"/>
    <n v="317.7"/>
    <s v="NO"/>
  </r>
  <r>
    <n v="100079"/>
    <d v="2024-01-04T06:00:00"/>
    <x v="0"/>
    <s v="SKU-050"/>
    <x v="2"/>
    <s v="Accessories"/>
    <n v="1"/>
    <x v="78"/>
    <x v="2"/>
    <x v="2"/>
    <x v="0"/>
    <n v="49.78"/>
    <x v="60"/>
    <n v="42.313000000000002"/>
    <s v="NO"/>
    <s v="NO"/>
    <n v="42.313000000000002"/>
    <s v="NO"/>
  </r>
  <r>
    <n v="100080"/>
    <d v="2024-01-04T07:00:00"/>
    <x v="1"/>
    <s v="SKU-012"/>
    <x v="4"/>
    <s v="Accessories"/>
    <n v="3"/>
    <x v="79"/>
    <x v="0"/>
    <x v="0"/>
    <x v="0"/>
    <n v="201.9"/>
    <x v="61"/>
    <n v="191.80500000000001"/>
    <s v="NO"/>
    <s v="NO"/>
    <n v="191.80500000000001"/>
    <s v="NO"/>
  </r>
  <r>
    <n v="100081"/>
    <d v="2024-01-04T08:00:00"/>
    <x v="0"/>
    <s v="SKU-001"/>
    <x v="4"/>
    <s v="Electronics"/>
    <n v="2"/>
    <x v="80"/>
    <x v="0"/>
    <x v="1"/>
    <x v="0"/>
    <n v="232.66"/>
    <x v="62"/>
    <n v="221.02699999999999"/>
    <s v="NO"/>
    <s v="NO"/>
    <n v="221.02699999999999"/>
    <s v="NO"/>
  </r>
  <r>
    <n v="100082"/>
    <d v="2024-01-04T09:00:00"/>
    <x v="1"/>
    <s v="SKU-044"/>
    <x v="4"/>
    <s v="Electronics"/>
    <n v="1"/>
    <x v="81"/>
    <x v="1"/>
    <x v="2"/>
    <x v="0"/>
    <n v="12.65"/>
    <x v="63"/>
    <n v="11.385"/>
    <s v="NO"/>
    <s v="NO"/>
    <n v="11.385"/>
    <s v="NO"/>
  </r>
  <r>
    <n v="100083"/>
    <d v="2024-01-04T10:00:00"/>
    <x v="0"/>
    <s v="SKU-005"/>
    <x v="4"/>
    <s v="Electronics"/>
    <n v="3"/>
    <x v="82"/>
    <x v="0"/>
    <x v="1"/>
    <x v="0"/>
    <n v="238.68"/>
    <x v="64"/>
    <n v="226.74600000000001"/>
    <s v="NO"/>
    <s v="NO"/>
    <n v="226.74600000000001"/>
    <s v="NO"/>
  </r>
  <r>
    <n v="100084"/>
    <d v="2024-01-04T11:00:00"/>
    <x v="1"/>
    <s v="SKU-030"/>
    <x v="0"/>
    <s v="Accessories"/>
    <n v="5"/>
    <x v="83"/>
    <x v="2"/>
    <x v="2"/>
    <x v="0"/>
    <n v="67.599999999999994"/>
    <x v="65"/>
    <n v="57.459999999999987"/>
    <s v="NO"/>
    <s v="NO"/>
    <n v="57.459999999999987"/>
    <s v="NO"/>
  </r>
  <r>
    <n v="100085"/>
    <d v="2024-01-04T12:00:00"/>
    <x v="0"/>
    <s v="SKU-030"/>
    <x v="3"/>
    <s v="Electronics"/>
    <n v="3"/>
    <x v="84"/>
    <x v="3"/>
    <x v="1"/>
    <x v="0"/>
    <n v="144.54"/>
    <x v="13"/>
    <n v="144.54"/>
    <s v="NO"/>
    <s v="NO"/>
    <n v="144.54"/>
    <s v="NO"/>
  </r>
  <r>
    <n v="100086"/>
    <d v="2024-01-04T13:00:00"/>
    <x v="0"/>
    <s v="SKU-017"/>
    <x v="1"/>
    <s v="Accessories"/>
    <n v="2"/>
    <x v="85"/>
    <x v="1"/>
    <x v="2"/>
    <x v="0"/>
    <n v="194.88"/>
    <x v="66"/>
    <n v="175.392"/>
    <s v="NO"/>
    <s v="NO"/>
    <n v="175.392"/>
    <s v="NO"/>
  </r>
  <r>
    <n v="100087"/>
    <d v="2024-01-04T14:00:00"/>
    <x v="1"/>
    <s v="SKU-048"/>
    <x v="2"/>
    <s v="Electronics"/>
    <n v="4"/>
    <x v="86"/>
    <x v="2"/>
    <x v="2"/>
    <x v="0"/>
    <n v="219.4"/>
    <x v="67"/>
    <n v="186.49"/>
    <s v="NO"/>
    <s v="NO"/>
    <n v="186.49"/>
    <s v="NO"/>
  </r>
  <r>
    <n v="100088"/>
    <d v="2024-01-04T15:00:00"/>
    <x v="0"/>
    <s v="SKU-047"/>
    <x v="0"/>
    <s v="Electronics"/>
    <n v="3"/>
    <x v="87"/>
    <x v="0"/>
    <x v="2"/>
    <x v="0"/>
    <n v="359.04"/>
    <x v="68"/>
    <n v="341.08800000000002"/>
    <s v="NO"/>
    <s v="NO"/>
    <n v="341.08800000000002"/>
    <s v="NO"/>
  </r>
  <r>
    <n v="100089"/>
    <d v="2024-01-04T16:00:00"/>
    <x v="1"/>
    <s v="SKU-023"/>
    <x v="1"/>
    <s v="Accessories"/>
    <n v="4"/>
    <x v="88"/>
    <x v="0"/>
    <x v="2"/>
    <x v="0"/>
    <n v="277.16000000000003"/>
    <x v="69"/>
    <n v="263.30200000000002"/>
    <s v="NO"/>
    <s v="NO"/>
    <n v="263.30200000000002"/>
    <s v="NO"/>
  </r>
  <r>
    <n v="100090"/>
    <d v="2024-01-04T17:00:00"/>
    <x v="1"/>
    <s v="SKU-015"/>
    <x v="0"/>
    <s v="Accessories"/>
    <n v="5"/>
    <x v="89"/>
    <x v="2"/>
    <x v="3"/>
    <x v="1"/>
    <n v="209.65"/>
    <x v="70"/>
    <n v="178.20249999999999"/>
    <s v="YES"/>
    <s v="NO"/>
    <n v="-178.20249999999999"/>
    <s v="NO"/>
  </r>
  <r>
    <n v="100091"/>
    <d v="2024-01-04T18:00:00"/>
    <x v="1"/>
    <s v="SKU-037"/>
    <x v="0"/>
    <s v="Electronics"/>
    <n v="3"/>
    <x v="90"/>
    <x v="3"/>
    <x v="1"/>
    <x v="0"/>
    <n v="90.929999999999993"/>
    <x v="13"/>
    <n v="90.929999999999993"/>
    <s v="NO"/>
    <s v="NO"/>
    <n v="90.929999999999993"/>
    <s v="NO"/>
  </r>
  <r>
    <n v="100092"/>
    <d v="2024-01-04T19:00:00"/>
    <x v="1"/>
    <s v="SKU-021"/>
    <x v="2"/>
    <s v="Accessories"/>
    <n v="1"/>
    <x v="91"/>
    <x v="3"/>
    <x v="1"/>
    <x v="0"/>
    <n v="45.31"/>
    <x v="13"/>
    <n v="45.31"/>
    <s v="NO"/>
    <s v="NO"/>
    <n v="45.31"/>
    <s v="NO"/>
  </r>
  <r>
    <n v="100093"/>
    <d v="2024-01-04T20:00:00"/>
    <x v="1"/>
    <s v="SKU-014"/>
    <x v="3"/>
    <s v="Accessories"/>
    <n v="4"/>
    <x v="92"/>
    <x v="1"/>
    <x v="3"/>
    <x v="0"/>
    <n v="191.36"/>
    <x v="71"/>
    <n v="172.22399999999999"/>
    <s v="NO"/>
    <s v="NO"/>
    <n v="172.22399999999999"/>
    <s v="NO"/>
  </r>
  <r>
    <n v="100094"/>
    <d v="2024-01-04T21:00:00"/>
    <x v="1"/>
    <s v="SKU-002"/>
    <x v="4"/>
    <s v="Accessories"/>
    <n v="5"/>
    <x v="93"/>
    <x v="0"/>
    <x v="2"/>
    <x v="0"/>
    <n v="64.5"/>
    <x v="72"/>
    <n v="61.274999999999999"/>
    <s v="NO"/>
    <s v="NO"/>
    <n v="61.274999999999999"/>
    <s v="NO"/>
  </r>
  <r>
    <n v="100095"/>
    <d v="2024-01-04T22:00:00"/>
    <x v="1"/>
    <s v="SKU-011"/>
    <x v="3"/>
    <s v="Accessories"/>
    <n v="1"/>
    <x v="94"/>
    <x v="2"/>
    <x v="2"/>
    <x v="1"/>
    <n v="47.5"/>
    <x v="73"/>
    <n v="40.375"/>
    <s v="YES"/>
    <s v="NO"/>
    <n v="-40.375"/>
    <s v="NO"/>
  </r>
  <r>
    <n v="100096"/>
    <d v="2024-01-04T23:00:00"/>
    <x v="1"/>
    <s v="SKU-039"/>
    <x v="2"/>
    <s v="Accessories"/>
    <n v="1"/>
    <x v="95"/>
    <x v="3"/>
    <x v="1"/>
    <x v="1"/>
    <n v="58.39"/>
    <x v="13"/>
    <n v="58.39"/>
    <s v="YES"/>
    <s v="NO"/>
    <n v="-58.39"/>
    <s v="NO"/>
  </r>
  <r>
    <n v="100097"/>
    <d v="2024-01-05T00:00:00"/>
    <x v="1"/>
    <s v="SKU-038"/>
    <x v="2"/>
    <s v="Electronics"/>
    <n v="1"/>
    <x v="96"/>
    <x v="1"/>
    <x v="3"/>
    <x v="0"/>
    <n v="88.11"/>
    <x v="74"/>
    <n v="79.299000000000007"/>
    <s v="NO"/>
    <s v="NO"/>
    <n v="79.299000000000007"/>
    <s v="NO"/>
  </r>
  <r>
    <n v="100098"/>
    <d v="2024-01-05T01:00:00"/>
    <x v="1"/>
    <s v="SKU-034"/>
    <x v="2"/>
    <s v="Electronics"/>
    <n v="1"/>
    <x v="97"/>
    <x v="0"/>
    <x v="2"/>
    <x v="0"/>
    <n v="80.52"/>
    <x v="75"/>
    <n v="76.494"/>
    <s v="NO"/>
    <s v="NO"/>
    <n v="76.494"/>
    <s v="NO"/>
  </r>
  <r>
    <n v="100099"/>
    <d v="2024-01-05T02:00:00"/>
    <x v="1"/>
    <s v="SKU-038"/>
    <x v="1"/>
    <s v="Accessories"/>
    <n v="3"/>
    <x v="98"/>
    <x v="0"/>
    <x v="2"/>
    <x v="1"/>
    <n v="259.52999999999997"/>
    <x v="76"/>
    <n v="246.55350000000001"/>
    <s v="YES"/>
    <s v="NO"/>
    <n v="-246.55350000000001"/>
    <s v="NO"/>
  </r>
  <r>
    <n v="100100"/>
    <d v="2024-01-05T03:00:00"/>
    <x v="0"/>
    <s v="SKU-050"/>
    <x v="3"/>
    <s v="Electronics"/>
    <n v="3"/>
    <x v="99"/>
    <x v="1"/>
    <x v="2"/>
    <x v="2"/>
    <n v="17.88"/>
    <x v="77"/>
    <n v="16.091999999999999"/>
    <s v="YES"/>
    <s v="NO"/>
    <n v="0"/>
    <s v="NO"/>
  </r>
  <r>
    <n v="100101"/>
    <d v="2024-01-05T04:00:00"/>
    <x v="0"/>
    <s v="SKU-034"/>
    <x v="3"/>
    <s v="Electronics"/>
    <n v="3"/>
    <x v="100"/>
    <x v="1"/>
    <x v="0"/>
    <x v="0"/>
    <n v="90.09"/>
    <x v="78"/>
    <n v="81.081000000000003"/>
    <s v="NO"/>
    <s v="NO"/>
    <n v="81.081000000000003"/>
    <s v="NO"/>
  </r>
  <r>
    <n v="100102"/>
    <d v="2024-01-05T05:00:00"/>
    <x v="1"/>
    <s v="SKU-018"/>
    <x v="0"/>
    <s v="Accessories"/>
    <n v="5"/>
    <x v="101"/>
    <x v="3"/>
    <x v="3"/>
    <x v="0"/>
    <n v="405.45"/>
    <x v="13"/>
    <n v="405.45"/>
    <s v="NO"/>
    <s v="NO"/>
    <n v="405.45"/>
    <s v="NO"/>
  </r>
  <r>
    <n v="100103"/>
    <d v="2024-01-05T06:00:00"/>
    <x v="1"/>
    <s v="SKU-030"/>
    <x v="0"/>
    <s v="Electronics"/>
    <n v="5"/>
    <x v="102"/>
    <x v="2"/>
    <x v="2"/>
    <x v="0"/>
    <n v="303.3"/>
    <x v="79"/>
    <n v="257.80499999999989"/>
    <s v="NO"/>
    <s v="NO"/>
    <n v="257.80499999999989"/>
    <s v="NO"/>
  </r>
  <r>
    <n v="100104"/>
    <d v="2024-01-05T07:00:00"/>
    <x v="1"/>
    <s v="SKU-015"/>
    <x v="0"/>
    <s v="Accessories"/>
    <n v="5"/>
    <x v="103"/>
    <x v="0"/>
    <x v="0"/>
    <x v="2"/>
    <n v="28.05"/>
    <x v="80"/>
    <n v="26.647500000000001"/>
    <s v="YES"/>
    <s v="NO"/>
    <n v="0"/>
    <s v="NO"/>
  </r>
  <r>
    <n v="100105"/>
    <d v="2024-01-05T08:00:00"/>
    <x v="1"/>
    <s v="SKU-027"/>
    <x v="2"/>
    <s v="Accessories"/>
    <n v="2"/>
    <x v="104"/>
    <x v="2"/>
    <x v="3"/>
    <x v="0"/>
    <n v="195.04"/>
    <x v="81"/>
    <n v="165.78399999999999"/>
    <s v="NO"/>
    <s v="NO"/>
    <n v="165.78399999999999"/>
    <s v="NO"/>
  </r>
  <r>
    <n v="100106"/>
    <d v="2024-01-05T09:00:00"/>
    <x v="1"/>
    <s v="SKU-034"/>
    <x v="3"/>
    <s v="Electronics"/>
    <n v="5"/>
    <x v="105"/>
    <x v="0"/>
    <x v="2"/>
    <x v="0"/>
    <n v="469.35"/>
    <x v="82"/>
    <n v="445.88250000000011"/>
    <s v="NO"/>
    <s v="NO"/>
    <n v="445.88250000000011"/>
    <s v="NO"/>
  </r>
  <r>
    <n v="100107"/>
    <d v="2024-01-05T10:00:00"/>
    <x v="1"/>
    <s v="SKU-038"/>
    <x v="2"/>
    <s v="Accessories"/>
    <n v="3"/>
    <x v="106"/>
    <x v="0"/>
    <x v="1"/>
    <x v="0"/>
    <n v="204.21"/>
    <x v="83"/>
    <n v="193.99950000000001"/>
    <s v="NO"/>
    <s v="NO"/>
    <n v="193.99950000000001"/>
    <s v="NO"/>
  </r>
  <r>
    <n v="100108"/>
    <d v="2024-01-05T11:00:00"/>
    <x v="1"/>
    <s v="SKU-033"/>
    <x v="1"/>
    <s v="Accessories"/>
    <n v="3"/>
    <x v="107"/>
    <x v="2"/>
    <x v="0"/>
    <x v="0"/>
    <n v="37.92"/>
    <x v="84"/>
    <n v="32.231999999999999"/>
    <s v="NO"/>
    <s v="NO"/>
    <n v="32.231999999999999"/>
    <s v="NO"/>
  </r>
  <r>
    <n v="100109"/>
    <d v="2024-01-05T12:00:00"/>
    <x v="1"/>
    <s v="SKU-024"/>
    <x v="0"/>
    <s v="Accessories"/>
    <n v="2"/>
    <x v="108"/>
    <x v="1"/>
    <x v="0"/>
    <x v="0"/>
    <n v="186.3"/>
    <x v="85"/>
    <n v="167.67"/>
    <s v="NO"/>
    <s v="NO"/>
    <n v="167.67"/>
    <s v="NO"/>
  </r>
  <r>
    <n v="100110"/>
    <d v="2024-01-05T13:00:00"/>
    <x v="0"/>
    <s v="SKU-015"/>
    <x v="2"/>
    <s v="Accessories"/>
    <n v="2"/>
    <x v="109"/>
    <x v="3"/>
    <x v="2"/>
    <x v="2"/>
    <n v="144.26"/>
    <x v="13"/>
    <n v="144.26"/>
    <s v="YES"/>
    <s v="NO"/>
    <n v="0"/>
    <s v="NO"/>
  </r>
  <r>
    <n v="100111"/>
    <d v="2024-01-05T14:00:00"/>
    <x v="1"/>
    <s v="SKU-030"/>
    <x v="2"/>
    <s v="Accessories"/>
    <n v="5"/>
    <x v="110"/>
    <x v="0"/>
    <x v="2"/>
    <x v="0"/>
    <n v="474.65"/>
    <x v="86"/>
    <n v="450.91750000000002"/>
    <s v="NO"/>
    <s v="NO"/>
    <n v="450.91750000000002"/>
    <s v="NO"/>
  </r>
  <r>
    <n v="100112"/>
    <d v="2024-01-05T15:00:00"/>
    <x v="0"/>
    <s v="SKU-042"/>
    <x v="1"/>
    <s v="Electronics"/>
    <n v="4"/>
    <x v="111"/>
    <x v="1"/>
    <x v="0"/>
    <x v="0"/>
    <n v="365.8"/>
    <x v="87"/>
    <n v="329.22"/>
    <s v="NO"/>
    <s v="NO"/>
    <n v="329.22"/>
    <s v="NO"/>
  </r>
  <r>
    <n v="100113"/>
    <d v="2024-01-05T16:00:00"/>
    <x v="1"/>
    <s v="SKU-017"/>
    <x v="4"/>
    <s v="Electronics"/>
    <n v="2"/>
    <x v="112"/>
    <x v="0"/>
    <x v="1"/>
    <x v="0"/>
    <n v="194.7"/>
    <x v="88"/>
    <n v="184.965"/>
    <s v="NO"/>
    <s v="NO"/>
    <n v="184.965"/>
    <s v="NO"/>
  </r>
  <r>
    <n v="100114"/>
    <d v="2024-01-05T17:00:00"/>
    <x v="1"/>
    <s v="SKU-005"/>
    <x v="3"/>
    <s v="Accessories"/>
    <n v="1"/>
    <x v="113"/>
    <x v="3"/>
    <x v="1"/>
    <x v="0"/>
    <n v="64.569999999999993"/>
    <x v="13"/>
    <n v="64.569999999999993"/>
    <s v="NO"/>
    <s v="NO"/>
    <n v="64.569999999999993"/>
    <s v="NO"/>
  </r>
  <r>
    <n v="100115"/>
    <d v="2024-01-05T18:00:00"/>
    <x v="0"/>
    <s v="SKU-029"/>
    <x v="4"/>
    <s v="Accessories"/>
    <n v="3"/>
    <x v="114"/>
    <x v="0"/>
    <x v="3"/>
    <x v="0"/>
    <n v="63.42"/>
    <x v="89"/>
    <n v="60.249000000000002"/>
    <s v="NO"/>
    <s v="NO"/>
    <n v="60.249000000000002"/>
    <s v="NO"/>
  </r>
  <r>
    <n v="100116"/>
    <d v="2024-01-05T19:00:00"/>
    <x v="1"/>
    <s v="SKU-004"/>
    <x v="0"/>
    <s v="Electronics"/>
    <n v="1"/>
    <x v="115"/>
    <x v="3"/>
    <x v="2"/>
    <x v="0"/>
    <n v="82.18"/>
    <x v="13"/>
    <n v="82.18"/>
    <s v="NO"/>
    <s v="NO"/>
    <n v="82.18"/>
    <s v="NO"/>
  </r>
  <r>
    <n v="100117"/>
    <d v="2024-01-05T20:00:00"/>
    <x v="0"/>
    <s v="SKU-010"/>
    <x v="2"/>
    <s v="Accessories"/>
    <n v="3"/>
    <x v="116"/>
    <x v="3"/>
    <x v="1"/>
    <x v="0"/>
    <n v="229.05"/>
    <x v="13"/>
    <n v="229.05"/>
    <s v="NO"/>
    <s v="NO"/>
    <n v="229.05"/>
    <s v="NO"/>
  </r>
  <r>
    <n v="100118"/>
    <d v="2024-01-05T21:00:00"/>
    <x v="1"/>
    <s v="SKU-017"/>
    <x v="1"/>
    <s v="Electronics"/>
    <n v="3"/>
    <x v="117"/>
    <x v="0"/>
    <x v="3"/>
    <x v="0"/>
    <n v="271.08"/>
    <x v="90"/>
    <n v="257.52600000000001"/>
    <s v="NO"/>
    <s v="NO"/>
    <n v="257.52600000000001"/>
    <s v="NO"/>
  </r>
  <r>
    <n v="100119"/>
    <d v="2024-01-05T22:00:00"/>
    <x v="1"/>
    <s v="SKU-010"/>
    <x v="1"/>
    <s v="Accessories"/>
    <n v="2"/>
    <x v="118"/>
    <x v="0"/>
    <x v="1"/>
    <x v="0"/>
    <n v="49.08"/>
    <x v="91"/>
    <n v="46.625999999999998"/>
    <s v="NO"/>
    <s v="NO"/>
    <n v="46.625999999999998"/>
    <s v="NO"/>
  </r>
  <r>
    <n v="100120"/>
    <d v="2024-01-05T23:00:00"/>
    <x v="0"/>
    <s v="SKU-017"/>
    <x v="3"/>
    <s v="Accessories"/>
    <n v="2"/>
    <x v="119"/>
    <x v="3"/>
    <x v="2"/>
    <x v="0"/>
    <n v="54.84"/>
    <x v="13"/>
    <n v="54.84"/>
    <s v="NO"/>
    <s v="NO"/>
    <n v="54.84"/>
    <s v="NO"/>
  </r>
  <r>
    <n v="100121"/>
    <d v="2024-01-06T00:00:00"/>
    <x v="1"/>
    <s v="SKU-020"/>
    <x v="4"/>
    <s v="Accessories"/>
    <n v="1"/>
    <x v="120"/>
    <x v="1"/>
    <x v="3"/>
    <x v="2"/>
    <n v="107.4"/>
    <x v="92"/>
    <n v="96.66"/>
    <s v="YES"/>
    <s v="NO"/>
    <n v="0"/>
    <s v="NO"/>
  </r>
  <r>
    <n v="100122"/>
    <d v="2024-01-06T01:00:00"/>
    <x v="0"/>
    <s v="SKU-024"/>
    <x v="3"/>
    <s v="Accessories"/>
    <n v="3"/>
    <x v="121"/>
    <x v="2"/>
    <x v="3"/>
    <x v="1"/>
    <n v="273.75"/>
    <x v="93"/>
    <n v="232.6875"/>
    <s v="YES"/>
    <s v="NO"/>
    <n v="-232.6875"/>
    <s v="NO"/>
  </r>
  <r>
    <n v="100123"/>
    <d v="2024-01-06T02:00:00"/>
    <x v="1"/>
    <s v="SKU-005"/>
    <x v="2"/>
    <s v="Accessories"/>
    <n v="1"/>
    <x v="122"/>
    <x v="3"/>
    <x v="3"/>
    <x v="0"/>
    <n v="109.45"/>
    <x v="13"/>
    <n v="109.45"/>
    <s v="NO"/>
    <s v="NO"/>
    <n v="109.45"/>
    <s v="NO"/>
  </r>
  <r>
    <n v="100124"/>
    <d v="2024-01-06T03:00:00"/>
    <x v="0"/>
    <s v="SKU-034"/>
    <x v="3"/>
    <s v="Accessories"/>
    <n v="4"/>
    <x v="123"/>
    <x v="0"/>
    <x v="1"/>
    <x v="0"/>
    <n v="369"/>
    <x v="94"/>
    <n v="350.55"/>
    <s v="NO"/>
    <s v="NO"/>
    <n v="350.55"/>
    <s v="NO"/>
  </r>
  <r>
    <n v="100125"/>
    <d v="2024-01-06T04:00:00"/>
    <x v="0"/>
    <s v="SKU-006"/>
    <x v="1"/>
    <s v="Accessories"/>
    <n v="1"/>
    <x v="124"/>
    <x v="0"/>
    <x v="2"/>
    <x v="1"/>
    <n v="73.67"/>
    <x v="95"/>
    <n v="69.986500000000007"/>
    <s v="YES"/>
    <s v="NO"/>
    <n v="-69.986500000000007"/>
    <s v="NO"/>
  </r>
  <r>
    <n v="100126"/>
    <d v="2024-01-06T05:00:00"/>
    <x v="1"/>
    <s v="SKU-002"/>
    <x v="1"/>
    <s v="Electronics"/>
    <n v="5"/>
    <x v="125"/>
    <x v="1"/>
    <x v="3"/>
    <x v="0"/>
    <n v="401.15"/>
    <x v="96"/>
    <n v="361.03500000000003"/>
    <s v="NO"/>
    <s v="NO"/>
    <n v="361.03500000000003"/>
    <s v="NO"/>
  </r>
  <r>
    <n v="100127"/>
    <d v="2024-01-06T06:00:00"/>
    <x v="1"/>
    <s v="SKU-013"/>
    <x v="0"/>
    <s v="Electronics"/>
    <n v="1"/>
    <x v="126"/>
    <x v="2"/>
    <x v="0"/>
    <x v="0"/>
    <n v="107.25"/>
    <x v="97"/>
    <n v="91.162499999999994"/>
    <s v="NO"/>
    <s v="NO"/>
    <n v="91.162499999999994"/>
    <s v="NO"/>
  </r>
  <r>
    <n v="100128"/>
    <d v="2024-01-06T07:00:00"/>
    <x v="0"/>
    <s v="SKU-043"/>
    <x v="0"/>
    <s v="Electronics"/>
    <n v="5"/>
    <x v="127"/>
    <x v="3"/>
    <x v="2"/>
    <x v="1"/>
    <n v="357.8"/>
    <x v="13"/>
    <n v="357.8"/>
    <s v="YES"/>
    <s v="NO"/>
    <n v="-357.8"/>
    <s v="NO"/>
  </r>
  <r>
    <n v="100129"/>
    <d v="2024-01-06T08:00:00"/>
    <x v="1"/>
    <s v="SKU-043"/>
    <x v="2"/>
    <s v="Accessories"/>
    <n v="5"/>
    <x v="128"/>
    <x v="3"/>
    <x v="0"/>
    <x v="0"/>
    <n v="388.65"/>
    <x v="13"/>
    <n v="388.65"/>
    <s v="NO"/>
    <s v="NO"/>
    <n v="388.65"/>
    <s v="NO"/>
  </r>
  <r>
    <n v="100130"/>
    <d v="2024-01-06T09:00:00"/>
    <x v="1"/>
    <s v="SKU-048"/>
    <x v="4"/>
    <s v="Accessories"/>
    <n v="5"/>
    <x v="129"/>
    <x v="2"/>
    <x v="0"/>
    <x v="0"/>
    <n v="114.95"/>
    <x v="98"/>
    <n v="97.707499999999996"/>
    <s v="NO"/>
    <s v="NO"/>
    <n v="97.707499999999996"/>
    <s v="NO"/>
  </r>
  <r>
    <n v="100131"/>
    <d v="2024-01-06T10:00:00"/>
    <x v="1"/>
    <s v="SKU-011"/>
    <x v="3"/>
    <s v="Accessories"/>
    <n v="4"/>
    <x v="130"/>
    <x v="3"/>
    <x v="3"/>
    <x v="2"/>
    <n v="238"/>
    <x v="13"/>
    <n v="238"/>
    <s v="YES"/>
    <s v="NO"/>
    <n v="0"/>
    <s v="NO"/>
  </r>
  <r>
    <n v="100132"/>
    <d v="2024-01-06T11:00:00"/>
    <x v="0"/>
    <s v="SKU-047"/>
    <x v="2"/>
    <s v="Accessories"/>
    <n v="1"/>
    <x v="131"/>
    <x v="2"/>
    <x v="3"/>
    <x v="0"/>
    <n v="87.39"/>
    <x v="99"/>
    <n v="74.281499999999994"/>
    <s v="NO"/>
    <s v="NO"/>
    <n v="74.281499999999994"/>
    <s v="NO"/>
  </r>
  <r>
    <n v="100133"/>
    <d v="2024-01-06T12:00:00"/>
    <x v="0"/>
    <s v="SKU-023"/>
    <x v="0"/>
    <s v="Accessories"/>
    <n v="1"/>
    <x v="132"/>
    <x v="0"/>
    <x v="1"/>
    <x v="0"/>
    <n v="36.159999999999997"/>
    <x v="100"/>
    <n v="34.351999999999997"/>
    <s v="NO"/>
    <s v="NO"/>
    <n v="34.351999999999997"/>
    <s v="NO"/>
  </r>
  <r>
    <n v="100134"/>
    <d v="2024-01-06T13:00:00"/>
    <x v="0"/>
    <s v="SKU-016"/>
    <x v="3"/>
    <s v="Accessories"/>
    <n v="4"/>
    <x v="133"/>
    <x v="2"/>
    <x v="1"/>
    <x v="0"/>
    <n v="113.04"/>
    <x v="101"/>
    <n v="96.084000000000003"/>
    <s v="NO"/>
    <s v="NO"/>
    <n v="96.084000000000003"/>
    <s v="NO"/>
  </r>
  <r>
    <n v="100135"/>
    <d v="2024-01-06T14:00:00"/>
    <x v="0"/>
    <s v="SKU-031"/>
    <x v="0"/>
    <s v="Accessories"/>
    <n v="3"/>
    <x v="134"/>
    <x v="3"/>
    <x v="1"/>
    <x v="0"/>
    <n v="123.27"/>
    <x v="13"/>
    <n v="123.27"/>
    <s v="NO"/>
    <s v="NO"/>
    <n v="123.27"/>
    <s v="NO"/>
  </r>
  <r>
    <n v="100136"/>
    <d v="2024-01-06T15:00:00"/>
    <x v="0"/>
    <s v="SKU-011"/>
    <x v="3"/>
    <s v="Electronics"/>
    <n v="2"/>
    <x v="135"/>
    <x v="2"/>
    <x v="2"/>
    <x v="0"/>
    <n v="65.540000000000006"/>
    <x v="102"/>
    <n v="55.709000000000003"/>
    <s v="NO"/>
    <s v="NO"/>
    <n v="55.709000000000003"/>
    <s v="NO"/>
  </r>
  <r>
    <n v="100137"/>
    <d v="2024-01-06T16:00:00"/>
    <x v="0"/>
    <s v="SKU-016"/>
    <x v="4"/>
    <s v="Accessories"/>
    <n v="1"/>
    <x v="136"/>
    <x v="1"/>
    <x v="1"/>
    <x v="0"/>
    <n v="29.71"/>
    <x v="103"/>
    <n v="26.739000000000001"/>
    <s v="NO"/>
    <s v="NO"/>
    <n v="26.739000000000001"/>
    <s v="NO"/>
  </r>
  <r>
    <n v="100138"/>
    <d v="2024-01-06T17:00:00"/>
    <x v="0"/>
    <s v="SKU-008"/>
    <x v="2"/>
    <s v="Electronics"/>
    <n v="2"/>
    <x v="137"/>
    <x v="0"/>
    <x v="0"/>
    <x v="2"/>
    <n v="107.72"/>
    <x v="104"/>
    <n v="102.334"/>
    <s v="YES"/>
    <s v="NO"/>
    <n v="0"/>
    <s v="NO"/>
  </r>
  <r>
    <n v="100139"/>
    <d v="2024-01-06T18:00:00"/>
    <x v="0"/>
    <s v="SKU-004"/>
    <x v="3"/>
    <s v="Electronics"/>
    <n v="4"/>
    <x v="138"/>
    <x v="0"/>
    <x v="1"/>
    <x v="0"/>
    <n v="437.6"/>
    <x v="105"/>
    <n v="415.72"/>
    <s v="NO"/>
    <s v="NO"/>
    <n v="415.72"/>
    <s v="NO"/>
  </r>
  <r>
    <n v="100140"/>
    <d v="2024-01-06T19:00:00"/>
    <x v="0"/>
    <s v="SKU-040"/>
    <x v="1"/>
    <s v="Accessories"/>
    <n v="3"/>
    <x v="139"/>
    <x v="2"/>
    <x v="3"/>
    <x v="0"/>
    <n v="189.93"/>
    <x v="106"/>
    <n v="161.44049999999999"/>
    <s v="NO"/>
    <s v="NO"/>
    <n v="161.44049999999999"/>
    <s v="NO"/>
  </r>
  <r>
    <n v="100141"/>
    <d v="2024-01-06T20:00:00"/>
    <x v="1"/>
    <s v="SKU-004"/>
    <x v="1"/>
    <s v="Accessories"/>
    <n v="3"/>
    <x v="140"/>
    <x v="3"/>
    <x v="1"/>
    <x v="0"/>
    <n v="79.83"/>
    <x v="13"/>
    <n v="79.83"/>
    <s v="NO"/>
    <s v="NO"/>
    <n v="79.83"/>
    <s v="NO"/>
  </r>
  <r>
    <n v="100142"/>
    <d v="2024-01-06T21:00:00"/>
    <x v="0"/>
    <s v="SKU-025"/>
    <x v="3"/>
    <s v="Electronics"/>
    <n v="3"/>
    <x v="141"/>
    <x v="1"/>
    <x v="2"/>
    <x v="0"/>
    <n v="41.55"/>
    <x v="107"/>
    <n v="37.395000000000003"/>
    <s v="NO"/>
    <s v="NO"/>
    <n v="37.395000000000003"/>
    <s v="NO"/>
  </r>
  <r>
    <n v="100143"/>
    <d v="2024-01-06T22:00:00"/>
    <x v="1"/>
    <s v="SKU-003"/>
    <x v="3"/>
    <s v="Electronics"/>
    <n v="4"/>
    <x v="142"/>
    <x v="0"/>
    <x v="2"/>
    <x v="0"/>
    <n v="340.24"/>
    <x v="108"/>
    <n v="323.22800000000001"/>
    <s v="NO"/>
    <s v="NO"/>
    <n v="323.22800000000001"/>
    <s v="NO"/>
  </r>
  <r>
    <n v="100144"/>
    <d v="2024-01-06T23:00:00"/>
    <x v="1"/>
    <s v="SKU-032"/>
    <x v="3"/>
    <s v="Accessories"/>
    <n v="5"/>
    <x v="143"/>
    <x v="0"/>
    <x v="0"/>
    <x v="2"/>
    <n v="245.1"/>
    <x v="109"/>
    <n v="232.845"/>
    <s v="YES"/>
    <s v="NO"/>
    <n v="0"/>
    <s v="NO"/>
  </r>
  <r>
    <n v="100145"/>
    <d v="2024-01-07T00:00:00"/>
    <x v="1"/>
    <s v="SKU-003"/>
    <x v="1"/>
    <s v="Accessories"/>
    <n v="5"/>
    <x v="144"/>
    <x v="3"/>
    <x v="2"/>
    <x v="1"/>
    <n v="497.55"/>
    <x v="13"/>
    <n v="497.55"/>
    <s v="YES"/>
    <s v="NO"/>
    <n v="-497.55"/>
    <s v="NO"/>
  </r>
  <r>
    <n v="100146"/>
    <d v="2024-01-07T01:00:00"/>
    <x v="0"/>
    <s v="SKU-027"/>
    <x v="1"/>
    <s v="Electronics"/>
    <n v="2"/>
    <x v="145"/>
    <x v="3"/>
    <x v="1"/>
    <x v="0"/>
    <n v="161.68"/>
    <x v="13"/>
    <n v="161.68"/>
    <s v="NO"/>
    <s v="NO"/>
    <n v="161.68"/>
    <s v="NO"/>
  </r>
  <r>
    <n v="100147"/>
    <d v="2024-01-07T02:00:00"/>
    <x v="0"/>
    <s v="SKU-029"/>
    <x v="3"/>
    <s v="Accessories"/>
    <n v="5"/>
    <x v="146"/>
    <x v="1"/>
    <x v="3"/>
    <x v="0"/>
    <n v="482.85"/>
    <x v="110"/>
    <n v="434.56499999999988"/>
    <s v="NO"/>
    <s v="NO"/>
    <n v="434.56499999999988"/>
    <s v="NO"/>
  </r>
  <r>
    <n v="100148"/>
    <d v="2024-01-07T03:00:00"/>
    <x v="0"/>
    <s v="SKU-032"/>
    <x v="0"/>
    <s v="Accessories"/>
    <n v="5"/>
    <x v="147"/>
    <x v="2"/>
    <x v="2"/>
    <x v="0"/>
    <n v="181.35"/>
    <x v="111"/>
    <n v="154.14750000000001"/>
    <s v="NO"/>
    <s v="NO"/>
    <n v="154.14750000000001"/>
    <s v="NO"/>
  </r>
  <r>
    <n v="100149"/>
    <d v="2024-01-07T04:00:00"/>
    <x v="0"/>
    <s v="SKU-050"/>
    <x v="0"/>
    <s v="Accessories"/>
    <n v="3"/>
    <x v="148"/>
    <x v="3"/>
    <x v="0"/>
    <x v="0"/>
    <n v="253.86"/>
    <x v="13"/>
    <n v="253.86"/>
    <s v="NO"/>
    <s v="NO"/>
    <n v="253.86"/>
    <s v="NO"/>
  </r>
  <r>
    <n v="100150"/>
    <d v="2024-01-07T05:00:00"/>
    <x v="1"/>
    <s v="SKU-019"/>
    <x v="4"/>
    <s v="Electronics"/>
    <n v="3"/>
    <x v="149"/>
    <x v="2"/>
    <x v="1"/>
    <x v="0"/>
    <n v="106.11"/>
    <x v="112"/>
    <n v="90.193499999999986"/>
    <s v="NO"/>
    <s v="NO"/>
    <n v="90.193499999999986"/>
    <s v="NO"/>
  </r>
  <r>
    <n v="100151"/>
    <d v="2024-01-07T06:00:00"/>
    <x v="0"/>
    <s v="SKU-021"/>
    <x v="2"/>
    <s v="Electronics"/>
    <n v="2"/>
    <x v="150"/>
    <x v="1"/>
    <x v="0"/>
    <x v="0"/>
    <n v="225.98"/>
    <x v="113"/>
    <n v="203.38200000000001"/>
    <s v="NO"/>
    <s v="NO"/>
    <n v="203.38200000000001"/>
    <s v="NO"/>
  </r>
  <r>
    <n v="100152"/>
    <d v="2024-01-07T07:00:00"/>
    <x v="0"/>
    <s v="SKU-005"/>
    <x v="0"/>
    <s v="Electronics"/>
    <n v="1"/>
    <x v="151"/>
    <x v="2"/>
    <x v="2"/>
    <x v="2"/>
    <n v="78.180000000000007"/>
    <x v="114"/>
    <n v="66.453000000000003"/>
    <s v="YES"/>
    <s v="NO"/>
    <n v="0"/>
    <s v="NO"/>
  </r>
  <r>
    <n v="100153"/>
    <d v="2024-01-07T08:00:00"/>
    <x v="0"/>
    <s v="SKU-018"/>
    <x v="1"/>
    <s v="Accessories"/>
    <n v="2"/>
    <x v="152"/>
    <x v="0"/>
    <x v="2"/>
    <x v="0"/>
    <n v="84.64"/>
    <x v="115"/>
    <n v="80.408000000000001"/>
    <s v="NO"/>
    <s v="NO"/>
    <n v="80.408000000000001"/>
    <s v="NO"/>
  </r>
  <r>
    <n v="100154"/>
    <d v="2024-01-07T09:00:00"/>
    <x v="0"/>
    <s v="SKU-028"/>
    <x v="0"/>
    <s v="Accessories"/>
    <n v="2"/>
    <x v="153"/>
    <x v="2"/>
    <x v="0"/>
    <x v="0"/>
    <n v="71.98"/>
    <x v="116"/>
    <n v="61.183000000000007"/>
    <s v="NO"/>
    <s v="NO"/>
    <n v="61.183000000000007"/>
    <s v="NO"/>
  </r>
  <r>
    <n v="100155"/>
    <d v="2024-01-07T10:00:00"/>
    <x v="0"/>
    <s v="SKU-042"/>
    <x v="4"/>
    <s v="Electronics"/>
    <n v="4"/>
    <x v="154"/>
    <x v="1"/>
    <x v="1"/>
    <x v="0"/>
    <n v="107.84"/>
    <x v="117"/>
    <n v="97.055999999999997"/>
    <s v="NO"/>
    <s v="NO"/>
    <n v="97.055999999999997"/>
    <s v="NO"/>
  </r>
  <r>
    <n v="100156"/>
    <d v="2024-01-07T11:00:00"/>
    <x v="1"/>
    <s v="SKU-022"/>
    <x v="4"/>
    <s v="Electronics"/>
    <n v="4"/>
    <x v="155"/>
    <x v="1"/>
    <x v="2"/>
    <x v="0"/>
    <n v="339.52"/>
    <x v="118"/>
    <n v="305.56799999999998"/>
    <s v="NO"/>
    <s v="NO"/>
    <n v="305.56799999999998"/>
    <s v="NO"/>
  </r>
  <r>
    <n v="100157"/>
    <d v="2024-01-07T12:00:00"/>
    <x v="0"/>
    <s v="SKU-021"/>
    <x v="2"/>
    <s v="Electronics"/>
    <n v="2"/>
    <x v="156"/>
    <x v="1"/>
    <x v="3"/>
    <x v="0"/>
    <n v="60.3"/>
    <x v="119"/>
    <n v="54.27"/>
    <s v="NO"/>
    <s v="NO"/>
    <n v="54.27"/>
    <s v="NO"/>
  </r>
  <r>
    <n v="100158"/>
    <d v="2024-01-07T13:00:00"/>
    <x v="1"/>
    <s v="SKU-006"/>
    <x v="0"/>
    <s v="Accessories"/>
    <n v="2"/>
    <x v="157"/>
    <x v="2"/>
    <x v="2"/>
    <x v="0"/>
    <n v="146.91999999999999"/>
    <x v="120"/>
    <n v="124.88200000000001"/>
    <s v="NO"/>
    <s v="NO"/>
    <n v="124.88200000000001"/>
    <s v="NO"/>
  </r>
  <r>
    <n v="100159"/>
    <d v="2024-01-07T14:00:00"/>
    <x v="0"/>
    <s v="SKU-001"/>
    <x v="1"/>
    <s v="Electronics"/>
    <n v="2"/>
    <x v="158"/>
    <x v="0"/>
    <x v="1"/>
    <x v="0"/>
    <n v="70.86"/>
    <x v="121"/>
    <n v="67.316999999999993"/>
    <s v="NO"/>
    <s v="NO"/>
    <n v="67.316999999999993"/>
    <s v="NO"/>
  </r>
  <r>
    <n v="100160"/>
    <d v="2024-01-07T15:00:00"/>
    <x v="1"/>
    <s v="SKU-005"/>
    <x v="1"/>
    <s v="Electronics"/>
    <n v="5"/>
    <x v="159"/>
    <x v="3"/>
    <x v="2"/>
    <x v="0"/>
    <n v="405.65"/>
    <x v="13"/>
    <n v="405.65"/>
    <s v="NO"/>
    <s v="NO"/>
    <n v="405.65"/>
    <s v="NO"/>
  </r>
  <r>
    <n v="100161"/>
    <d v="2024-01-07T16:00:00"/>
    <x v="0"/>
    <s v="SKU-041"/>
    <x v="3"/>
    <s v="Accessories"/>
    <n v="4"/>
    <x v="160"/>
    <x v="0"/>
    <x v="0"/>
    <x v="0"/>
    <n v="394.88"/>
    <x v="122"/>
    <n v="375.13600000000002"/>
    <s v="NO"/>
    <s v="NO"/>
    <n v="375.13600000000002"/>
    <s v="NO"/>
  </r>
  <r>
    <n v="100162"/>
    <d v="2024-01-07T17:00:00"/>
    <x v="0"/>
    <s v="SKU-012"/>
    <x v="1"/>
    <s v="Accessories"/>
    <n v="2"/>
    <x v="161"/>
    <x v="2"/>
    <x v="2"/>
    <x v="0"/>
    <n v="188.94"/>
    <x v="123"/>
    <n v="160.59899999999999"/>
    <s v="NO"/>
    <s v="NO"/>
    <n v="160.59899999999999"/>
    <s v="NO"/>
  </r>
  <r>
    <n v="100163"/>
    <d v="2024-01-07T18:00:00"/>
    <x v="1"/>
    <s v="SKU-026"/>
    <x v="2"/>
    <s v="Accessories"/>
    <n v="3"/>
    <x v="162"/>
    <x v="2"/>
    <x v="2"/>
    <x v="0"/>
    <n v="277.5"/>
    <x v="124"/>
    <n v="235.875"/>
    <s v="NO"/>
    <s v="NO"/>
    <n v="235.875"/>
    <s v="NO"/>
  </r>
  <r>
    <n v="100164"/>
    <d v="2024-01-07T19:00:00"/>
    <x v="1"/>
    <s v="SKU-046"/>
    <x v="2"/>
    <s v="Electronics"/>
    <n v="3"/>
    <x v="163"/>
    <x v="3"/>
    <x v="1"/>
    <x v="0"/>
    <n v="79.77"/>
    <x v="13"/>
    <n v="79.77"/>
    <s v="NO"/>
    <s v="NO"/>
    <n v="79.77"/>
    <s v="NO"/>
  </r>
  <r>
    <n v="100165"/>
    <d v="2024-01-07T20:00:00"/>
    <x v="1"/>
    <s v="SKU-034"/>
    <x v="1"/>
    <s v="Accessories"/>
    <n v="5"/>
    <x v="164"/>
    <x v="2"/>
    <x v="0"/>
    <x v="0"/>
    <n v="75.8"/>
    <x v="125"/>
    <n v="64.429999999999993"/>
    <s v="NO"/>
    <s v="NO"/>
    <n v="64.429999999999993"/>
    <s v="NO"/>
  </r>
  <r>
    <n v="100166"/>
    <d v="2024-01-07T21:00:00"/>
    <x v="0"/>
    <s v="SKU-049"/>
    <x v="1"/>
    <s v="Accessories"/>
    <n v="5"/>
    <x v="165"/>
    <x v="1"/>
    <x v="1"/>
    <x v="0"/>
    <n v="426.9"/>
    <x v="126"/>
    <n v="384.21"/>
    <s v="NO"/>
    <s v="NO"/>
    <n v="384.21"/>
    <s v="NO"/>
  </r>
  <r>
    <n v="100167"/>
    <d v="2024-01-07T22:00:00"/>
    <x v="1"/>
    <s v="SKU-014"/>
    <x v="3"/>
    <s v="Electronics"/>
    <n v="1"/>
    <x v="166"/>
    <x v="1"/>
    <x v="2"/>
    <x v="0"/>
    <n v="47.36"/>
    <x v="127"/>
    <n v="42.624000000000002"/>
    <s v="NO"/>
    <s v="NO"/>
    <n v="42.624000000000002"/>
    <s v="NO"/>
  </r>
  <r>
    <n v="100168"/>
    <d v="2024-01-07T23:00:00"/>
    <x v="0"/>
    <s v="SKU-026"/>
    <x v="1"/>
    <s v="Accessories"/>
    <n v="1"/>
    <x v="167"/>
    <x v="1"/>
    <x v="3"/>
    <x v="0"/>
    <n v="54.72"/>
    <x v="128"/>
    <n v="49.247999999999998"/>
    <s v="NO"/>
    <s v="NO"/>
    <n v="49.247999999999998"/>
    <s v="NO"/>
  </r>
  <r>
    <n v="100169"/>
    <d v="2024-01-08T00:00:00"/>
    <x v="0"/>
    <s v="SKU-045"/>
    <x v="3"/>
    <s v="Electronics"/>
    <n v="1"/>
    <x v="168"/>
    <x v="1"/>
    <x v="2"/>
    <x v="0"/>
    <n v="8.58"/>
    <x v="129"/>
    <n v="7.7220000000000004"/>
    <s v="NO"/>
    <s v="NO"/>
    <n v="7.7220000000000004"/>
    <s v="NO"/>
  </r>
  <r>
    <n v="100170"/>
    <d v="2024-01-08T01:00:00"/>
    <x v="1"/>
    <s v="SKU-027"/>
    <x v="3"/>
    <s v="Electronics"/>
    <n v="5"/>
    <x v="169"/>
    <x v="1"/>
    <x v="1"/>
    <x v="0"/>
    <n v="174.25"/>
    <x v="130"/>
    <n v="156.82499999999999"/>
    <s v="NO"/>
    <s v="NO"/>
    <n v="156.82499999999999"/>
    <s v="NO"/>
  </r>
  <r>
    <n v="100171"/>
    <d v="2024-01-08T02:00:00"/>
    <x v="1"/>
    <s v="SKU-009"/>
    <x v="1"/>
    <s v="Accessories"/>
    <n v="5"/>
    <x v="170"/>
    <x v="2"/>
    <x v="3"/>
    <x v="0"/>
    <n v="44.349999999999987"/>
    <x v="131"/>
    <n v="37.697499999999998"/>
    <s v="NO"/>
    <s v="NO"/>
    <n v="37.697499999999998"/>
    <s v="NO"/>
  </r>
  <r>
    <n v="100172"/>
    <d v="2024-01-08T03:00:00"/>
    <x v="0"/>
    <s v="SKU-026"/>
    <x v="4"/>
    <s v="Accessories"/>
    <n v="5"/>
    <x v="171"/>
    <x v="3"/>
    <x v="1"/>
    <x v="0"/>
    <n v="530.54999999999995"/>
    <x v="13"/>
    <n v="530.54999999999995"/>
    <s v="NO"/>
    <s v="NO"/>
    <n v="530.54999999999995"/>
    <s v="YES"/>
  </r>
  <r>
    <n v="100173"/>
    <d v="2024-01-08T04:00:00"/>
    <x v="0"/>
    <s v="SKU-047"/>
    <x v="4"/>
    <s v="Accessories"/>
    <n v="3"/>
    <x v="172"/>
    <x v="3"/>
    <x v="1"/>
    <x v="0"/>
    <n v="98.97"/>
    <x v="13"/>
    <n v="98.97"/>
    <s v="NO"/>
    <s v="NO"/>
    <n v="98.97"/>
    <s v="NO"/>
  </r>
  <r>
    <n v="100174"/>
    <d v="2024-01-08T05:00:00"/>
    <x v="1"/>
    <s v="SKU-022"/>
    <x v="3"/>
    <s v="Accessories"/>
    <n v="5"/>
    <x v="173"/>
    <x v="1"/>
    <x v="0"/>
    <x v="2"/>
    <n v="345.45"/>
    <x v="132"/>
    <n v="310.90499999999997"/>
    <s v="YES"/>
    <s v="NO"/>
    <n v="0"/>
    <s v="NO"/>
  </r>
  <r>
    <n v="100175"/>
    <d v="2024-01-08T06:00:00"/>
    <x v="1"/>
    <s v="SKU-047"/>
    <x v="1"/>
    <s v="Accessories"/>
    <n v="3"/>
    <x v="174"/>
    <x v="2"/>
    <x v="3"/>
    <x v="0"/>
    <n v="28.44"/>
    <x v="133"/>
    <n v="24.173999999999999"/>
    <s v="NO"/>
    <s v="NO"/>
    <n v="24.173999999999999"/>
    <s v="NO"/>
  </r>
  <r>
    <n v="100176"/>
    <d v="2024-01-08T07:00:00"/>
    <x v="1"/>
    <s v="SKU-030"/>
    <x v="4"/>
    <s v="Accessories"/>
    <n v="1"/>
    <x v="175"/>
    <x v="0"/>
    <x v="2"/>
    <x v="1"/>
    <n v="81.69"/>
    <x v="134"/>
    <n v="77.605499999999992"/>
    <s v="YES"/>
    <s v="NO"/>
    <n v="-77.605499999999992"/>
    <s v="NO"/>
  </r>
  <r>
    <n v="100177"/>
    <d v="2024-01-08T08:00:00"/>
    <x v="0"/>
    <s v="SKU-043"/>
    <x v="1"/>
    <s v="Electronics"/>
    <n v="1"/>
    <x v="176"/>
    <x v="0"/>
    <x v="1"/>
    <x v="0"/>
    <n v="42.15"/>
    <x v="135"/>
    <n v="40.042499999999997"/>
    <s v="NO"/>
    <s v="NO"/>
    <n v="40.042499999999997"/>
    <s v="NO"/>
  </r>
  <r>
    <n v="100178"/>
    <d v="2024-01-08T09:00:00"/>
    <x v="0"/>
    <s v="SKU-048"/>
    <x v="1"/>
    <s v="Electronics"/>
    <n v="1"/>
    <x v="177"/>
    <x v="2"/>
    <x v="2"/>
    <x v="0"/>
    <n v="108.26"/>
    <x v="136"/>
    <n v="92.021000000000001"/>
    <s v="NO"/>
    <s v="NO"/>
    <n v="92.021000000000001"/>
    <s v="NO"/>
  </r>
  <r>
    <n v="100179"/>
    <d v="2024-01-08T10:00:00"/>
    <x v="0"/>
    <s v="SKU-017"/>
    <x v="1"/>
    <s v="Accessories"/>
    <n v="2"/>
    <x v="178"/>
    <x v="1"/>
    <x v="0"/>
    <x v="1"/>
    <n v="214.26"/>
    <x v="137"/>
    <n v="192.834"/>
    <s v="YES"/>
    <s v="NO"/>
    <n v="-192.834"/>
    <s v="NO"/>
  </r>
  <r>
    <n v="100180"/>
    <d v="2024-01-08T11:00:00"/>
    <x v="0"/>
    <s v="SKU-026"/>
    <x v="0"/>
    <s v="Electronics"/>
    <n v="2"/>
    <x v="179"/>
    <x v="3"/>
    <x v="0"/>
    <x v="0"/>
    <n v="84.82"/>
    <x v="13"/>
    <n v="84.82"/>
    <s v="NO"/>
    <s v="NO"/>
    <n v="84.82"/>
    <s v="NO"/>
  </r>
  <r>
    <n v="100181"/>
    <d v="2024-01-08T12:00:00"/>
    <x v="0"/>
    <s v="SKU-036"/>
    <x v="1"/>
    <s v="Accessories"/>
    <n v="4"/>
    <x v="180"/>
    <x v="2"/>
    <x v="3"/>
    <x v="0"/>
    <n v="434.44"/>
    <x v="138"/>
    <n v="369.274"/>
    <s v="NO"/>
    <s v="NO"/>
    <n v="369.274"/>
    <s v="NO"/>
  </r>
  <r>
    <n v="100182"/>
    <d v="2024-01-08T13:00:00"/>
    <x v="0"/>
    <s v="SKU-001"/>
    <x v="0"/>
    <s v="Electronics"/>
    <n v="4"/>
    <x v="181"/>
    <x v="0"/>
    <x v="0"/>
    <x v="0"/>
    <n v="478.24"/>
    <x v="139"/>
    <n v="454.32799999999997"/>
    <s v="NO"/>
    <s v="NO"/>
    <n v="454.32799999999997"/>
    <s v="NO"/>
  </r>
  <r>
    <n v="100183"/>
    <d v="2024-01-08T14:00:00"/>
    <x v="1"/>
    <s v="SKU-008"/>
    <x v="3"/>
    <s v="Electronics"/>
    <n v="4"/>
    <x v="182"/>
    <x v="0"/>
    <x v="0"/>
    <x v="0"/>
    <n v="399.68"/>
    <x v="140"/>
    <n v="379.69600000000003"/>
    <s v="NO"/>
    <s v="NO"/>
    <n v="379.69600000000003"/>
    <s v="NO"/>
  </r>
  <r>
    <n v="100184"/>
    <d v="2024-01-08T15:00:00"/>
    <x v="0"/>
    <s v="SKU-049"/>
    <x v="4"/>
    <s v="Electronics"/>
    <n v="2"/>
    <x v="183"/>
    <x v="0"/>
    <x v="2"/>
    <x v="0"/>
    <n v="204.32"/>
    <x v="141"/>
    <n v="194.10400000000001"/>
    <s v="NO"/>
    <s v="NO"/>
    <n v="194.10400000000001"/>
    <s v="NO"/>
  </r>
  <r>
    <n v="100185"/>
    <d v="2024-01-08T16:00:00"/>
    <x v="0"/>
    <s v="SKU-035"/>
    <x v="4"/>
    <s v="Accessories"/>
    <n v="2"/>
    <x v="184"/>
    <x v="1"/>
    <x v="0"/>
    <x v="0"/>
    <n v="67.28"/>
    <x v="142"/>
    <n v="60.552"/>
    <s v="NO"/>
    <s v="NO"/>
    <n v="60.552"/>
    <s v="NO"/>
  </r>
  <r>
    <n v="100186"/>
    <d v="2024-01-08T17:00:00"/>
    <x v="0"/>
    <s v="SKU-015"/>
    <x v="4"/>
    <s v="Electronics"/>
    <n v="4"/>
    <x v="185"/>
    <x v="0"/>
    <x v="0"/>
    <x v="1"/>
    <n v="285.27999999999997"/>
    <x v="143"/>
    <n v="271.01600000000002"/>
    <s v="YES"/>
    <s v="NO"/>
    <n v="-271.01600000000002"/>
    <s v="NO"/>
  </r>
  <r>
    <n v="100187"/>
    <d v="2024-01-08T18:00:00"/>
    <x v="1"/>
    <s v="SKU-047"/>
    <x v="4"/>
    <s v="Accessories"/>
    <n v="4"/>
    <x v="186"/>
    <x v="2"/>
    <x v="1"/>
    <x v="0"/>
    <n v="50.92"/>
    <x v="144"/>
    <n v="43.281999999999996"/>
    <s v="NO"/>
    <s v="NO"/>
    <n v="43.281999999999996"/>
    <s v="NO"/>
  </r>
  <r>
    <n v="100188"/>
    <d v="2024-01-08T19:00:00"/>
    <x v="0"/>
    <s v="SKU-022"/>
    <x v="4"/>
    <s v="Electronics"/>
    <n v="5"/>
    <x v="187"/>
    <x v="2"/>
    <x v="0"/>
    <x v="2"/>
    <n v="79.599999999999994"/>
    <x v="145"/>
    <n v="67.66"/>
    <s v="YES"/>
    <s v="NO"/>
    <n v="0"/>
    <s v="NO"/>
  </r>
  <r>
    <n v="100189"/>
    <d v="2024-01-08T20:00:00"/>
    <x v="0"/>
    <s v="SKU-014"/>
    <x v="4"/>
    <s v="Electronics"/>
    <n v="4"/>
    <x v="188"/>
    <x v="0"/>
    <x v="1"/>
    <x v="2"/>
    <n v="479.48"/>
    <x v="146"/>
    <n v="455.50599999999997"/>
    <s v="YES"/>
    <s v="NO"/>
    <n v="0"/>
    <s v="NO"/>
  </r>
  <r>
    <n v="100190"/>
    <d v="2024-01-08T21:00:00"/>
    <x v="1"/>
    <s v="SKU-026"/>
    <x v="4"/>
    <s v="Electronics"/>
    <n v="5"/>
    <x v="189"/>
    <x v="2"/>
    <x v="0"/>
    <x v="0"/>
    <n v="212.8"/>
    <x v="147"/>
    <n v="180.88"/>
    <s v="NO"/>
    <s v="NO"/>
    <n v="180.88"/>
    <s v="NO"/>
  </r>
  <r>
    <n v="100191"/>
    <d v="2024-01-08T22:00:00"/>
    <x v="0"/>
    <s v="SKU-028"/>
    <x v="3"/>
    <s v="Electronics"/>
    <n v="3"/>
    <x v="190"/>
    <x v="0"/>
    <x v="0"/>
    <x v="0"/>
    <n v="273.12"/>
    <x v="148"/>
    <n v="259.464"/>
    <s v="NO"/>
    <s v="NO"/>
    <n v="259.464"/>
    <s v="NO"/>
  </r>
  <r>
    <n v="100192"/>
    <d v="2024-01-08T23:00:00"/>
    <x v="0"/>
    <s v="SKU-023"/>
    <x v="1"/>
    <s v="Electronics"/>
    <n v="2"/>
    <x v="191"/>
    <x v="0"/>
    <x v="3"/>
    <x v="1"/>
    <n v="195.54"/>
    <x v="149"/>
    <n v="185.76300000000001"/>
    <s v="YES"/>
    <s v="NO"/>
    <n v="-185.76300000000001"/>
    <s v="NO"/>
  </r>
  <r>
    <n v="100193"/>
    <d v="2024-01-09T00:00:00"/>
    <x v="0"/>
    <s v="SKU-014"/>
    <x v="2"/>
    <s v="Accessories"/>
    <n v="4"/>
    <x v="192"/>
    <x v="3"/>
    <x v="3"/>
    <x v="2"/>
    <n v="414.68"/>
    <x v="13"/>
    <n v="414.68"/>
    <s v="YES"/>
    <s v="NO"/>
    <n v="0"/>
    <s v="NO"/>
  </r>
  <r>
    <n v="100194"/>
    <d v="2024-01-09T01:00:00"/>
    <x v="0"/>
    <s v="SKU-024"/>
    <x v="0"/>
    <s v="Accessories"/>
    <n v="2"/>
    <x v="193"/>
    <x v="1"/>
    <x v="1"/>
    <x v="0"/>
    <n v="239.46"/>
    <x v="150"/>
    <n v="215.51400000000001"/>
    <s v="NO"/>
    <s v="NO"/>
    <n v="215.51400000000001"/>
    <s v="NO"/>
  </r>
  <r>
    <n v="100195"/>
    <d v="2024-01-09T02:00:00"/>
    <x v="0"/>
    <s v="SKU-002"/>
    <x v="2"/>
    <s v="Electronics"/>
    <n v="2"/>
    <x v="135"/>
    <x v="1"/>
    <x v="0"/>
    <x v="0"/>
    <n v="65.540000000000006"/>
    <x v="151"/>
    <n v="58.985999999999997"/>
    <s v="NO"/>
    <s v="NO"/>
    <n v="58.985999999999997"/>
    <s v="NO"/>
  </r>
  <r>
    <n v="100196"/>
    <d v="2024-01-09T03:00:00"/>
    <x v="1"/>
    <s v="SKU-045"/>
    <x v="2"/>
    <s v="Electronics"/>
    <n v="2"/>
    <x v="194"/>
    <x v="3"/>
    <x v="2"/>
    <x v="0"/>
    <n v="19.28"/>
    <x v="13"/>
    <n v="19.28"/>
    <s v="NO"/>
    <s v="NO"/>
    <n v="19.28"/>
    <s v="NO"/>
  </r>
  <r>
    <n v="100197"/>
    <d v="2024-01-09T04:00:00"/>
    <x v="1"/>
    <s v="SKU-026"/>
    <x v="1"/>
    <s v="Electronics"/>
    <n v="3"/>
    <x v="195"/>
    <x v="3"/>
    <x v="3"/>
    <x v="0"/>
    <n v="156.87"/>
    <x v="13"/>
    <n v="156.87"/>
    <s v="NO"/>
    <s v="NO"/>
    <n v="156.87"/>
    <s v="NO"/>
  </r>
  <r>
    <n v="100198"/>
    <d v="2024-01-09T05:00:00"/>
    <x v="1"/>
    <s v="SKU-014"/>
    <x v="1"/>
    <s v="Electronics"/>
    <n v="1"/>
    <x v="196"/>
    <x v="1"/>
    <x v="2"/>
    <x v="0"/>
    <n v="19.96"/>
    <x v="152"/>
    <n v="17.963999999999999"/>
    <s v="NO"/>
    <s v="NO"/>
    <n v="17.963999999999999"/>
    <s v="NO"/>
  </r>
  <r>
    <n v="100199"/>
    <d v="2024-01-09T06:00:00"/>
    <x v="0"/>
    <s v="SKU-007"/>
    <x v="1"/>
    <s v="Accessories"/>
    <n v="4"/>
    <x v="197"/>
    <x v="0"/>
    <x v="3"/>
    <x v="0"/>
    <n v="30.32"/>
    <x v="153"/>
    <n v="28.803999999999998"/>
    <s v="NO"/>
    <s v="NO"/>
    <n v="28.803999999999998"/>
    <s v="NO"/>
  </r>
  <r>
    <n v="100200"/>
    <d v="2024-01-09T07:00:00"/>
    <x v="0"/>
    <s v="SKU-003"/>
    <x v="4"/>
    <s v="Electronics"/>
    <n v="1"/>
    <x v="198"/>
    <x v="0"/>
    <x v="3"/>
    <x v="0"/>
    <n v="46.45"/>
    <x v="154"/>
    <n v="44.127499999999998"/>
    <s v="NO"/>
    <s v="NO"/>
    <n v="44.127499999999998"/>
    <s v="NO"/>
  </r>
  <r>
    <n v="100201"/>
    <d v="2024-01-09T08:00:00"/>
    <x v="0"/>
    <s v="SKU-047"/>
    <x v="3"/>
    <s v="Accessories"/>
    <n v="1"/>
    <x v="199"/>
    <x v="1"/>
    <x v="0"/>
    <x v="0"/>
    <n v="95.13"/>
    <x v="155"/>
    <n v="85.61699999999999"/>
    <s v="NO"/>
    <s v="NO"/>
    <n v="85.61699999999999"/>
    <s v="NO"/>
  </r>
  <r>
    <n v="100202"/>
    <d v="2024-01-09T09:00:00"/>
    <x v="1"/>
    <s v="SKU-023"/>
    <x v="4"/>
    <s v="Electronics"/>
    <n v="1"/>
    <x v="200"/>
    <x v="0"/>
    <x v="3"/>
    <x v="0"/>
    <n v="70.11"/>
    <x v="156"/>
    <n v="66.604500000000002"/>
    <s v="NO"/>
    <s v="NO"/>
    <n v="66.604500000000002"/>
    <s v="NO"/>
  </r>
  <r>
    <n v="100203"/>
    <d v="2024-01-09T10:00:00"/>
    <x v="0"/>
    <s v="SKU-046"/>
    <x v="3"/>
    <s v="Accessories"/>
    <n v="2"/>
    <x v="201"/>
    <x v="3"/>
    <x v="2"/>
    <x v="0"/>
    <n v="81.94"/>
    <x v="13"/>
    <n v="81.94"/>
    <s v="NO"/>
    <s v="NO"/>
    <n v="81.94"/>
    <s v="NO"/>
  </r>
  <r>
    <n v="100204"/>
    <d v="2024-01-09T11:00:00"/>
    <x v="0"/>
    <s v="SKU-043"/>
    <x v="3"/>
    <s v="Electronics"/>
    <n v="5"/>
    <x v="202"/>
    <x v="0"/>
    <x v="3"/>
    <x v="0"/>
    <n v="401.25"/>
    <x v="157"/>
    <n v="381.1875"/>
    <s v="NO"/>
    <s v="NO"/>
    <n v="381.1875"/>
    <s v="NO"/>
  </r>
  <r>
    <n v="100205"/>
    <d v="2024-01-09T12:00:00"/>
    <x v="1"/>
    <s v="SKU-047"/>
    <x v="2"/>
    <s v="Electronics"/>
    <n v="2"/>
    <x v="203"/>
    <x v="0"/>
    <x v="1"/>
    <x v="0"/>
    <n v="63.36"/>
    <x v="158"/>
    <n v="60.192"/>
    <s v="NO"/>
    <s v="NO"/>
    <n v="60.192"/>
    <s v="NO"/>
  </r>
  <r>
    <n v="100206"/>
    <d v="2024-01-09T13:00:00"/>
    <x v="0"/>
    <s v="SKU-045"/>
    <x v="2"/>
    <s v="Accessories"/>
    <n v="2"/>
    <x v="204"/>
    <x v="2"/>
    <x v="0"/>
    <x v="0"/>
    <n v="13.3"/>
    <x v="159"/>
    <n v="11.305"/>
    <s v="NO"/>
    <s v="NO"/>
    <n v="11.305"/>
    <s v="NO"/>
  </r>
  <r>
    <n v="100207"/>
    <d v="2024-01-09T14:00:00"/>
    <x v="1"/>
    <s v="SKU-018"/>
    <x v="3"/>
    <s v="Electronics"/>
    <n v="1"/>
    <x v="205"/>
    <x v="2"/>
    <x v="0"/>
    <x v="0"/>
    <n v="92.9"/>
    <x v="160"/>
    <n v="78.965000000000003"/>
    <s v="NO"/>
    <s v="NO"/>
    <n v="78.965000000000003"/>
    <s v="NO"/>
  </r>
  <r>
    <n v="100208"/>
    <d v="2024-01-09T15:00:00"/>
    <x v="1"/>
    <s v="SKU-038"/>
    <x v="3"/>
    <s v="Electronics"/>
    <n v="2"/>
    <x v="206"/>
    <x v="2"/>
    <x v="1"/>
    <x v="0"/>
    <n v="153.46"/>
    <x v="161"/>
    <n v="130.441"/>
    <s v="NO"/>
    <s v="NO"/>
    <n v="130.441"/>
    <s v="NO"/>
  </r>
  <r>
    <n v="100209"/>
    <d v="2024-01-09T16:00:00"/>
    <x v="1"/>
    <s v="SKU-035"/>
    <x v="4"/>
    <s v="Electronics"/>
    <n v="1"/>
    <x v="207"/>
    <x v="0"/>
    <x v="1"/>
    <x v="2"/>
    <n v="92.66"/>
    <x v="162"/>
    <n v="88.027000000000001"/>
    <s v="YES"/>
    <s v="NO"/>
    <n v="0"/>
    <s v="NO"/>
  </r>
  <r>
    <n v="100210"/>
    <d v="2024-01-09T17:00:00"/>
    <x v="0"/>
    <s v="SKU-015"/>
    <x v="4"/>
    <s v="Accessories"/>
    <n v="5"/>
    <x v="174"/>
    <x v="1"/>
    <x v="1"/>
    <x v="0"/>
    <n v="47.400000000000013"/>
    <x v="163"/>
    <n v="42.66"/>
    <s v="NO"/>
    <s v="NO"/>
    <n v="42.66"/>
    <s v="NO"/>
  </r>
  <r>
    <n v="100211"/>
    <d v="2024-01-09T18:00:00"/>
    <x v="0"/>
    <s v="SKU-025"/>
    <x v="2"/>
    <s v="Electronics"/>
    <n v="4"/>
    <x v="208"/>
    <x v="3"/>
    <x v="3"/>
    <x v="0"/>
    <n v="405.08"/>
    <x v="13"/>
    <n v="405.08"/>
    <s v="NO"/>
    <s v="NO"/>
    <n v="405.08"/>
    <s v="NO"/>
  </r>
  <r>
    <n v="100212"/>
    <d v="2024-01-09T19:00:00"/>
    <x v="0"/>
    <s v="SKU-037"/>
    <x v="1"/>
    <s v="Electronics"/>
    <n v="1"/>
    <x v="209"/>
    <x v="0"/>
    <x v="0"/>
    <x v="0"/>
    <n v="76.25"/>
    <x v="164"/>
    <n v="72.4375"/>
    <s v="NO"/>
    <s v="NO"/>
    <n v="72.4375"/>
    <s v="NO"/>
  </r>
  <r>
    <n v="100213"/>
    <d v="2024-01-09T20:00:00"/>
    <x v="0"/>
    <s v="SKU-028"/>
    <x v="3"/>
    <s v="Accessories"/>
    <n v="5"/>
    <x v="210"/>
    <x v="1"/>
    <x v="1"/>
    <x v="2"/>
    <n v="348.95"/>
    <x v="165"/>
    <n v="314.05500000000012"/>
    <s v="YES"/>
    <s v="NO"/>
    <n v="0"/>
    <s v="NO"/>
  </r>
  <r>
    <n v="100214"/>
    <d v="2024-01-09T21:00:00"/>
    <x v="0"/>
    <s v="SKU-010"/>
    <x v="4"/>
    <s v="Accessories"/>
    <n v="4"/>
    <x v="211"/>
    <x v="0"/>
    <x v="3"/>
    <x v="0"/>
    <n v="307.32"/>
    <x v="166"/>
    <n v="291.95400000000001"/>
    <s v="NO"/>
    <s v="NO"/>
    <n v="291.95400000000001"/>
    <s v="NO"/>
  </r>
  <r>
    <n v="100215"/>
    <d v="2024-01-09T22:00:00"/>
    <x v="0"/>
    <s v="SKU-039"/>
    <x v="2"/>
    <s v="Accessories"/>
    <n v="3"/>
    <x v="212"/>
    <x v="3"/>
    <x v="1"/>
    <x v="0"/>
    <n v="313.23"/>
    <x v="13"/>
    <n v="313.23"/>
    <s v="NO"/>
    <s v="NO"/>
    <n v="313.23"/>
    <s v="NO"/>
  </r>
  <r>
    <n v="100216"/>
    <d v="2024-01-09T23:00:00"/>
    <x v="0"/>
    <s v="SKU-017"/>
    <x v="4"/>
    <s v="Electronics"/>
    <n v="1"/>
    <x v="213"/>
    <x v="0"/>
    <x v="2"/>
    <x v="0"/>
    <n v="72.5"/>
    <x v="167"/>
    <n v="68.875"/>
    <s v="NO"/>
    <s v="NO"/>
    <n v="68.875"/>
    <s v="NO"/>
  </r>
  <r>
    <n v="100217"/>
    <d v="2024-01-10T00:00:00"/>
    <x v="1"/>
    <s v="SKU-039"/>
    <x v="3"/>
    <s v="Electronics"/>
    <n v="1"/>
    <x v="214"/>
    <x v="3"/>
    <x v="2"/>
    <x v="0"/>
    <n v="71.81"/>
    <x v="13"/>
    <n v="71.81"/>
    <s v="NO"/>
    <s v="NO"/>
    <n v="71.81"/>
    <s v="NO"/>
  </r>
  <r>
    <n v="100218"/>
    <d v="2024-01-10T01:00:00"/>
    <x v="0"/>
    <s v="SKU-022"/>
    <x v="3"/>
    <s v="Electronics"/>
    <n v="3"/>
    <x v="215"/>
    <x v="0"/>
    <x v="0"/>
    <x v="0"/>
    <n v="356.79"/>
    <x v="168"/>
    <n v="338.95049999999998"/>
    <s v="NO"/>
    <s v="NO"/>
    <n v="338.95049999999998"/>
    <s v="NO"/>
  </r>
  <r>
    <n v="100219"/>
    <d v="2024-01-10T02:00:00"/>
    <x v="1"/>
    <s v="SKU-026"/>
    <x v="0"/>
    <s v="Accessories"/>
    <n v="3"/>
    <x v="216"/>
    <x v="3"/>
    <x v="3"/>
    <x v="0"/>
    <n v="276.06"/>
    <x v="13"/>
    <n v="276.06"/>
    <s v="NO"/>
    <s v="NO"/>
    <n v="276.06"/>
    <s v="NO"/>
  </r>
  <r>
    <n v="100220"/>
    <d v="2024-01-10T03:00:00"/>
    <x v="0"/>
    <s v="SKU-044"/>
    <x v="1"/>
    <s v="Electronics"/>
    <n v="1"/>
    <x v="217"/>
    <x v="0"/>
    <x v="2"/>
    <x v="0"/>
    <n v="55.86"/>
    <x v="169"/>
    <n v="53.067"/>
    <s v="NO"/>
    <s v="NO"/>
    <n v="53.067"/>
    <s v="NO"/>
  </r>
  <r>
    <n v="100221"/>
    <d v="2024-01-10T04:00:00"/>
    <x v="0"/>
    <s v="SKU-025"/>
    <x v="0"/>
    <s v="Electronics"/>
    <n v="3"/>
    <x v="218"/>
    <x v="3"/>
    <x v="2"/>
    <x v="0"/>
    <n v="259.05"/>
    <x v="13"/>
    <n v="259.05"/>
    <s v="NO"/>
    <s v="NO"/>
    <n v="259.05"/>
    <s v="NO"/>
  </r>
  <r>
    <n v="100222"/>
    <d v="2024-01-10T05:00:00"/>
    <x v="0"/>
    <s v="SKU-017"/>
    <x v="2"/>
    <s v="Accessories"/>
    <n v="2"/>
    <x v="219"/>
    <x v="2"/>
    <x v="3"/>
    <x v="0"/>
    <n v="99.52"/>
    <x v="170"/>
    <n v="84.591999999999999"/>
    <s v="NO"/>
    <s v="NO"/>
    <n v="84.591999999999999"/>
    <s v="NO"/>
  </r>
  <r>
    <n v="100223"/>
    <d v="2024-01-10T06:00:00"/>
    <x v="1"/>
    <s v="SKU-013"/>
    <x v="4"/>
    <s v="Accessories"/>
    <n v="4"/>
    <x v="220"/>
    <x v="0"/>
    <x v="1"/>
    <x v="0"/>
    <n v="125.28"/>
    <x v="171"/>
    <n v="119.01600000000001"/>
    <s v="NO"/>
    <s v="NO"/>
    <n v="119.01600000000001"/>
    <s v="NO"/>
  </r>
  <r>
    <n v="100224"/>
    <d v="2024-01-10T07:00:00"/>
    <x v="1"/>
    <s v="SKU-020"/>
    <x v="2"/>
    <s v="Accessories"/>
    <n v="4"/>
    <x v="221"/>
    <x v="0"/>
    <x v="3"/>
    <x v="0"/>
    <n v="294.56"/>
    <x v="172"/>
    <n v="279.83199999999999"/>
    <s v="NO"/>
    <s v="NO"/>
    <n v="279.83199999999999"/>
    <s v="NO"/>
  </r>
  <r>
    <n v="100225"/>
    <d v="2024-01-10T08:00:00"/>
    <x v="1"/>
    <s v="SKU-025"/>
    <x v="3"/>
    <s v="Accessories"/>
    <n v="4"/>
    <x v="222"/>
    <x v="1"/>
    <x v="1"/>
    <x v="0"/>
    <n v="446.96"/>
    <x v="173"/>
    <n v="402.26400000000001"/>
    <s v="NO"/>
    <s v="NO"/>
    <n v="402.26400000000001"/>
    <s v="NO"/>
  </r>
  <r>
    <n v="100226"/>
    <d v="2024-01-10T09:00:00"/>
    <x v="1"/>
    <s v="SKU-004"/>
    <x v="0"/>
    <s v="Accessories"/>
    <n v="2"/>
    <x v="223"/>
    <x v="1"/>
    <x v="2"/>
    <x v="0"/>
    <n v="223.7"/>
    <x v="174"/>
    <n v="201.33"/>
    <s v="NO"/>
    <s v="NO"/>
    <n v="201.33"/>
    <s v="NO"/>
  </r>
  <r>
    <n v="100227"/>
    <d v="2024-01-10T10:00:00"/>
    <x v="0"/>
    <s v="SKU-010"/>
    <x v="0"/>
    <s v="Electronics"/>
    <n v="3"/>
    <x v="224"/>
    <x v="3"/>
    <x v="2"/>
    <x v="0"/>
    <n v="132.96"/>
    <x v="13"/>
    <n v="132.96"/>
    <s v="NO"/>
    <s v="NO"/>
    <n v="132.96"/>
    <s v="NO"/>
  </r>
  <r>
    <n v="100228"/>
    <d v="2024-01-10T11:00:00"/>
    <x v="1"/>
    <s v="SKU-003"/>
    <x v="0"/>
    <s v="Accessories"/>
    <n v="5"/>
    <x v="225"/>
    <x v="0"/>
    <x v="2"/>
    <x v="0"/>
    <n v="328.4"/>
    <x v="175"/>
    <n v="311.98"/>
    <s v="NO"/>
    <s v="NO"/>
    <n v="311.98"/>
    <s v="NO"/>
  </r>
  <r>
    <n v="100229"/>
    <d v="2024-01-10T12:00:00"/>
    <x v="0"/>
    <s v="SKU-041"/>
    <x v="2"/>
    <s v="Electronics"/>
    <n v="3"/>
    <x v="226"/>
    <x v="3"/>
    <x v="0"/>
    <x v="0"/>
    <n v="88.02"/>
    <x v="13"/>
    <n v="88.02"/>
    <s v="NO"/>
    <s v="NO"/>
    <n v="88.02"/>
    <s v="NO"/>
  </r>
  <r>
    <n v="100230"/>
    <d v="2024-01-10T13:00:00"/>
    <x v="0"/>
    <s v="SKU-045"/>
    <x v="3"/>
    <s v="Electronics"/>
    <n v="1"/>
    <x v="227"/>
    <x v="2"/>
    <x v="0"/>
    <x v="2"/>
    <n v="119.5"/>
    <x v="176"/>
    <n v="101.575"/>
    <s v="YES"/>
    <s v="NO"/>
    <n v="0"/>
    <s v="NO"/>
  </r>
  <r>
    <n v="100231"/>
    <d v="2024-01-10T14:00:00"/>
    <x v="1"/>
    <s v="SKU-018"/>
    <x v="4"/>
    <s v="Accessories"/>
    <n v="4"/>
    <x v="228"/>
    <x v="1"/>
    <x v="0"/>
    <x v="0"/>
    <n v="471.32"/>
    <x v="177"/>
    <n v="424.18799999999999"/>
    <s v="NO"/>
    <s v="NO"/>
    <n v="424.18799999999999"/>
    <s v="NO"/>
  </r>
  <r>
    <n v="100232"/>
    <d v="2024-01-10T15:00:00"/>
    <x v="1"/>
    <s v="SKU-047"/>
    <x v="4"/>
    <s v="Accessories"/>
    <n v="3"/>
    <x v="229"/>
    <x v="3"/>
    <x v="3"/>
    <x v="0"/>
    <n v="239.07"/>
    <x v="13"/>
    <n v="239.07"/>
    <s v="NO"/>
    <s v="NO"/>
    <n v="239.07"/>
    <s v="NO"/>
  </r>
  <r>
    <n v="100233"/>
    <d v="2024-01-10T16:00:00"/>
    <x v="1"/>
    <s v="SKU-036"/>
    <x v="2"/>
    <s v="Accessories"/>
    <n v="5"/>
    <x v="230"/>
    <x v="3"/>
    <x v="2"/>
    <x v="0"/>
    <n v="487.55"/>
    <x v="13"/>
    <n v="487.55"/>
    <s v="NO"/>
    <s v="NO"/>
    <n v="487.55"/>
    <s v="NO"/>
  </r>
  <r>
    <n v="100234"/>
    <d v="2024-01-10T17:00:00"/>
    <x v="1"/>
    <s v="SKU-047"/>
    <x v="0"/>
    <s v="Electronics"/>
    <n v="1"/>
    <x v="231"/>
    <x v="1"/>
    <x v="2"/>
    <x v="0"/>
    <n v="87.24"/>
    <x v="178"/>
    <n v="78.515999999999991"/>
    <s v="NO"/>
    <s v="NO"/>
    <n v="78.515999999999991"/>
    <s v="NO"/>
  </r>
  <r>
    <n v="100235"/>
    <d v="2024-01-10T18:00:00"/>
    <x v="1"/>
    <s v="SKU-022"/>
    <x v="1"/>
    <s v="Accessories"/>
    <n v="2"/>
    <x v="232"/>
    <x v="0"/>
    <x v="3"/>
    <x v="0"/>
    <n v="146.41999999999999"/>
    <x v="179"/>
    <n v="139.09899999999999"/>
    <s v="NO"/>
    <s v="NO"/>
    <n v="139.09899999999999"/>
    <s v="NO"/>
  </r>
  <r>
    <n v="100236"/>
    <d v="2024-01-10T19:00:00"/>
    <x v="1"/>
    <s v="SKU-034"/>
    <x v="2"/>
    <s v="Accessories"/>
    <n v="2"/>
    <x v="233"/>
    <x v="3"/>
    <x v="0"/>
    <x v="0"/>
    <n v="22.28"/>
    <x v="13"/>
    <n v="22.28"/>
    <s v="NO"/>
    <s v="NO"/>
    <n v="22.28"/>
    <s v="NO"/>
  </r>
  <r>
    <n v="100237"/>
    <d v="2024-01-10T20:00:00"/>
    <x v="1"/>
    <s v="SKU-047"/>
    <x v="2"/>
    <s v="Accessories"/>
    <n v="5"/>
    <x v="234"/>
    <x v="1"/>
    <x v="3"/>
    <x v="0"/>
    <n v="286.5"/>
    <x v="180"/>
    <n v="257.85000000000002"/>
    <s v="NO"/>
    <s v="NO"/>
    <n v="257.85000000000002"/>
    <s v="NO"/>
  </r>
  <r>
    <n v="100238"/>
    <d v="2024-01-10T21:00:00"/>
    <x v="1"/>
    <s v="SKU-008"/>
    <x v="3"/>
    <s v="Accessories"/>
    <n v="1"/>
    <x v="235"/>
    <x v="0"/>
    <x v="0"/>
    <x v="0"/>
    <n v="82.6"/>
    <x v="181"/>
    <n v="78.47"/>
    <s v="NO"/>
    <s v="NO"/>
    <n v="78.47"/>
    <s v="NO"/>
  </r>
  <r>
    <n v="100239"/>
    <d v="2024-01-10T22:00:00"/>
    <x v="0"/>
    <s v="SKU-040"/>
    <x v="4"/>
    <s v="Accessories"/>
    <n v="4"/>
    <x v="236"/>
    <x v="2"/>
    <x v="2"/>
    <x v="0"/>
    <n v="331.68"/>
    <x v="182"/>
    <n v="281.928"/>
    <s v="NO"/>
    <s v="NO"/>
    <n v="281.928"/>
    <s v="NO"/>
  </r>
  <r>
    <n v="100240"/>
    <d v="2024-01-10T23:00:00"/>
    <x v="1"/>
    <s v="SKU-049"/>
    <x v="2"/>
    <s v="Electronics"/>
    <n v="3"/>
    <x v="237"/>
    <x v="1"/>
    <x v="1"/>
    <x v="0"/>
    <n v="143.72999999999999"/>
    <x v="183"/>
    <n v="129.357"/>
    <s v="NO"/>
    <s v="NO"/>
    <n v="129.357"/>
    <s v="NO"/>
  </r>
  <r>
    <n v="100241"/>
    <d v="2024-01-11T00:00:00"/>
    <x v="1"/>
    <s v="SKU-044"/>
    <x v="2"/>
    <s v="Electronics"/>
    <n v="1"/>
    <x v="238"/>
    <x v="3"/>
    <x v="0"/>
    <x v="0"/>
    <n v="113.29"/>
    <x v="13"/>
    <n v="113.29"/>
    <s v="NO"/>
    <s v="NO"/>
    <n v="113.29"/>
    <s v="NO"/>
  </r>
  <r>
    <n v="100242"/>
    <d v="2024-01-11T01:00:00"/>
    <x v="0"/>
    <s v="SKU-019"/>
    <x v="0"/>
    <s v="Electronics"/>
    <n v="2"/>
    <x v="239"/>
    <x v="2"/>
    <x v="2"/>
    <x v="0"/>
    <n v="48.5"/>
    <x v="184"/>
    <n v="41.225000000000001"/>
    <s v="NO"/>
    <s v="NO"/>
    <n v="41.225000000000001"/>
    <s v="NO"/>
  </r>
  <r>
    <n v="100243"/>
    <d v="2024-01-11T02:00:00"/>
    <x v="1"/>
    <s v="SKU-042"/>
    <x v="0"/>
    <s v="Accessories"/>
    <n v="5"/>
    <x v="240"/>
    <x v="0"/>
    <x v="2"/>
    <x v="0"/>
    <n v="312.7"/>
    <x v="185"/>
    <n v="297.065"/>
    <s v="NO"/>
    <s v="NO"/>
    <n v="297.065"/>
    <s v="NO"/>
  </r>
  <r>
    <n v="100244"/>
    <d v="2024-01-11T03:00:00"/>
    <x v="0"/>
    <s v="SKU-041"/>
    <x v="1"/>
    <s v="Accessories"/>
    <n v="5"/>
    <x v="241"/>
    <x v="0"/>
    <x v="1"/>
    <x v="0"/>
    <n v="422.25"/>
    <x v="186"/>
    <n v="401.13749999999999"/>
    <s v="NO"/>
    <s v="NO"/>
    <n v="401.13749999999999"/>
    <s v="NO"/>
  </r>
  <r>
    <n v="100245"/>
    <d v="2024-01-11T04:00:00"/>
    <x v="0"/>
    <s v="SKU-037"/>
    <x v="3"/>
    <s v="Accessories"/>
    <n v="3"/>
    <x v="242"/>
    <x v="1"/>
    <x v="2"/>
    <x v="2"/>
    <n v="255.51"/>
    <x v="187"/>
    <n v="229.959"/>
    <s v="YES"/>
    <s v="NO"/>
    <n v="0"/>
    <s v="NO"/>
  </r>
  <r>
    <n v="100246"/>
    <d v="2024-01-11T05:00:00"/>
    <x v="1"/>
    <s v="SKU-006"/>
    <x v="1"/>
    <s v="Electronics"/>
    <n v="5"/>
    <x v="243"/>
    <x v="1"/>
    <x v="2"/>
    <x v="2"/>
    <n v="397.95"/>
    <x v="188"/>
    <n v="358.15499999999997"/>
    <s v="YES"/>
    <s v="NO"/>
    <n v="0"/>
    <s v="NO"/>
  </r>
  <r>
    <n v="100247"/>
    <d v="2024-01-11T06:00:00"/>
    <x v="0"/>
    <s v="SKU-026"/>
    <x v="0"/>
    <s v="Accessories"/>
    <n v="5"/>
    <x v="244"/>
    <x v="1"/>
    <x v="0"/>
    <x v="0"/>
    <n v="183.3"/>
    <x v="189"/>
    <n v="164.97"/>
    <s v="NO"/>
    <s v="NO"/>
    <n v="164.97"/>
    <s v="NO"/>
  </r>
  <r>
    <n v="100248"/>
    <d v="2024-01-11T07:00:00"/>
    <x v="0"/>
    <s v="SKU-034"/>
    <x v="4"/>
    <s v="Accessories"/>
    <n v="1"/>
    <x v="245"/>
    <x v="0"/>
    <x v="0"/>
    <x v="0"/>
    <n v="22.96"/>
    <x v="190"/>
    <n v="21.812000000000001"/>
    <s v="NO"/>
    <s v="NO"/>
    <n v="21.812000000000001"/>
    <s v="NO"/>
  </r>
  <r>
    <n v="100249"/>
    <d v="2024-01-11T08:00:00"/>
    <x v="0"/>
    <s v="SKU-045"/>
    <x v="0"/>
    <s v="Accessories"/>
    <n v="4"/>
    <x v="246"/>
    <x v="2"/>
    <x v="1"/>
    <x v="0"/>
    <n v="312.52"/>
    <x v="191"/>
    <n v="265.642"/>
    <s v="NO"/>
    <s v="NO"/>
    <n v="265.642"/>
    <s v="NO"/>
  </r>
  <r>
    <n v="100250"/>
    <d v="2024-01-11T09:00:00"/>
    <x v="0"/>
    <s v="SKU-006"/>
    <x v="3"/>
    <s v="Electronics"/>
    <n v="3"/>
    <x v="247"/>
    <x v="0"/>
    <x v="1"/>
    <x v="0"/>
    <n v="221.76"/>
    <x v="192"/>
    <n v="210.672"/>
    <s v="NO"/>
    <s v="NO"/>
    <n v="210.672"/>
    <s v="NO"/>
  </r>
  <r>
    <n v="100251"/>
    <d v="2024-01-11T10:00:00"/>
    <x v="1"/>
    <s v="SKU-037"/>
    <x v="0"/>
    <s v="Accessories"/>
    <n v="1"/>
    <x v="248"/>
    <x v="3"/>
    <x v="2"/>
    <x v="0"/>
    <n v="25.63"/>
    <x v="13"/>
    <n v="25.63"/>
    <s v="NO"/>
    <s v="NO"/>
    <n v="25.63"/>
    <s v="NO"/>
  </r>
  <r>
    <n v="100252"/>
    <d v="2024-01-11T11:00:00"/>
    <x v="0"/>
    <s v="SKU-033"/>
    <x v="3"/>
    <s v="Electronics"/>
    <n v="4"/>
    <x v="249"/>
    <x v="0"/>
    <x v="0"/>
    <x v="0"/>
    <n v="344.36"/>
    <x v="193"/>
    <n v="327.142"/>
    <s v="NO"/>
    <s v="NO"/>
    <n v="327.142"/>
    <s v="NO"/>
  </r>
  <r>
    <n v="100253"/>
    <d v="2024-01-11T12:00:00"/>
    <x v="1"/>
    <s v="SKU-022"/>
    <x v="3"/>
    <s v="Accessories"/>
    <n v="1"/>
    <x v="250"/>
    <x v="3"/>
    <x v="1"/>
    <x v="0"/>
    <n v="57.34"/>
    <x v="13"/>
    <n v="57.34"/>
    <s v="NO"/>
    <s v="NO"/>
    <n v="57.34"/>
    <s v="NO"/>
  </r>
  <r>
    <n v="100254"/>
    <d v="2024-01-11T13:00:00"/>
    <x v="0"/>
    <s v="SKU-021"/>
    <x v="3"/>
    <s v="Electronics"/>
    <n v="1"/>
    <x v="251"/>
    <x v="2"/>
    <x v="1"/>
    <x v="1"/>
    <n v="81.790000000000006"/>
    <x v="194"/>
    <n v="69.521500000000003"/>
    <s v="YES"/>
    <s v="NO"/>
    <n v="-69.521500000000003"/>
    <s v="NO"/>
  </r>
  <r>
    <n v="100255"/>
    <d v="2024-01-11T14:00:00"/>
    <x v="0"/>
    <s v="SKU-006"/>
    <x v="3"/>
    <s v="Electronics"/>
    <n v="5"/>
    <x v="252"/>
    <x v="1"/>
    <x v="3"/>
    <x v="0"/>
    <n v="506.5"/>
    <x v="195"/>
    <n v="455.85"/>
    <s v="NO"/>
    <s v="NO"/>
    <n v="455.85"/>
    <s v="YES"/>
  </r>
  <r>
    <n v="100256"/>
    <d v="2024-01-11T15:00:00"/>
    <x v="0"/>
    <s v="SKU-006"/>
    <x v="3"/>
    <s v="Electronics"/>
    <n v="4"/>
    <x v="253"/>
    <x v="1"/>
    <x v="1"/>
    <x v="0"/>
    <n v="98.08"/>
    <x v="196"/>
    <n v="88.271999999999991"/>
    <s v="NO"/>
    <s v="NO"/>
    <n v="88.271999999999991"/>
    <s v="NO"/>
  </r>
  <r>
    <n v="100257"/>
    <d v="2024-01-11T16:00:00"/>
    <x v="0"/>
    <s v="SKU-048"/>
    <x v="4"/>
    <s v="Accessories"/>
    <n v="3"/>
    <x v="9"/>
    <x v="0"/>
    <x v="2"/>
    <x v="0"/>
    <n v="21.6"/>
    <x v="9"/>
    <n v="20.52"/>
    <s v="NO"/>
    <s v="NO"/>
    <n v="20.52"/>
    <s v="NO"/>
  </r>
  <r>
    <n v="100258"/>
    <d v="2024-01-11T17:00:00"/>
    <x v="1"/>
    <s v="SKU-004"/>
    <x v="1"/>
    <s v="Accessories"/>
    <n v="3"/>
    <x v="254"/>
    <x v="1"/>
    <x v="0"/>
    <x v="0"/>
    <n v="283.8"/>
    <x v="197"/>
    <n v="255.42"/>
    <s v="NO"/>
    <s v="NO"/>
    <n v="255.42"/>
    <s v="NO"/>
  </r>
  <r>
    <n v="100259"/>
    <d v="2024-01-11T18:00:00"/>
    <x v="1"/>
    <s v="SKU-030"/>
    <x v="2"/>
    <s v="Electronics"/>
    <n v="4"/>
    <x v="255"/>
    <x v="2"/>
    <x v="1"/>
    <x v="0"/>
    <n v="300.48"/>
    <x v="198"/>
    <n v="255.40799999999999"/>
    <s v="NO"/>
    <s v="NO"/>
    <n v="255.40799999999999"/>
    <s v="NO"/>
  </r>
  <r>
    <n v="100260"/>
    <d v="2024-01-11T19:00:00"/>
    <x v="0"/>
    <s v="SKU-011"/>
    <x v="1"/>
    <s v="Electronics"/>
    <n v="5"/>
    <x v="256"/>
    <x v="1"/>
    <x v="3"/>
    <x v="0"/>
    <n v="427.3"/>
    <x v="199"/>
    <n v="384.56999999999988"/>
    <s v="NO"/>
    <s v="NO"/>
    <n v="384.56999999999988"/>
    <s v="NO"/>
  </r>
  <r>
    <n v="100261"/>
    <d v="2024-01-11T20:00:00"/>
    <x v="0"/>
    <s v="SKU-030"/>
    <x v="3"/>
    <s v="Accessories"/>
    <n v="2"/>
    <x v="257"/>
    <x v="0"/>
    <x v="0"/>
    <x v="0"/>
    <n v="202.78"/>
    <x v="200"/>
    <n v="192.64099999999999"/>
    <s v="NO"/>
    <s v="NO"/>
    <n v="192.64099999999999"/>
    <s v="NO"/>
  </r>
  <r>
    <n v="100262"/>
    <d v="2024-01-11T21:00:00"/>
    <x v="1"/>
    <s v="SKU-031"/>
    <x v="4"/>
    <s v="Accessories"/>
    <n v="1"/>
    <x v="258"/>
    <x v="2"/>
    <x v="1"/>
    <x v="0"/>
    <n v="97.32"/>
    <x v="201"/>
    <n v="82.721999999999994"/>
    <s v="NO"/>
    <s v="NO"/>
    <n v="82.721999999999994"/>
    <s v="NO"/>
  </r>
  <r>
    <n v="100263"/>
    <d v="2024-01-11T22:00:00"/>
    <x v="0"/>
    <s v="SKU-024"/>
    <x v="0"/>
    <s v="Electronics"/>
    <n v="5"/>
    <x v="259"/>
    <x v="3"/>
    <x v="3"/>
    <x v="0"/>
    <n v="577.55000000000007"/>
    <x v="13"/>
    <n v="577.55000000000007"/>
    <s v="NO"/>
    <s v="NO"/>
    <n v="577.55000000000007"/>
    <s v="YES"/>
  </r>
  <r>
    <n v="100264"/>
    <d v="2024-01-11T23:00:00"/>
    <x v="0"/>
    <s v="SKU-009"/>
    <x v="4"/>
    <s v="Accessories"/>
    <n v="4"/>
    <x v="260"/>
    <x v="0"/>
    <x v="1"/>
    <x v="0"/>
    <n v="266.52"/>
    <x v="202"/>
    <n v="253.19399999999999"/>
    <s v="NO"/>
    <s v="NO"/>
    <n v="253.19399999999999"/>
    <s v="NO"/>
  </r>
  <r>
    <n v="100265"/>
    <d v="2024-01-12T00:00:00"/>
    <x v="0"/>
    <s v="SKU-003"/>
    <x v="3"/>
    <s v="Accessories"/>
    <n v="1"/>
    <x v="261"/>
    <x v="3"/>
    <x v="0"/>
    <x v="0"/>
    <n v="61.18"/>
    <x v="13"/>
    <n v="61.18"/>
    <s v="NO"/>
    <s v="NO"/>
    <n v="61.18"/>
    <s v="NO"/>
  </r>
  <r>
    <n v="100266"/>
    <d v="2024-01-12T01:00:00"/>
    <x v="1"/>
    <s v="SKU-031"/>
    <x v="4"/>
    <s v="Accessories"/>
    <n v="3"/>
    <x v="262"/>
    <x v="2"/>
    <x v="0"/>
    <x v="0"/>
    <n v="153.66"/>
    <x v="203"/>
    <n v="130.61099999999999"/>
    <s v="NO"/>
    <s v="NO"/>
    <n v="130.61099999999999"/>
    <s v="NO"/>
  </r>
  <r>
    <n v="100267"/>
    <d v="2024-01-12T02:00:00"/>
    <x v="1"/>
    <s v="SKU-040"/>
    <x v="4"/>
    <s v="Accessories"/>
    <n v="2"/>
    <x v="263"/>
    <x v="0"/>
    <x v="0"/>
    <x v="0"/>
    <n v="45.34"/>
    <x v="204"/>
    <n v="43.073"/>
    <s v="NO"/>
    <s v="NO"/>
    <n v="43.073"/>
    <s v="NO"/>
  </r>
  <r>
    <n v="100268"/>
    <d v="2024-01-12T03:00:00"/>
    <x v="1"/>
    <s v="SKU-037"/>
    <x v="3"/>
    <s v="Electronics"/>
    <n v="3"/>
    <x v="264"/>
    <x v="0"/>
    <x v="2"/>
    <x v="0"/>
    <n v="212.55"/>
    <x v="205"/>
    <n v="201.92250000000001"/>
    <s v="NO"/>
    <s v="NO"/>
    <n v="201.92250000000001"/>
    <s v="NO"/>
  </r>
  <r>
    <n v="100269"/>
    <d v="2024-01-12T04:00:00"/>
    <x v="0"/>
    <s v="SKU-036"/>
    <x v="4"/>
    <s v="Accessories"/>
    <n v="4"/>
    <x v="265"/>
    <x v="2"/>
    <x v="1"/>
    <x v="0"/>
    <n v="147.44"/>
    <x v="206"/>
    <n v="125.324"/>
    <s v="NO"/>
    <s v="NO"/>
    <n v="125.324"/>
    <s v="NO"/>
  </r>
  <r>
    <n v="100270"/>
    <d v="2024-01-12T05:00:00"/>
    <x v="0"/>
    <s v="SKU-024"/>
    <x v="2"/>
    <s v="Accessories"/>
    <n v="1"/>
    <x v="266"/>
    <x v="1"/>
    <x v="2"/>
    <x v="0"/>
    <n v="110.95"/>
    <x v="207"/>
    <n v="99.855000000000004"/>
    <s v="NO"/>
    <s v="NO"/>
    <n v="99.855000000000004"/>
    <s v="NO"/>
  </r>
  <r>
    <n v="100271"/>
    <d v="2024-01-12T06:00:00"/>
    <x v="1"/>
    <s v="SKU-031"/>
    <x v="2"/>
    <s v="Electronics"/>
    <n v="4"/>
    <x v="267"/>
    <x v="0"/>
    <x v="0"/>
    <x v="0"/>
    <n v="288.27999999999997"/>
    <x v="208"/>
    <n v="273.86599999999999"/>
    <s v="NO"/>
    <s v="NO"/>
    <n v="273.86599999999999"/>
    <s v="NO"/>
  </r>
  <r>
    <n v="100272"/>
    <d v="2024-01-12T07:00:00"/>
    <x v="1"/>
    <s v="SKU-006"/>
    <x v="4"/>
    <s v="Electronics"/>
    <n v="1"/>
    <x v="268"/>
    <x v="0"/>
    <x v="3"/>
    <x v="2"/>
    <n v="73.180000000000007"/>
    <x v="209"/>
    <n v="69.521000000000001"/>
    <s v="YES"/>
    <s v="NO"/>
    <n v="0"/>
    <s v="NO"/>
  </r>
  <r>
    <n v="100273"/>
    <d v="2024-01-12T08:00:00"/>
    <x v="1"/>
    <s v="SKU-002"/>
    <x v="0"/>
    <s v="Accessories"/>
    <n v="5"/>
    <x v="269"/>
    <x v="3"/>
    <x v="1"/>
    <x v="0"/>
    <n v="229.1"/>
    <x v="13"/>
    <n v="229.1"/>
    <s v="NO"/>
    <s v="NO"/>
    <n v="229.1"/>
    <s v="NO"/>
  </r>
  <r>
    <n v="100274"/>
    <d v="2024-01-12T09:00:00"/>
    <x v="1"/>
    <s v="SKU-020"/>
    <x v="3"/>
    <s v="Accessories"/>
    <n v="2"/>
    <x v="270"/>
    <x v="1"/>
    <x v="2"/>
    <x v="0"/>
    <n v="21.96"/>
    <x v="210"/>
    <n v="19.763999999999999"/>
    <s v="NO"/>
    <s v="NO"/>
    <n v="19.763999999999999"/>
    <s v="NO"/>
  </r>
  <r>
    <n v="100275"/>
    <d v="2024-01-12T10:00:00"/>
    <x v="0"/>
    <s v="SKU-028"/>
    <x v="2"/>
    <s v="Accessories"/>
    <n v="5"/>
    <x v="271"/>
    <x v="3"/>
    <x v="1"/>
    <x v="0"/>
    <n v="43.25"/>
    <x v="13"/>
    <n v="43.25"/>
    <s v="NO"/>
    <s v="NO"/>
    <n v="43.25"/>
    <s v="NO"/>
  </r>
  <r>
    <n v="100276"/>
    <d v="2024-01-12T11:00:00"/>
    <x v="1"/>
    <s v="SKU-011"/>
    <x v="0"/>
    <s v="Accessories"/>
    <n v="5"/>
    <x v="272"/>
    <x v="3"/>
    <x v="3"/>
    <x v="1"/>
    <n v="268.39999999999998"/>
    <x v="13"/>
    <n v="268.39999999999998"/>
    <s v="YES"/>
    <s v="NO"/>
    <n v="-268.39999999999998"/>
    <s v="NO"/>
  </r>
  <r>
    <n v="100277"/>
    <d v="2024-01-12T12:00:00"/>
    <x v="0"/>
    <s v="SKU-004"/>
    <x v="4"/>
    <s v="Electronics"/>
    <n v="4"/>
    <x v="273"/>
    <x v="1"/>
    <x v="2"/>
    <x v="0"/>
    <n v="58.92"/>
    <x v="211"/>
    <n v="53.027999999999999"/>
    <s v="NO"/>
    <s v="NO"/>
    <n v="53.027999999999999"/>
    <s v="NO"/>
  </r>
  <r>
    <n v="100278"/>
    <d v="2024-01-12T13:00:00"/>
    <x v="1"/>
    <s v="SKU-015"/>
    <x v="0"/>
    <s v="Electronics"/>
    <n v="2"/>
    <x v="274"/>
    <x v="1"/>
    <x v="0"/>
    <x v="0"/>
    <n v="149.58000000000001"/>
    <x v="212"/>
    <n v="134.62200000000001"/>
    <s v="NO"/>
    <s v="NO"/>
    <n v="134.62200000000001"/>
    <s v="NO"/>
  </r>
  <r>
    <n v="100279"/>
    <d v="2024-01-12T14:00:00"/>
    <x v="0"/>
    <s v="SKU-006"/>
    <x v="1"/>
    <s v="Electronics"/>
    <n v="1"/>
    <x v="275"/>
    <x v="2"/>
    <x v="2"/>
    <x v="0"/>
    <n v="106.31"/>
    <x v="213"/>
    <n v="90.363500000000002"/>
    <s v="NO"/>
    <s v="NO"/>
    <n v="90.363500000000002"/>
    <s v="NO"/>
  </r>
  <r>
    <n v="100280"/>
    <d v="2024-01-12T15:00:00"/>
    <x v="1"/>
    <s v="SKU-049"/>
    <x v="2"/>
    <s v="Accessories"/>
    <n v="1"/>
    <x v="276"/>
    <x v="1"/>
    <x v="1"/>
    <x v="0"/>
    <n v="106.54"/>
    <x v="214"/>
    <n v="95.88600000000001"/>
    <s v="NO"/>
    <s v="NO"/>
    <n v="95.88600000000001"/>
    <s v="NO"/>
  </r>
  <r>
    <n v="100281"/>
    <d v="2024-01-12T16:00:00"/>
    <x v="1"/>
    <s v="SKU-030"/>
    <x v="4"/>
    <s v="Accessories"/>
    <n v="3"/>
    <x v="277"/>
    <x v="0"/>
    <x v="1"/>
    <x v="0"/>
    <n v="242.37"/>
    <x v="215"/>
    <n v="230.25149999999999"/>
    <s v="NO"/>
    <s v="NO"/>
    <n v="230.25149999999999"/>
    <s v="NO"/>
  </r>
  <r>
    <n v="100282"/>
    <d v="2024-01-12T17:00:00"/>
    <x v="1"/>
    <s v="SKU-038"/>
    <x v="3"/>
    <s v="Accessories"/>
    <n v="1"/>
    <x v="278"/>
    <x v="1"/>
    <x v="1"/>
    <x v="0"/>
    <n v="29.29"/>
    <x v="216"/>
    <n v="26.361000000000001"/>
    <s v="NO"/>
    <s v="NO"/>
    <n v="26.361000000000001"/>
    <s v="NO"/>
  </r>
  <r>
    <n v="100283"/>
    <d v="2024-01-12T18:00:00"/>
    <x v="1"/>
    <s v="SKU-002"/>
    <x v="4"/>
    <s v="Accessories"/>
    <n v="4"/>
    <x v="279"/>
    <x v="2"/>
    <x v="1"/>
    <x v="0"/>
    <n v="416.96"/>
    <x v="217"/>
    <n v="354.416"/>
    <s v="NO"/>
    <s v="NO"/>
    <n v="354.416"/>
    <s v="NO"/>
  </r>
  <r>
    <n v="100284"/>
    <d v="2024-01-12T19:00:00"/>
    <x v="0"/>
    <s v="SKU-015"/>
    <x v="3"/>
    <s v="Electronics"/>
    <n v="5"/>
    <x v="280"/>
    <x v="2"/>
    <x v="0"/>
    <x v="1"/>
    <n v="534.5"/>
    <x v="218"/>
    <n v="454.32499999999999"/>
    <s v="YES"/>
    <s v="NO"/>
    <n v="-454.32499999999999"/>
    <s v="YES"/>
  </r>
  <r>
    <n v="100285"/>
    <d v="2024-01-12T20:00:00"/>
    <x v="1"/>
    <s v="SKU-011"/>
    <x v="4"/>
    <s v="Electronics"/>
    <n v="5"/>
    <x v="281"/>
    <x v="2"/>
    <x v="2"/>
    <x v="0"/>
    <n v="138.1"/>
    <x v="219"/>
    <n v="117.38500000000001"/>
    <s v="NO"/>
    <s v="NO"/>
    <n v="117.38500000000001"/>
    <s v="NO"/>
  </r>
  <r>
    <n v="100286"/>
    <d v="2024-01-12T21:00:00"/>
    <x v="0"/>
    <s v="SKU-008"/>
    <x v="0"/>
    <s v="Accessories"/>
    <n v="5"/>
    <x v="282"/>
    <x v="1"/>
    <x v="0"/>
    <x v="0"/>
    <n v="449"/>
    <x v="220"/>
    <n v="404.1"/>
    <s v="NO"/>
    <s v="NO"/>
    <n v="404.1"/>
    <s v="NO"/>
  </r>
  <r>
    <n v="100287"/>
    <d v="2024-01-12T22:00:00"/>
    <x v="0"/>
    <s v="SKU-026"/>
    <x v="0"/>
    <s v="Electronics"/>
    <n v="2"/>
    <x v="283"/>
    <x v="1"/>
    <x v="0"/>
    <x v="0"/>
    <n v="75.900000000000006"/>
    <x v="221"/>
    <n v="68.31"/>
    <s v="NO"/>
    <s v="NO"/>
    <n v="68.31"/>
    <s v="NO"/>
  </r>
  <r>
    <n v="100288"/>
    <d v="2024-01-12T23:00:00"/>
    <x v="0"/>
    <s v="SKU-045"/>
    <x v="0"/>
    <s v="Accessories"/>
    <n v="1"/>
    <x v="284"/>
    <x v="3"/>
    <x v="0"/>
    <x v="0"/>
    <n v="97.3"/>
    <x v="13"/>
    <n v="97.3"/>
    <s v="NO"/>
    <s v="NO"/>
    <n v="97.3"/>
    <s v="NO"/>
  </r>
  <r>
    <n v="100289"/>
    <d v="2024-01-13T00:00:00"/>
    <x v="0"/>
    <s v="SKU-044"/>
    <x v="1"/>
    <s v="Accessories"/>
    <n v="4"/>
    <x v="87"/>
    <x v="3"/>
    <x v="1"/>
    <x v="0"/>
    <n v="478.72"/>
    <x v="13"/>
    <n v="478.72"/>
    <s v="NO"/>
    <s v="NO"/>
    <n v="478.72"/>
    <s v="NO"/>
  </r>
  <r>
    <n v="100290"/>
    <d v="2024-01-13T01:00:00"/>
    <x v="1"/>
    <s v="SKU-005"/>
    <x v="3"/>
    <s v="Electronics"/>
    <n v="2"/>
    <x v="285"/>
    <x v="0"/>
    <x v="1"/>
    <x v="0"/>
    <n v="16.899999999999999"/>
    <x v="222"/>
    <n v="16.055"/>
    <s v="NO"/>
    <s v="NO"/>
    <n v="16.055"/>
    <s v="NO"/>
  </r>
  <r>
    <n v="100291"/>
    <d v="2024-01-13T02:00:00"/>
    <x v="0"/>
    <s v="SKU-006"/>
    <x v="0"/>
    <s v="Accessories"/>
    <n v="3"/>
    <x v="286"/>
    <x v="3"/>
    <x v="1"/>
    <x v="0"/>
    <n v="324.60000000000002"/>
    <x v="13"/>
    <n v="324.60000000000002"/>
    <s v="NO"/>
    <s v="NO"/>
    <n v="324.60000000000002"/>
    <s v="NO"/>
  </r>
  <r>
    <n v="100292"/>
    <d v="2024-01-13T03:00:00"/>
    <x v="0"/>
    <s v="SKU-026"/>
    <x v="1"/>
    <s v="Accessories"/>
    <n v="4"/>
    <x v="287"/>
    <x v="0"/>
    <x v="2"/>
    <x v="0"/>
    <n v="306.39999999999998"/>
    <x v="223"/>
    <n v="291.08"/>
    <s v="NO"/>
    <s v="NO"/>
    <n v="291.08"/>
    <s v="NO"/>
  </r>
  <r>
    <n v="100293"/>
    <d v="2024-01-13T04:00:00"/>
    <x v="0"/>
    <s v="SKU-004"/>
    <x v="3"/>
    <s v="Electronics"/>
    <n v="4"/>
    <x v="288"/>
    <x v="2"/>
    <x v="3"/>
    <x v="0"/>
    <n v="467.76"/>
    <x v="224"/>
    <n v="397.596"/>
    <s v="NO"/>
    <s v="NO"/>
    <n v="397.596"/>
    <s v="NO"/>
  </r>
  <r>
    <n v="100294"/>
    <d v="2024-01-13T05:00:00"/>
    <x v="1"/>
    <s v="SKU-019"/>
    <x v="4"/>
    <s v="Accessories"/>
    <n v="4"/>
    <x v="289"/>
    <x v="3"/>
    <x v="1"/>
    <x v="0"/>
    <n v="233.92"/>
    <x v="13"/>
    <n v="233.92"/>
    <s v="NO"/>
    <s v="NO"/>
    <n v="233.92"/>
    <s v="NO"/>
  </r>
  <r>
    <n v="100295"/>
    <d v="2024-01-13T06:00:00"/>
    <x v="1"/>
    <s v="SKU-020"/>
    <x v="1"/>
    <s v="Accessories"/>
    <n v="5"/>
    <x v="290"/>
    <x v="1"/>
    <x v="2"/>
    <x v="0"/>
    <n v="512.25"/>
    <x v="225"/>
    <n v="461.02499999999998"/>
    <s v="NO"/>
    <s v="NO"/>
    <n v="461.02499999999998"/>
    <s v="YES"/>
  </r>
  <r>
    <n v="100296"/>
    <d v="2024-01-13T07:00:00"/>
    <x v="1"/>
    <s v="SKU-033"/>
    <x v="2"/>
    <s v="Electronics"/>
    <n v="4"/>
    <x v="291"/>
    <x v="3"/>
    <x v="1"/>
    <x v="0"/>
    <n v="48.72"/>
    <x v="13"/>
    <n v="48.72"/>
    <s v="NO"/>
    <s v="NO"/>
    <n v="48.72"/>
    <s v="NO"/>
  </r>
  <r>
    <n v="100297"/>
    <d v="2024-01-13T08:00:00"/>
    <x v="1"/>
    <s v="SKU-020"/>
    <x v="1"/>
    <s v="Accessories"/>
    <n v="1"/>
    <x v="292"/>
    <x v="0"/>
    <x v="1"/>
    <x v="0"/>
    <n v="43.56"/>
    <x v="226"/>
    <n v="41.382000000000012"/>
    <s v="NO"/>
    <s v="NO"/>
    <n v="41.382000000000012"/>
    <s v="NO"/>
  </r>
  <r>
    <n v="100298"/>
    <d v="2024-01-13T09:00:00"/>
    <x v="0"/>
    <s v="SKU-049"/>
    <x v="1"/>
    <s v="Electronics"/>
    <n v="4"/>
    <x v="293"/>
    <x v="3"/>
    <x v="0"/>
    <x v="1"/>
    <n v="50.84"/>
    <x v="13"/>
    <n v="50.84"/>
    <s v="YES"/>
    <s v="NO"/>
    <n v="-50.84"/>
    <s v="NO"/>
  </r>
  <r>
    <n v="100299"/>
    <d v="2024-01-13T10:00:00"/>
    <x v="0"/>
    <s v="SKU-012"/>
    <x v="3"/>
    <s v="Accessories"/>
    <n v="5"/>
    <x v="294"/>
    <x v="2"/>
    <x v="0"/>
    <x v="1"/>
    <n v="585.79999999999995"/>
    <x v="227"/>
    <n v="497.92999999999989"/>
    <s v="YES"/>
    <s v="NO"/>
    <n v="-497.92999999999989"/>
    <s v="YES"/>
  </r>
  <r>
    <n v="100300"/>
    <d v="2024-01-13T11:00:00"/>
    <x v="1"/>
    <s v="SKU-047"/>
    <x v="4"/>
    <s v="Electronics"/>
    <n v="4"/>
    <x v="295"/>
    <x v="1"/>
    <x v="0"/>
    <x v="0"/>
    <n v="395.8"/>
    <x v="228"/>
    <n v="356.22"/>
    <s v="NO"/>
    <s v="NO"/>
    <n v="356.22"/>
    <s v="NO"/>
  </r>
  <r>
    <n v="100301"/>
    <d v="2024-01-13T12:00:00"/>
    <x v="0"/>
    <s v="SKU-001"/>
    <x v="2"/>
    <s v="Electronics"/>
    <n v="3"/>
    <x v="296"/>
    <x v="0"/>
    <x v="2"/>
    <x v="0"/>
    <n v="309.12"/>
    <x v="229"/>
    <n v="293.66399999999999"/>
    <s v="NO"/>
    <s v="NO"/>
    <n v="293.66399999999999"/>
    <s v="NO"/>
  </r>
  <r>
    <n v="100302"/>
    <d v="2024-01-13T13:00:00"/>
    <x v="0"/>
    <s v="SKU-026"/>
    <x v="0"/>
    <s v="Electronics"/>
    <n v="3"/>
    <x v="297"/>
    <x v="1"/>
    <x v="3"/>
    <x v="0"/>
    <n v="338.61"/>
    <x v="230"/>
    <n v="304.74900000000002"/>
    <s v="NO"/>
    <s v="NO"/>
    <n v="304.74900000000002"/>
    <s v="NO"/>
  </r>
  <r>
    <n v="100303"/>
    <d v="2024-01-13T14:00:00"/>
    <x v="0"/>
    <s v="SKU-014"/>
    <x v="0"/>
    <s v="Accessories"/>
    <n v="5"/>
    <x v="298"/>
    <x v="1"/>
    <x v="3"/>
    <x v="0"/>
    <n v="73.949999999999989"/>
    <x v="231"/>
    <n v="66.554999999999993"/>
    <s v="NO"/>
    <s v="NO"/>
    <n v="66.554999999999993"/>
    <s v="NO"/>
  </r>
  <r>
    <n v="100304"/>
    <d v="2024-01-13T15:00:00"/>
    <x v="1"/>
    <s v="SKU-038"/>
    <x v="1"/>
    <s v="Electronics"/>
    <n v="1"/>
    <x v="299"/>
    <x v="0"/>
    <x v="2"/>
    <x v="0"/>
    <n v="49.34"/>
    <x v="232"/>
    <n v="46.872999999999998"/>
    <s v="NO"/>
    <s v="NO"/>
    <n v="46.872999999999998"/>
    <s v="NO"/>
  </r>
  <r>
    <n v="100305"/>
    <d v="2024-01-13T16:00:00"/>
    <x v="1"/>
    <s v="SKU-037"/>
    <x v="3"/>
    <s v="Electronics"/>
    <n v="1"/>
    <x v="300"/>
    <x v="1"/>
    <x v="1"/>
    <x v="0"/>
    <n v="13.17"/>
    <x v="233"/>
    <n v="11.853"/>
    <s v="NO"/>
    <s v="NO"/>
    <n v="11.853"/>
    <s v="NO"/>
  </r>
  <r>
    <n v="100306"/>
    <d v="2024-01-13T17:00:00"/>
    <x v="0"/>
    <s v="SKU-011"/>
    <x v="3"/>
    <s v="Electronics"/>
    <n v="2"/>
    <x v="301"/>
    <x v="1"/>
    <x v="2"/>
    <x v="0"/>
    <n v="58.48"/>
    <x v="234"/>
    <n v="52.631999999999998"/>
    <s v="NO"/>
    <s v="NO"/>
    <n v="52.631999999999998"/>
    <s v="NO"/>
  </r>
  <r>
    <n v="100307"/>
    <d v="2024-01-13T18:00:00"/>
    <x v="1"/>
    <s v="SKU-036"/>
    <x v="0"/>
    <s v="Electronics"/>
    <n v="5"/>
    <x v="302"/>
    <x v="3"/>
    <x v="1"/>
    <x v="0"/>
    <n v="156.9"/>
    <x v="13"/>
    <n v="156.9"/>
    <s v="NO"/>
    <s v="NO"/>
    <n v="156.9"/>
    <s v="NO"/>
  </r>
  <r>
    <n v="100308"/>
    <d v="2024-01-13T19:00:00"/>
    <x v="1"/>
    <s v="SKU-013"/>
    <x v="2"/>
    <s v="Electronics"/>
    <n v="4"/>
    <x v="303"/>
    <x v="1"/>
    <x v="2"/>
    <x v="0"/>
    <n v="235.8"/>
    <x v="235"/>
    <n v="212.22"/>
    <s v="NO"/>
    <s v="NO"/>
    <n v="212.22"/>
    <s v="NO"/>
  </r>
  <r>
    <n v="100309"/>
    <d v="2024-01-13T20:00:00"/>
    <x v="1"/>
    <s v="SKU-043"/>
    <x v="4"/>
    <s v="Accessories"/>
    <n v="5"/>
    <x v="304"/>
    <x v="1"/>
    <x v="2"/>
    <x v="0"/>
    <n v="179.4"/>
    <x v="236"/>
    <n v="161.46"/>
    <s v="NO"/>
    <s v="NO"/>
    <n v="161.46"/>
    <s v="NO"/>
  </r>
  <r>
    <n v="100310"/>
    <d v="2024-01-13T21:00:00"/>
    <x v="1"/>
    <s v="SKU-003"/>
    <x v="2"/>
    <s v="Accessories"/>
    <n v="2"/>
    <x v="305"/>
    <x v="1"/>
    <x v="2"/>
    <x v="0"/>
    <n v="33.22"/>
    <x v="237"/>
    <n v="29.898"/>
    <s v="NO"/>
    <s v="NO"/>
    <n v="29.898"/>
    <s v="NO"/>
  </r>
  <r>
    <n v="100311"/>
    <d v="2024-01-13T22:00:00"/>
    <x v="1"/>
    <s v="SKU-033"/>
    <x v="4"/>
    <s v="Accessories"/>
    <n v="5"/>
    <x v="306"/>
    <x v="1"/>
    <x v="3"/>
    <x v="0"/>
    <n v="121.3"/>
    <x v="238"/>
    <n v="109.17"/>
    <s v="NO"/>
    <s v="NO"/>
    <n v="109.17"/>
    <s v="NO"/>
  </r>
  <r>
    <n v="100312"/>
    <d v="2024-01-13T23:00:00"/>
    <x v="0"/>
    <s v="SKU-006"/>
    <x v="0"/>
    <s v="Accessories"/>
    <n v="5"/>
    <x v="307"/>
    <x v="0"/>
    <x v="0"/>
    <x v="0"/>
    <n v="109.7"/>
    <x v="239"/>
    <n v="104.215"/>
    <s v="NO"/>
    <s v="NO"/>
    <n v="104.215"/>
    <s v="NO"/>
  </r>
  <r>
    <n v="100313"/>
    <d v="2024-01-14T00:00:00"/>
    <x v="1"/>
    <s v="SKU-050"/>
    <x v="4"/>
    <s v="Accessories"/>
    <n v="2"/>
    <x v="308"/>
    <x v="2"/>
    <x v="2"/>
    <x v="0"/>
    <n v="233.8"/>
    <x v="240"/>
    <n v="198.73"/>
    <s v="NO"/>
    <s v="NO"/>
    <n v="198.73"/>
    <s v="NO"/>
  </r>
  <r>
    <n v="100314"/>
    <d v="2024-01-14T01:00:00"/>
    <x v="0"/>
    <s v="SKU-010"/>
    <x v="3"/>
    <s v="Accessories"/>
    <n v="1"/>
    <x v="309"/>
    <x v="3"/>
    <x v="3"/>
    <x v="0"/>
    <n v="92.32"/>
    <x v="13"/>
    <n v="92.32"/>
    <s v="NO"/>
    <s v="NO"/>
    <n v="92.32"/>
    <s v="NO"/>
  </r>
  <r>
    <n v="100315"/>
    <d v="2024-01-14T02:00:00"/>
    <x v="0"/>
    <s v="SKU-005"/>
    <x v="1"/>
    <s v="Accessories"/>
    <n v="4"/>
    <x v="310"/>
    <x v="1"/>
    <x v="0"/>
    <x v="0"/>
    <n v="465.16"/>
    <x v="241"/>
    <n v="418.64400000000001"/>
    <s v="NO"/>
    <s v="NO"/>
    <n v="418.64400000000001"/>
    <s v="NO"/>
  </r>
  <r>
    <n v="100316"/>
    <d v="2024-01-14T03:00:00"/>
    <x v="1"/>
    <s v="SKU-023"/>
    <x v="1"/>
    <s v="Electronics"/>
    <n v="2"/>
    <x v="311"/>
    <x v="1"/>
    <x v="0"/>
    <x v="0"/>
    <n v="111.14"/>
    <x v="242"/>
    <n v="100.026"/>
    <s v="NO"/>
    <s v="NO"/>
    <n v="100.026"/>
    <s v="NO"/>
  </r>
  <r>
    <n v="100317"/>
    <d v="2024-01-14T04:00:00"/>
    <x v="0"/>
    <s v="SKU-010"/>
    <x v="0"/>
    <s v="Accessories"/>
    <n v="3"/>
    <x v="312"/>
    <x v="0"/>
    <x v="2"/>
    <x v="0"/>
    <n v="111.03"/>
    <x v="243"/>
    <n v="105.4785"/>
    <s v="NO"/>
    <s v="NO"/>
    <n v="105.4785"/>
    <s v="NO"/>
  </r>
  <r>
    <n v="100318"/>
    <d v="2024-01-14T05:00:00"/>
    <x v="0"/>
    <s v="SKU-044"/>
    <x v="3"/>
    <s v="Electronics"/>
    <n v="1"/>
    <x v="313"/>
    <x v="2"/>
    <x v="1"/>
    <x v="0"/>
    <n v="96.8"/>
    <x v="244"/>
    <n v="82.28"/>
    <s v="NO"/>
    <s v="NO"/>
    <n v="82.28"/>
    <s v="NO"/>
  </r>
  <r>
    <n v="100319"/>
    <d v="2024-01-14T06:00:00"/>
    <x v="0"/>
    <s v="SKU-002"/>
    <x v="2"/>
    <s v="Electronics"/>
    <n v="3"/>
    <x v="314"/>
    <x v="1"/>
    <x v="1"/>
    <x v="0"/>
    <n v="127.56"/>
    <x v="245"/>
    <n v="114.804"/>
    <s v="NO"/>
    <s v="NO"/>
    <n v="114.804"/>
    <s v="NO"/>
  </r>
  <r>
    <n v="100320"/>
    <d v="2024-01-14T07:00:00"/>
    <x v="1"/>
    <s v="SKU-013"/>
    <x v="3"/>
    <s v="Accessories"/>
    <n v="1"/>
    <x v="315"/>
    <x v="0"/>
    <x v="1"/>
    <x v="0"/>
    <n v="39.43"/>
    <x v="246"/>
    <n v="37.458500000000001"/>
    <s v="NO"/>
    <s v="NO"/>
    <n v="37.458500000000001"/>
    <s v="NO"/>
  </r>
  <r>
    <n v="100321"/>
    <d v="2024-01-14T08:00:00"/>
    <x v="1"/>
    <s v="SKU-040"/>
    <x v="1"/>
    <s v="Electronics"/>
    <n v="4"/>
    <x v="316"/>
    <x v="3"/>
    <x v="2"/>
    <x v="0"/>
    <n v="126.96"/>
    <x v="13"/>
    <n v="126.96"/>
    <s v="NO"/>
    <s v="NO"/>
    <n v="126.96"/>
    <s v="NO"/>
  </r>
  <r>
    <n v="100322"/>
    <d v="2024-01-14T09:00:00"/>
    <x v="0"/>
    <s v="SKU-002"/>
    <x v="1"/>
    <s v="Electronics"/>
    <n v="4"/>
    <x v="317"/>
    <x v="3"/>
    <x v="1"/>
    <x v="0"/>
    <n v="79.64"/>
    <x v="13"/>
    <n v="79.64"/>
    <s v="NO"/>
    <s v="NO"/>
    <n v="79.64"/>
    <s v="NO"/>
  </r>
  <r>
    <n v="100323"/>
    <d v="2024-01-14T10:00:00"/>
    <x v="1"/>
    <s v="SKU-020"/>
    <x v="3"/>
    <s v="Electronics"/>
    <n v="5"/>
    <x v="318"/>
    <x v="1"/>
    <x v="3"/>
    <x v="0"/>
    <n v="172.45"/>
    <x v="247"/>
    <n v="155.20500000000001"/>
    <s v="NO"/>
    <s v="NO"/>
    <n v="155.20500000000001"/>
    <s v="NO"/>
  </r>
  <r>
    <n v="100324"/>
    <d v="2024-01-14T11:00:00"/>
    <x v="1"/>
    <s v="SKU-001"/>
    <x v="3"/>
    <s v="Electronics"/>
    <n v="3"/>
    <x v="319"/>
    <x v="1"/>
    <x v="3"/>
    <x v="1"/>
    <n v="137.58000000000001"/>
    <x v="248"/>
    <n v="123.822"/>
    <s v="YES"/>
    <s v="NO"/>
    <n v="-123.822"/>
    <s v="NO"/>
  </r>
  <r>
    <n v="100325"/>
    <d v="2024-01-14T12:00:00"/>
    <x v="1"/>
    <s v="SKU-037"/>
    <x v="1"/>
    <s v="Accessories"/>
    <n v="1"/>
    <x v="320"/>
    <x v="2"/>
    <x v="3"/>
    <x v="0"/>
    <n v="82.51"/>
    <x v="249"/>
    <n v="70.133499999999998"/>
    <s v="NO"/>
    <s v="NO"/>
    <n v="70.133499999999998"/>
    <s v="NO"/>
  </r>
  <r>
    <n v="100326"/>
    <d v="2024-01-14T13:00:00"/>
    <x v="1"/>
    <s v="SKU-009"/>
    <x v="2"/>
    <s v="Accessories"/>
    <n v="4"/>
    <x v="321"/>
    <x v="2"/>
    <x v="3"/>
    <x v="0"/>
    <n v="48.76"/>
    <x v="250"/>
    <n v="41.445999999999998"/>
    <s v="NO"/>
    <s v="NO"/>
    <n v="41.445999999999998"/>
    <s v="NO"/>
  </r>
  <r>
    <n v="100327"/>
    <d v="2024-01-14T14:00:00"/>
    <x v="0"/>
    <s v="SKU-017"/>
    <x v="0"/>
    <s v="Accessories"/>
    <n v="2"/>
    <x v="322"/>
    <x v="1"/>
    <x v="0"/>
    <x v="0"/>
    <n v="58.42"/>
    <x v="251"/>
    <n v="52.578000000000003"/>
    <s v="NO"/>
    <s v="NO"/>
    <n v="52.578000000000003"/>
    <s v="NO"/>
  </r>
  <r>
    <n v="100328"/>
    <d v="2024-01-14T15:00:00"/>
    <x v="0"/>
    <s v="SKU-009"/>
    <x v="0"/>
    <s v="Accessories"/>
    <n v="4"/>
    <x v="323"/>
    <x v="0"/>
    <x v="3"/>
    <x v="0"/>
    <n v="392.16"/>
    <x v="252"/>
    <n v="372.55200000000002"/>
    <s v="NO"/>
    <s v="NO"/>
    <n v="372.55200000000002"/>
    <s v="NO"/>
  </r>
  <r>
    <n v="100329"/>
    <d v="2024-01-14T16:00:00"/>
    <x v="1"/>
    <s v="SKU-011"/>
    <x v="3"/>
    <s v="Accessories"/>
    <n v="2"/>
    <x v="324"/>
    <x v="2"/>
    <x v="1"/>
    <x v="1"/>
    <n v="43.8"/>
    <x v="253"/>
    <n v="37.229999999999997"/>
    <s v="YES"/>
    <s v="NO"/>
    <n v="-37.229999999999997"/>
    <s v="NO"/>
  </r>
  <r>
    <n v="100330"/>
    <d v="2024-01-14T17:00:00"/>
    <x v="1"/>
    <s v="SKU-015"/>
    <x v="0"/>
    <s v="Accessories"/>
    <n v="1"/>
    <x v="325"/>
    <x v="1"/>
    <x v="2"/>
    <x v="0"/>
    <n v="44.4"/>
    <x v="254"/>
    <n v="39.96"/>
    <s v="NO"/>
    <s v="NO"/>
    <n v="39.96"/>
    <s v="NO"/>
  </r>
  <r>
    <n v="100331"/>
    <d v="2024-01-14T18:00:00"/>
    <x v="0"/>
    <s v="SKU-024"/>
    <x v="1"/>
    <s v="Accessories"/>
    <n v="4"/>
    <x v="326"/>
    <x v="2"/>
    <x v="1"/>
    <x v="0"/>
    <n v="417.76"/>
    <x v="255"/>
    <n v="355.096"/>
    <s v="NO"/>
    <s v="NO"/>
    <n v="355.096"/>
    <s v="NO"/>
  </r>
  <r>
    <n v="100332"/>
    <d v="2024-01-14T19:00:00"/>
    <x v="0"/>
    <s v="SKU-038"/>
    <x v="1"/>
    <s v="Accessories"/>
    <n v="4"/>
    <x v="327"/>
    <x v="1"/>
    <x v="3"/>
    <x v="0"/>
    <n v="91.28"/>
    <x v="256"/>
    <n v="82.152000000000001"/>
    <s v="NO"/>
    <s v="NO"/>
    <n v="82.152000000000001"/>
    <s v="NO"/>
  </r>
  <r>
    <n v="100333"/>
    <d v="2024-01-14T20:00:00"/>
    <x v="1"/>
    <s v="SKU-035"/>
    <x v="3"/>
    <s v="Accessories"/>
    <n v="1"/>
    <x v="328"/>
    <x v="3"/>
    <x v="0"/>
    <x v="0"/>
    <n v="14.51"/>
    <x v="13"/>
    <n v="14.51"/>
    <s v="NO"/>
    <s v="NO"/>
    <n v="14.51"/>
    <s v="NO"/>
  </r>
  <r>
    <n v="100334"/>
    <d v="2024-01-14T21:00:00"/>
    <x v="0"/>
    <s v="SKU-030"/>
    <x v="3"/>
    <s v="Accessories"/>
    <n v="4"/>
    <x v="329"/>
    <x v="1"/>
    <x v="3"/>
    <x v="0"/>
    <n v="242.88"/>
    <x v="257"/>
    <n v="218.59200000000001"/>
    <s v="NO"/>
    <s v="NO"/>
    <n v="218.59200000000001"/>
    <s v="NO"/>
  </r>
  <r>
    <n v="100335"/>
    <d v="2024-01-14T22:00:00"/>
    <x v="1"/>
    <s v="SKU-031"/>
    <x v="3"/>
    <s v="Electronics"/>
    <n v="2"/>
    <x v="330"/>
    <x v="3"/>
    <x v="2"/>
    <x v="0"/>
    <n v="79.56"/>
    <x v="13"/>
    <n v="79.56"/>
    <s v="NO"/>
    <s v="NO"/>
    <n v="79.56"/>
    <s v="NO"/>
  </r>
  <r>
    <n v="100336"/>
    <d v="2024-01-14T23:00:00"/>
    <x v="1"/>
    <s v="SKU-049"/>
    <x v="2"/>
    <s v="Accessories"/>
    <n v="4"/>
    <x v="210"/>
    <x v="2"/>
    <x v="1"/>
    <x v="0"/>
    <n v="279.16000000000003"/>
    <x v="258"/>
    <n v="237.286"/>
    <s v="NO"/>
    <s v="NO"/>
    <n v="237.286"/>
    <s v="NO"/>
  </r>
  <r>
    <n v="100337"/>
    <d v="2024-01-15T00:00:00"/>
    <x v="0"/>
    <s v="SKU-005"/>
    <x v="0"/>
    <s v="Electronics"/>
    <n v="3"/>
    <x v="85"/>
    <x v="1"/>
    <x v="2"/>
    <x v="0"/>
    <n v="292.32"/>
    <x v="259"/>
    <n v="263.08800000000002"/>
    <s v="NO"/>
    <s v="NO"/>
    <n v="263.08800000000002"/>
    <s v="NO"/>
  </r>
  <r>
    <n v="100338"/>
    <d v="2024-01-15T01:00:00"/>
    <x v="0"/>
    <s v="SKU-044"/>
    <x v="3"/>
    <s v="Electronics"/>
    <n v="5"/>
    <x v="331"/>
    <x v="2"/>
    <x v="2"/>
    <x v="0"/>
    <n v="103.85"/>
    <x v="260"/>
    <n v="88.272499999999994"/>
    <s v="NO"/>
    <s v="NO"/>
    <n v="88.272499999999994"/>
    <s v="NO"/>
  </r>
  <r>
    <n v="100339"/>
    <d v="2024-01-15T02:00:00"/>
    <x v="1"/>
    <s v="SKU-050"/>
    <x v="4"/>
    <s v="Electronics"/>
    <n v="2"/>
    <x v="332"/>
    <x v="3"/>
    <x v="2"/>
    <x v="1"/>
    <n v="143.56"/>
    <x v="13"/>
    <n v="143.56"/>
    <s v="YES"/>
    <s v="NO"/>
    <n v="-143.56"/>
    <s v="NO"/>
  </r>
  <r>
    <n v="100340"/>
    <d v="2024-01-15T03:00:00"/>
    <x v="1"/>
    <s v="SKU-014"/>
    <x v="4"/>
    <s v="Electronics"/>
    <n v="3"/>
    <x v="333"/>
    <x v="1"/>
    <x v="1"/>
    <x v="0"/>
    <n v="189.39"/>
    <x v="261"/>
    <n v="170.45099999999999"/>
    <s v="NO"/>
    <s v="NO"/>
    <n v="170.45099999999999"/>
    <s v="NO"/>
  </r>
  <r>
    <n v="100341"/>
    <d v="2024-01-15T04:00:00"/>
    <x v="0"/>
    <s v="SKU-011"/>
    <x v="1"/>
    <s v="Accessories"/>
    <n v="1"/>
    <x v="334"/>
    <x v="2"/>
    <x v="3"/>
    <x v="0"/>
    <n v="21.57"/>
    <x v="262"/>
    <n v="18.334499999999998"/>
    <s v="NO"/>
    <s v="NO"/>
    <n v="18.334499999999998"/>
    <s v="NO"/>
  </r>
  <r>
    <n v="100342"/>
    <d v="2024-01-15T05:00:00"/>
    <x v="1"/>
    <s v="SKU-009"/>
    <x v="0"/>
    <s v="Electronics"/>
    <n v="2"/>
    <x v="335"/>
    <x v="3"/>
    <x v="2"/>
    <x v="0"/>
    <n v="153.52000000000001"/>
    <x v="13"/>
    <n v="153.52000000000001"/>
    <s v="NO"/>
    <s v="NO"/>
    <n v="153.52000000000001"/>
    <s v="NO"/>
  </r>
  <r>
    <n v="100343"/>
    <d v="2024-01-15T06:00:00"/>
    <x v="0"/>
    <s v="SKU-034"/>
    <x v="3"/>
    <s v="Accessories"/>
    <n v="5"/>
    <x v="336"/>
    <x v="2"/>
    <x v="1"/>
    <x v="0"/>
    <n v="182.35"/>
    <x v="263"/>
    <n v="154.9975"/>
    <s v="NO"/>
    <s v="NO"/>
    <n v="154.9975"/>
    <s v="NO"/>
  </r>
  <r>
    <n v="100344"/>
    <d v="2024-01-15T07:00:00"/>
    <x v="1"/>
    <s v="SKU-012"/>
    <x v="4"/>
    <s v="Accessories"/>
    <n v="5"/>
    <x v="337"/>
    <x v="0"/>
    <x v="0"/>
    <x v="0"/>
    <n v="305.5"/>
    <x v="264"/>
    <n v="290.22500000000002"/>
    <s v="NO"/>
    <s v="NO"/>
    <n v="290.22500000000002"/>
    <s v="NO"/>
  </r>
  <r>
    <n v="100345"/>
    <d v="2024-01-15T08:00:00"/>
    <x v="0"/>
    <s v="SKU-035"/>
    <x v="0"/>
    <s v="Electronics"/>
    <n v="1"/>
    <x v="338"/>
    <x v="3"/>
    <x v="1"/>
    <x v="0"/>
    <n v="14.46"/>
    <x v="13"/>
    <n v="14.46"/>
    <s v="NO"/>
    <s v="NO"/>
    <n v="14.46"/>
    <s v="NO"/>
  </r>
  <r>
    <n v="100346"/>
    <d v="2024-01-15T09:00:00"/>
    <x v="0"/>
    <s v="SKU-035"/>
    <x v="1"/>
    <s v="Accessories"/>
    <n v="1"/>
    <x v="339"/>
    <x v="3"/>
    <x v="0"/>
    <x v="0"/>
    <n v="57.85"/>
    <x v="13"/>
    <n v="57.85"/>
    <s v="NO"/>
    <s v="NO"/>
    <n v="57.85"/>
    <s v="NO"/>
  </r>
  <r>
    <n v="100347"/>
    <d v="2024-01-15T10:00:00"/>
    <x v="0"/>
    <s v="SKU-001"/>
    <x v="2"/>
    <s v="Electronics"/>
    <n v="2"/>
    <x v="340"/>
    <x v="3"/>
    <x v="1"/>
    <x v="0"/>
    <n v="80.48"/>
    <x v="13"/>
    <n v="80.48"/>
    <s v="NO"/>
    <s v="NO"/>
    <n v="80.48"/>
    <s v="NO"/>
  </r>
  <r>
    <n v="100348"/>
    <d v="2024-01-15T11:00:00"/>
    <x v="1"/>
    <s v="SKU-040"/>
    <x v="0"/>
    <s v="Electronics"/>
    <n v="4"/>
    <x v="341"/>
    <x v="1"/>
    <x v="3"/>
    <x v="2"/>
    <n v="398.28"/>
    <x v="265"/>
    <n v="358.452"/>
    <s v="YES"/>
    <s v="NO"/>
    <n v="0"/>
    <s v="NO"/>
  </r>
  <r>
    <n v="100349"/>
    <d v="2024-01-15T12:00:00"/>
    <x v="1"/>
    <s v="SKU-022"/>
    <x v="0"/>
    <s v="Accessories"/>
    <n v="1"/>
    <x v="342"/>
    <x v="1"/>
    <x v="2"/>
    <x v="0"/>
    <n v="11.55"/>
    <x v="266"/>
    <n v="10.395"/>
    <s v="NO"/>
    <s v="NO"/>
    <n v="10.395"/>
    <s v="NO"/>
  </r>
  <r>
    <n v="100350"/>
    <d v="2024-01-15T13:00:00"/>
    <x v="0"/>
    <s v="SKU-029"/>
    <x v="2"/>
    <s v="Accessories"/>
    <n v="4"/>
    <x v="343"/>
    <x v="1"/>
    <x v="3"/>
    <x v="0"/>
    <n v="212.56"/>
    <x v="267"/>
    <n v="191.304"/>
    <s v="NO"/>
    <s v="NO"/>
    <n v="191.304"/>
    <s v="NO"/>
  </r>
  <r>
    <n v="100351"/>
    <d v="2024-01-15T14:00:00"/>
    <x v="1"/>
    <s v="SKU-008"/>
    <x v="0"/>
    <s v="Electronics"/>
    <n v="3"/>
    <x v="344"/>
    <x v="0"/>
    <x v="1"/>
    <x v="1"/>
    <n v="173.16"/>
    <x v="268"/>
    <n v="164.50200000000001"/>
    <s v="YES"/>
    <s v="NO"/>
    <n v="-164.50200000000001"/>
    <s v="NO"/>
  </r>
  <r>
    <n v="100352"/>
    <d v="2024-01-15T15:00:00"/>
    <x v="0"/>
    <s v="SKU-011"/>
    <x v="1"/>
    <s v="Accessories"/>
    <n v="5"/>
    <x v="345"/>
    <x v="0"/>
    <x v="2"/>
    <x v="0"/>
    <n v="441.9"/>
    <x v="269"/>
    <n v="419.80499999999989"/>
    <s v="NO"/>
    <s v="NO"/>
    <n v="419.80499999999989"/>
    <s v="NO"/>
  </r>
  <r>
    <n v="100353"/>
    <d v="2024-01-15T16:00:00"/>
    <x v="0"/>
    <s v="SKU-041"/>
    <x v="1"/>
    <s v="Accessories"/>
    <n v="4"/>
    <x v="346"/>
    <x v="3"/>
    <x v="0"/>
    <x v="0"/>
    <n v="284.16000000000003"/>
    <x v="13"/>
    <n v="284.16000000000003"/>
    <s v="NO"/>
    <s v="NO"/>
    <n v="284.16000000000003"/>
    <s v="NO"/>
  </r>
  <r>
    <n v="100354"/>
    <d v="2024-01-15T17:00:00"/>
    <x v="1"/>
    <s v="SKU-037"/>
    <x v="2"/>
    <s v="Accessories"/>
    <n v="5"/>
    <x v="347"/>
    <x v="0"/>
    <x v="1"/>
    <x v="0"/>
    <n v="408.65"/>
    <x v="270"/>
    <n v="388.21749999999997"/>
    <s v="NO"/>
    <s v="NO"/>
    <n v="388.21749999999997"/>
    <s v="NO"/>
  </r>
  <r>
    <n v="100355"/>
    <d v="2024-01-15T18:00:00"/>
    <x v="1"/>
    <s v="SKU-014"/>
    <x v="3"/>
    <s v="Electronics"/>
    <n v="4"/>
    <x v="348"/>
    <x v="2"/>
    <x v="2"/>
    <x v="0"/>
    <n v="377.44"/>
    <x v="271"/>
    <n v="320.82400000000001"/>
    <s v="NO"/>
    <s v="NO"/>
    <n v="320.82400000000001"/>
    <s v="NO"/>
  </r>
  <r>
    <n v="100356"/>
    <d v="2024-01-15T19:00:00"/>
    <x v="0"/>
    <s v="SKU-030"/>
    <x v="4"/>
    <s v="Electronics"/>
    <n v="3"/>
    <x v="349"/>
    <x v="3"/>
    <x v="0"/>
    <x v="2"/>
    <n v="312.45"/>
    <x v="13"/>
    <n v="312.45"/>
    <s v="YES"/>
    <s v="NO"/>
    <n v="0"/>
    <s v="NO"/>
  </r>
  <r>
    <n v="100357"/>
    <d v="2024-01-15T20:00:00"/>
    <x v="1"/>
    <s v="SKU-035"/>
    <x v="3"/>
    <s v="Accessories"/>
    <n v="1"/>
    <x v="350"/>
    <x v="3"/>
    <x v="0"/>
    <x v="2"/>
    <n v="41.1"/>
    <x v="13"/>
    <n v="41.1"/>
    <s v="YES"/>
    <s v="NO"/>
    <n v="0"/>
    <s v="NO"/>
  </r>
  <r>
    <n v="100358"/>
    <d v="2024-01-15T21:00:00"/>
    <x v="1"/>
    <s v="SKU-021"/>
    <x v="0"/>
    <s v="Accessories"/>
    <n v="3"/>
    <x v="351"/>
    <x v="2"/>
    <x v="3"/>
    <x v="0"/>
    <n v="200.61"/>
    <x v="272"/>
    <n v="170.51849999999999"/>
    <s v="NO"/>
    <s v="NO"/>
    <n v="170.51849999999999"/>
    <s v="NO"/>
  </r>
  <r>
    <n v="100359"/>
    <d v="2024-01-15T22:00:00"/>
    <x v="0"/>
    <s v="SKU-037"/>
    <x v="4"/>
    <s v="Accessories"/>
    <n v="1"/>
    <x v="352"/>
    <x v="3"/>
    <x v="1"/>
    <x v="0"/>
    <n v="101.61"/>
    <x v="13"/>
    <n v="101.61"/>
    <m/>
    <s v="NO"/>
    <n v="101.61"/>
    <s v="NO"/>
  </r>
  <r>
    <n v="100360"/>
    <d v="2024-01-15T23:00:00"/>
    <x v="0"/>
    <s v="SKU-005"/>
    <x v="2"/>
    <s v="Accessories"/>
    <n v="1"/>
    <x v="353"/>
    <x v="0"/>
    <x v="0"/>
    <x v="0"/>
    <n v="118.79"/>
    <x v="273"/>
    <n v="112.8505"/>
    <s v="NO"/>
    <s v="NO"/>
    <n v="112.8505"/>
    <s v="NO"/>
  </r>
  <r>
    <n v="100361"/>
    <d v="2024-01-16T00:00:00"/>
    <x v="1"/>
    <s v="SKU-019"/>
    <x v="2"/>
    <s v="Accessories"/>
    <n v="5"/>
    <x v="354"/>
    <x v="1"/>
    <x v="2"/>
    <x v="0"/>
    <n v="536.45000000000005"/>
    <x v="274"/>
    <n v="482.80500000000012"/>
    <s v="NO"/>
    <s v="NO"/>
    <n v="482.80500000000012"/>
    <s v="YES"/>
  </r>
  <r>
    <n v="100362"/>
    <d v="2024-01-16T01:00:00"/>
    <x v="0"/>
    <s v="SKU-014"/>
    <x v="4"/>
    <s v="Electronics"/>
    <n v="3"/>
    <x v="355"/>
    <x v="2"/>
    <x v="0"/>
    <x v="0"/>
    <n v="143.16"/>
    <x v="275"/>
    <n v="121.68600000000001"/>
    <s v="NO"/>
    <s v="NO"/>
    <n v="121.68600000000001"/>
    <s v="NO"/>
  </r>
  <r>
    <n v="100363"/>
    <d v="2024-01-16T02:00:00"/>
    <x v="0"/>
    <s v="SKU-026"/>
    <x v="1"/>
    <s v="Accessories"/>
    <n v="4"/>
    <x v="356"/>
    <x v="0"/>
    <x v="0"/>
    <x v="0"/>
    <n v="109.76"/>
    <x v="276"/>
    <n v="104.27200000000001"/>
    <s v="NO"/>
    <s v="NO"/>
    <n v="104.27200000000001"/>
    <s v="NO"/>
  </r>
  <r>
    <n v="100364"/>
    <d v="2024-01-16T03:00:00"/>
    <x v="1"/>
    <s v="SKU-004"/>
    <x v="4"/>
    <s v="Electronics"/>
    <n v="3"/>
    <x v="357"/>
    <x v="2"/>
    <x v="3"/>
    <x v="2"/>
    <n v="183.84"/>
    <x v="277"/>
    <n v="156.26400000000001"/>
    <s v="YES"/>
    <s v="NO"/>
    <n v="0"/>
    <s v="NO"/>
  </r>
  <r>
    <n v="100365"/>
    <d v="2024-01-16T04:00:00"/>
    <x v="0"/>
    <s v="SKU-025"/>
    <x v="0"/>
    <s v="Accessories"/>
    <n v="5"/>
    <x v="358"/>
    <x v="2"/>
    <x v="3"/>
    <x v="1"/>
    <n v="451.45"/>
    <x v="278"/>
    <n v="383.73250000000007"/>
    <s v="YES"/>
    <s v="NO"/>
    <n v="-383.73250000000007"/>
    <s v="NO"/>
  </r>
  <r>
    <n v="100366"/>
    <d v="2024-01-16T05:00:00"/>
    <x v="0"/>
    <s v="SKU-045"/>
    <x v="1"/>
    <s v="Electronics"/>
    <n v="1"/>
    <x v="359"/>
    <x v="3"/>
    <x v="2"/>
    <x v="0"/>
    <n v="61.65"/>
    <x v="13"/>
    <n v="61.65"/>
    <s v="NO"/>
    <s v="NO"/>
    <n v="61.65"/>
    <s v="NO"/>
  </r>
  <r>
    <n v="100367"/>
    <d v="2024-01-16T06:00:00"/>
    <x v="1"/>
    <s v="SKU-042"/>
    <x v="2"/>
    <s v="Accessories"/>
    <n v="5"/>
    <x v="360"/>
    <x v="3"/>
    <x v="3"/>
    <x v="0"/>
    <n v="302.85000000000002"/>
    <x v="13"/>
    <n v="302.85000000000002"/>
    <s v="NO"/>
    <s v="NO"/>
    <n v="302.85000000000002"/>
    <s v="NO"/>
  </r>
  <r>
    <n v="100368"/>
    <d v="2024-01-16T07:00:00"/>
    <x v="1"/>
    <s v="SKU-025"/>
    <x v="4"/>
    <s v="Electronics"/>
    <n v="2"/>
    <x v="361"/>
    <x v="0"/>
    <x v="0"/>
    <x v="0"/>
    <n v="202.8"/>
    <x v="65"/>
    <n v="192.66"/>
    <s v="NO"/>
    <s v="NO"/>
    <n v="192.66"/>
    <s v="NO"/>
  </r>
  <r>
    <n v="100369"/>
    <d v="2024-01-16T08:00:00"/>
    <x v="0"/>
    <s v="SKU-018"/>
    <x v="3"/>
    <s v="Accessories"/>
    <n v="2"/>
    <x v="362"/>
    <x v="2"/>
    <x v="0"/>
    <x v="0"/>
    <n v="93.12"/>
    <x v="279"/>
    <n v="79.152000000000001"/>
    <s v="NO"/>
    <s v="NO"/>
    <n v="79.152000000000001"/>
    <s v="NO"/>
  </r>
  <r>
    <n v="100370"/>
    <d v="2024-01-16T09:00:00"/>
    <x v="0"/>
    <s v="SKU-040"/>
    <x v="3"/>
    <s v="Electronics"/>
    <n v="4"/>
    <x v="363"/>
    <x v="3"/>
    <x v="3"/>
    <x v="0"/>
    <n v="415.52"/>
    <x v="13"/>
    <n v="415.52"/>
    <s v="NO"/>
    <s v="NO"/>
    <n v="415.52"/>
    <s v="NO"/>
  </r>
  <r>
    <n v="100371"/>
    <d v="2024-01-16T10:00:00"/>
    <x v="1"/>
    <s v="SKU-008"/>
    <x v="0"/>
    <s v="Electronics"/>
    <n v="5"/>
    <x v="364"/>
    <x v="3"/>
    <x v="0"/>
    <x v="0"/>
    <n v="258.89999999999998"/>
    <x v="13"/>
    <n v="258.89999999999998"/>
    <s v="NO"/>
    <s v="NO"/>
    <n v="258.89999999999998"/>
    <s v="NO"/>
  </r>
  <r>
    <n v="100372"/>
    <d v="2024-01-16T11:00:00"/>
    <x v="1"/>
    <s v="SKU-039"/>
    <x v="3"/>
    <s v="Electronics"/>
    <n v="4"/>
    <x v="365"/>
    <x v="2"/>
    <x v="0"/>
    <x v="0"/>
    <n v="171"/>
    <x v="280"/>
    <n v="145.35"/>
    <s v="NO"/>
    <s v="NO"/>
    <n v="145.35"/>
    <s v="NO"/>
  </r>
  <r>
    <n v="100373"/>
    <d v="2024-01-16T12:00:00"/>
    <x v="1"/>
    <s v="SKU-040"/>
    <x v="4"/>
    <s v="Electronics"/>
    <n v="4"/>
    <x v="366"/>
    <x v="0"/>
    <x v="2"/>
    <x v="0"/>
    <n v="228.84"/>
    <x v="281"/>
    <n v="217.398"/>
    <s v="NO"/>
    <s v="NO"/>
    <n v="217.398"/>
    <s v="NO"/>
  </r>
  <r>
    <n v="100374"/>
    <d v="2024-01-16T13:00:00"/>
    <x v="1"/>
    <s v="SKU-014"/>
    <x v="4"/>
    <s v="Electronics"/>
    <n v="2"/>
    <x v="367"/>
    <x v="0"/>
    <x v="3"/>
    <x v="0"/>
    <n v="185.36"/>
    <x v="282"/>
    <n v="176.09200000000001"/>
    <s v="NO"/>
    <s v="NO"/>
    <n v="176.09200000000001"/>
    <s v="NO"/>
  </r>
  <r>
    <n v="100375"/>
    <d v="2024-01-16T14:00:00"/>
    <x v="0"/>
    <s v="SKU-032"/>
    <x v="3"/>
    <s v="Electronics"/>
    <n v="4"/>
    <x v="368"/>
    <x v="2"/>
    <x v="0"/>
    <x v="1"/>
    <n v="77.959999999999994"/>
    <x v="283"/>
    <n v="66.265999999999991"/>
    <s v="YES"/>
    <s v="NO"/>
    <n v="-66.265999999999991"/>
    <s v="NO"/>
  </r>
  <r>
    <n v="100376"/>
    <d v="2024-01-16T15:00:00"/>
    <x v="1"/>
    <s v="SKU-038"/>
    <x v="4"/>
    <s v="Accessories"/>
    <n v="2"/>
    <x v="369"/>
    <x v="0"/>
    <x v="3"/>
    <x v="0"/>
    <n v="55.18"/>
    <x v="284"/>
    <n v="52.420999999999999"/>
    <s v="NO"/>
    <s v="NO"/>
    <n v="52.420999999999999"/>
    <s v="NO"/>
  </r>
  <r>
    <n v="100377"/>
    <d v="2024-01-16T16:00:00"/>
    <x v="1"/>
    <s v="SKU-033"/>
    <x v="0"/>
    <s v="Electronics"/>
    <n v="1"/>
    <x v="370"/>
    <x v="3"/>
    <x v="2"/>
    <x v="0"/>
    <n v="114.42"/>
    <x v="13"/>
    <n v="114.42"/>
    <s v="NO"/>
    <s v="NO"/>
    <n v="114.42"/>
    <s v="NO"/>
  </r>
  <r>
    <n v="100378"/>
    <d v="2024-01-16T17:00:00"/>
    <x v="0"/>
    <s v="SKU-023"/>
    <x v="1"/>
    <s v="Accessories"/>
    <n v="5"/>
    <x v="371"/>
    <x v="2"/>
    <x v="3"/>
    <x v="0"/>
    <n v="125.9"/>
    <x v="285"/>
    <n v="107.015"/>
    <s v="NO"/>
    <s v="NO"/>
    <n v="107.015"/>
    <s v="NO"/>
  </r>
  <r>
    <n v="100379"/>
    <d v="2024-01-16T18:00:00"/>
    <x v="1"/>
    <s v="SKU-015"/>
    <x v="0"/>
    <s v="Accessories"/>
    <n v="4"/>
    <x v="372"/>
    <x v="3"/>
    <x v="0"/>
    <x v="0"/>
    <n v="281.16000000000003"/>
    <x v="13"/>
    <n v="281.16000000000003"/>
    <s v="NO"/>
    <s v="NO"/>
    <n v="281.16000000000003"/>
    <s v="NO"/>
  </r>
  <r>
    <n v="100380"/>
    <d v="2024-01-16T19:00:00"/>
    <x v="0"/>
    <s v="SKU-033"/>
    <x v="0"/>
    <s v="Accessories"/>
    <n v="2"/>
    <x v="373"/>
    <x v="1"/>
    <x v="3"/>
    <x v="2"/>
    <n v="143.24"/>
    <x v="286"/>
    <n v="128.916"/>
    <s v="YES"/>
    <s v="NO"/>
    <n v="0"/>
    <s v="NO"/>
  </r>
  <r>
    <n v="100381"/>
    <d v="2024-01-16T20:00:00"/>
    <x v="1"/>
    <s v="SKU-025"/>
    <x v="4"/>
    <s v="Accessories"/>
    <n v="3"/>
    <x v="374"/>
    <x v="1"/>
    <x v="0"/>
    <x v="0"/>
    <n v="183.93"/>
    <x v="287"/>
    <n v="165.53700000000001"/>
    <s v="NO"/>
    <s v="NO"/>
    <n v="165.53700000000001"/>
    <s v="NO"/>
  </r>
  <r>
    <n v="100382"/>
    <d v="2024-01-16T21:00:00"/>
    <x v="1"/>
    <s v="SKU-017"/>
    <x v="1"/>
    <s v="Accessories"/>
    <n v="4"/>
    <x v="375"/>
    <x v="0"/>
    <x v="0"/>
    <x v="0"/>
    <n v="316.60000000000002"/>
    <x v="288"/>
    <n v="300.77"/>
    <s v="NO"/>
    <s v="NO"/>
    <n v="300.77"/>
    <s v="NO"/>
  </r>
  <r>
    <n v="100383"/>
    <d v="2024-01-16T22:00:00"/>
    <x v="1"/>
    <s v="SKU-033"/>
    <x v="4"/>
    <s v="Electronics"/>
    <n v="1"/>
    <x v="376"/>
    <x v="1"/>
    <x v="0"/>
    <x v="0"/>
    <n v="31.43"/>
    <x v="289"/>
    <n v="28.286999999999999"/>
    <s v="NO"/>
    <s v="NO"/>
    <n v="28.286999999999999"/>
    <s v="NO"/>
  </r>
  <r>
    <n v="100384"/>
    <d v="2024-01-16T23:00:00"/>
    <x v="0"/>
    <s v="SKU-047"/>
    <x v="2"/>
    <s v="Electronics"/>
    <n v="1"/>
    <x v="377"/>
    <x v="3"/>
    <x v="2"/>
    <x v="0"/>
    <n v="68.56"/>
    <x v="13"/>
    <n v="68.56"/>
    <s v="NO"/>
    <s v="NO"/>
    <n v="68.56"/>
    <s v="NO"/>
  </r>
  <r>
    <n v="100385"/>
    <d v="2024-01-17T00:00:00"/>
    <x v="0"/>
    <s v="SKU-002"/>
    <x v="4"/>
    <s v="Electronics"/>
    <n v="3"/>
    <x v="378"/>
    <x v="1"/>
    <x v="3"/>
    <x v="0"/>
    <n v="143.4"/>
    <x v="290"/>
    <n v="129.06"/>
    <s v="NO"/>
    <s v="NO"/>
    <n v="129.06"/>
    <s v="NO"/>
  </r>
  <r>
    <n v="100386"/>
    <d v="2024-01-17T01:00:00"/>
    <x v="1"/>
    <s v="SKU-014"/>
    <x v="4"/>
    <s v="Accessories"/>
    <n v="2"/>
    <x v="101"/>
    <x v="3"/>
    <x v="2"/>
    <x v="0"/>
    <n v="162.18"/>
    <x v="13"/>
    <n v="162.18"/>
    <s v="NO"/>
    <s v="NO"/>
    <n v="162.18"/>
    <s v="NO"/>
  </r>
  <r>
    <n v="100387"/>
    <d v="2024-01-17T02:00:00"/>
    <x v="0"/>
    <s v="SKU-040"/>
    <x v="4"/>
    <s v="Electronics"/>
    <n v="4"/>
    <x v="379"/>
    <x v="0"/>
    <x v="3"/>
    <x v="0"/>
    <n v="84.96"/>
    <x v="291"/>
    <n v="80.711999999999989"/>
    <s v="NO"/>
    <s v="NO"/>
    <n v="80.711999999999989"/>
    <s v="NO"/>
  </r>
  <r>
    <n v="100388"/>
    <d v="2024-01-17T03:00:00"/>
    <x v="0"/>
    <s v="SKU-040"/>
    <x v="1"/>
    <s v="Electronics"/>
    <n v="2"/>
    <x v="380"/>
    <x v="0"/>
    <x v="2"/>
    <x v="0"/>
    <n v="141.30000000000001"/>
    <x v="292"/>
    <n v="134.23500000000001"/>
    <s v="NO"/>
    <s v="NO"/>
    <n v="134.23500000000001"/>
    <s v="NO"/>
  </r>
  <r>
    <n v="100389"/>
    <d v="2024-01-17T04:00:00"/>
    <x v="0"/>
    <s v="SKU-039"/>
    <x v="4"/>
    <s v="Electronics"/>
    <n v="1"/>
    <x v="381"/>
    <x v="3"/>
    <x v="1"/>
    <x v="0"/>
    <n v="26.31"/>
    <x v="13"/>
    <n v="26.31"/>
    <s v="NO"/>
    <s v="NO"/>
    <n v="26.31"/>
    <s v="NO"/>
  </r>
  <r>
    <n v="100390"/>
    <d v="2024-01-17T05:00:00"/>
    <x v="0"/>
    <s v="SKU-006"/>
    <x v="1"/>
    <s v="Electronics"/>
    <n v="2"/>
    <x v="382"/>
    <x v="1"/>
    <x v="0"/>
    <x v="0"/>
    <n v="74.08"/>
    <x v="293"/>
    <n v="66.671999999999997"/>
    <s v="NO"/>
    <s v="NO"/>
    <n v="66.671999999999997"/>
    <s v="NO"/>
  </r>
  <r>
    <n v="100391"/>
    <d v="2024-01-17T06:00:00"/>
    <x v="0"/>
    <s v="SKU-006"/>
    <x v="3"/>
    <s v="Electronics"/>
    <n v="1"/>
    <x v="156"/>
    <x v="0"/>
    <x v="0"/>
    <x v="0"/>
    <n v="30.15"/>
    <x v="294"/>
    <n v="28.642499999999998"/>
    <s v="NO"/>
    <s v="NO"/>
    <n v="28.642499999999998"/>
    <s v="NO"/>
  </r>
  <r>
    <n v="100392"/>
    <d v="2024-01-17T07:00:00"/>
    <x v="0"/>
    <s v="SKU-003"/>
    <x v="2"/>
    <s v="Accessories"/>
    <n v="2"/>
    <x v="383"/>
    <x v="2"/>
    <x v="2"/>
    <x v="0"/>
    <n v="52.06"/>
    <x v="295"/>
    <n v="44.250999999999998"/>
    <s v="NO"/>
    <s v="NO"/>
    <n v="44.250999999999998"/>
    <s v="NO"/>
  </r>
  <r>
    <n v="100393"/>
    <d v="2024-01-17T08:00:00"/>
    <x v="1"/>
    <s v="SKU-007"/>
    <x v="1"/>
    <s v="Electronics"/>
    <n v="3"/>
    <x v="384"/>
    <x v="0"/>
    <x v="1"/>
    <x v="1"/>
    <n v="299.88"/>
    <x v="296"/>
    <n v="284.88600000000002"/>
    <s v="YES"/>
    <s v="NO"/>
    <n v="-284.88600000000002"/>
    <s v="NO"/>
  </r>
  <r>
    <n v="100394"/>
    <d v="2024-01-17T09:00:00"/>
    <x v="1"/>
    <s v="SKU-008"/>
    <x v="3"/>
    <s v="Accessories"/>
    <n v="5"/>
    <x v="385"/>
    <x v="1"/>
    <x v="0"/>
    <x v="1"/>
    <n v="189.3"/>
    <x v="297"/>
    <n v="170.37"/>
    <s v="YES"/>
    <s v="NO"/>
    <n v="-170.37"/>
    <s v="NO"/>
  </r>
  <r>
    <n v="100395"/>
    <d v="2024-01-17T10:00:00"/>
    <x v="0"/>
    <s v="SKU-042"/>
    <x v="1"/>
    <s v="Accessories"/>
    <n v="3"/>
    <x v="386"/>
    <x v="2"/>
    <x v="3"/>
    <x v="0"/>
    <n v="334.86"/>
    <x v="298"/>
    <n v="284.63099999999997"/>
    <s v="NO"/>
    <s v="NO"/>
    <n v="284.63099999999997"/>
    <s v="NO"/>
  </r>
  <r>
    <n v="100396"/>
    <d v="2024-01-17T11:00:00"/>
    <x v="1"/>
    <s v="SKU-015"/>
    <x v="1"/>
    <s v="Accessories"/>
    <n v="3"/>
    <x v="387"/>
    <x v="1"/>
    <x v="2"/>
    <x v="0"/>
    <n v="349.62"/>
    <x v="299"/>
    <n v="314.65800000000002"/>
    <s v="NO"/>
    <s v="NO"/>
    <n v="314.65800000000002"/>
    <s v="NO"/>
  </r>
  <r>
    <n v="100397"/>
    <d v="2024-01-17T12:00:00"/>
    <x v="1"/>
    <s v="SKU-047"/>
    <x v="2"/>
    <s v="Accessories"/>
    <n v="5"/>
    <x v="388"/>
    <x v="3"/>
    <x v="0"/>
    <x v="0"/>
    <n v="353.45"/>
    <x v="13"/>
    <n v="353.45"/>
    <s v="NO"/>
    <s v="NO"/>
    <n v="353.45"/>
    <s v="NO"/>
  </r>
  <r>
    <n v="100398"/>
    <d v="2024-01-17T13:00:00"/>
    <x v="1"/>
    <s v="SKU-029"/>
    <x v="0"/>
    <s v="Accessories"/>
    <n v="5"/>
    <x v="389"/>
    <x v="2"/>
    <x v="0"/>
    <x v="0"/>
    <n v="107.25"/>
    <x v="97"/>
    <n v="91.162499999999994"/>
    <s v="NO"/>
    <s v="NO"/>
    <n v="91.162499999999994"/>
    <s v="NO"/>
  </r>
  <r>
    <n v="100399"/>
    <d v="2024-01-17T14:00:00"/>
    <x v="1"/>
    <s v="SKU-033"/>
    <x v="0"/>
    <s v="Electronics"/>
    <n v="4"/>
    <x v="390"/>
    <x v="1"/>
    <x v="2"/>
    <x v="0"/>
    <n v="192.28"/>
    <x v="300"/>
    <n v="173.05199999999999"/>
    <s v="NO"/>
    <s v="NO"/>
    <n v="173.05199999999999"/>
    <s v="NO"/>
  </r>
  <r>
    <n v="100400"/>
    <d v="2024-01-17T15:00:00"/>
    <x v="0"/>
    <s v="SKU-030"/>
    <x v="1"/>
    <s v="Electronics"/>
    <n v="4"/>
    <x v="391"/>
    <x v="2"/>
    <x v="2"/>
    <x v="0"/>
    <n v="386.96"/>
    <x v="301"/>
    <n v="328.916"/>
    <s v="NO"/>
    <s v="NO"/>
    <n v="328.916"/>
    <s v="NO"/>
  </r>
  <r>
    <n v="100401"/>
    <d v="2024-01-17T16:00:00"/>
    <x v="1"/>
    <s v="SKU-039"/>
    <x v="4"/>
    <s v="Electronics"/>
    <n v="3"/>
    <x v="392"/>
    <x v="1"/>
    <x v="3"/>
    <x v="0"/>
    <n v="141.75"/>
    <x v="302"/>
    <n v="127.575"/>
    <s v="NO"/>
    <s v="NO"/>
    <n v="127.575"/>
    <s v="NO"/>
  </r>
  <r>
    <n v="100402"/>
    <d v="2024-01-17T17:00:00"/>
    <x v="1"/>
    <s v="SKU-027"/>
    <x v="3"/>
    <s v="Accessories"/>
    <n v="3"/>
    <x v="393"/>
    <x v="2"/>
    <x v="3"/>
    <x v="0"/>
    <n v="45.03"/>
    <x v="303"/>
    <n v="38.275500000000001"/>
    <s v="NO"/>
    <s v="NO"/>
    <n v="38.275500000000001"/>
    <s v="NO"/>
  </r>
  <r>
    <n v="100403"/>
    <d v="2024-01-17T18:00:00"/>
    <x v="0"/>
    <s v="SKU-036"/>
    <x v="4"/>
    <s v="Electronics"/>
    <n v="1"/>
    <x v="394"/>
    <x v="1"/>
    <x v="0"/>
    <x v="1"/>
    <n v="69.03"/>
    <x v="304"/>
    <n v="62.127000000000002"/>
    <s v="YES"/>
    <s v="NO"/>
    <n v="-62.127000000000002"/>
    <s v="NO"/>
  </r>
  <r>
    <n v="100404"/>
    <d v="2024-01-17T19:00:00"/>
    <x v="0"/>
    <s v="SKU-029"/>
    <x v="4"/>
    <s v="Electronics"/>
    <n v="1"/>
    <x v="395"/>
    <x v="3"/>
    <x v="0"/>
    <x v="0"/>
    <n v="102.19"/>
    <x v="13"/>
    <n v="102.19"/>
    <s v="NO"/>
    <s v="NO"/>
    <n v="102.19"/>
    <s v="NO"/>
  </r>
  <r>
    <n v="100405"/>
    <d v="2024-01-17T20:00:00"/>
    <x v="1"/>
    <s v="SKU-038"/>
    <x v="1"/>
    <s v="Accessories"/>
    <n v="4"/>
    <x v="396"/>
    <x v="2"/>
    <x v="2"/>
    <x v="0"/>
    <n v="386.12"/>
    <x v="305"/>
    <n v="328.202"/>
    <s v="NO"/>
    <s v="NO"/>
    <n v="328.202"/>
    <s v="NO"/>
  </r>
  <r>
    <n v="100406"/>
    <d v="2024-01-17T21:00:00"/>
    <x v="1"/>
    <s v="SKU-033"/>
    <x v="1"/>
    <s v="Accessories"/>
    <n v="4"/>
    <x v="397"/>
    <x v="2"/>
    <x v="0"/>
    <x v="0"/>
    <n v="100.56"/>
    <x v="306"/>
    <n v="85.475999999999999"/>
    <s v="NO"/>
    <s v="NO"/>
    <n v="85.475999999999999"/>
    <s v="NO"/>
  </r>
  <r>
    <n v="100407"/>
    <d v="2024-01-17T22:00:00"/>
    <x v="1"/>
    <s v="SKU-037"/>
    <x v="1"/>
    <s v="Accessories"/>
    <n v="1"/>
    <x v="398"/>
    <x v="2"/>
    <x v="0"/>
    <x v="0"/>
    <n v="82.37"/>
    <x v="307"/>
    <n v="70.014499999999998"/>
    <s v="NO"/>
    <s v="NO"/>
    <n v="70.014499999999998"/>
    <s v="NO"/>
  </r>
  <r>
    <n v="100408"/>
    <d v="2024-01-17T23:00:00"/>
    <x v="1"/>
    <s v="SKU-027"/>
    <x v="1"/>
    <s v="Accessories"/>
    <n v="1"/>
    <x v="399"/>
    <x v="2"/>
    <x v="2"/>
    <x v="1"/>
    <n v="30.36"/>
    <x v="308"/>
    <n v="25.806000000000001"/>
    <s v="YES"/>
    <s v="NO"/>
    <n v="-25.806000000000001"/>
    <s v="NO"/>
  </r>
  <r>
    <n v="100409"/>
    <d v="2024-01-18T00:00:00"/>
    <x v="1"/>
    <s v="SKU-033"/>
    <x v="0"/>
    <s v="Electronics"/>
    <n v="2"/>
    <x v="400"/>
    <x v="3"/>
    <x v="0"/>
    <x v="0"/>
    <n v="60.18"/>
    <x v="13"/>
    <n v="60.18"/>
    <s v="NO"/>
    <s v="NO"/>
    <n v="60.18"/>
    <s v="NO"/>
  </r>
  <r>
    <n v="100410"/>
    <d v="2024-01-18T01:00:00"/>
    <x v="1"/>
    <s v="SKU-004"/>
    <x v="1"/>
    <s v="Accessories"/>
    <n v="2"/>
    <x v="401"/>
    <x v="2"/>
    <x v="0"/>
    <x v="0"/>
    <n v="211.04"/>
    <x v="309"/>
    <n v="179.38399999999999"/>
    <s v="NO"/>
    <s v="NO"/>
    <n v="179.38399999999999"/>
    <s v="NO"/>
  </r>
  <r>
    <n v="100411"/>
    <d v="2024-01-18T02:00:00"/>
    <x v="0"/>
    <s v="SKU-022"/>
    <x v="0"/>
    <s v="Accessories"/>
    <n v="1"/>
    <x v="402"/>
    <x v="0"/>
    <x v="1"/>
    <x v="0"/>
    <n v="33.71"/>
    <x v="310"/>
    <n v="32.024500000000003"/>
    <s v="NO"/>
    <s v="NO"/>
    <n v="32.024500000000003"/>
    <s v="NO"/>
  </r>
  <r>
    <n v="100412"/>
    <d v="2024-01-18T03:00:00"/>
    <x v="1"/>
    <s v="SKU-002"/>
    <x v="0"/>
    <s v="Electronics"/>
    <n v="2"/>
    <x v="403"/>
    <x v="3"/>
    <x v="3"/>
    <x v="0"/>
    <n v="70.540000000000006"/>
    <x v="13"/>
    <n v="70.540000000000006"/>
    <s v="NO"/>
    <s v="NO"/>
    <n v="70.540000000000006"/>
    <s v="NO"/>
  </r>
  <r>
    <n v="100413"/>
    <d v="2024-01-18T04:00:00"/>
    <x v="1"/>
    <s v="SKU-010"/>
    <x v="1"/>
    <s v="Electronics"/>
    <n v="5"/>
    <x v="404"/>
    <x v="0"/>
    <x v="2"/>
    <x v="0"/>
    <n v="25.4"/>
    <x v="311"/>
    <n v="24.13"/>
    <s v="NO"/>
    <s v="NO"/>
    <n v="24.13"/>
    <s v="NO"/>
  </r>
  <r>
    <n v="100414"/>
    <d v="2024-01-18T05:00:00"/>
    <x v="0"/>
    <s v="SKU-005"/>
    <x v="2"/>
    <s v="Accessories"/>
    <n v="4"/>
    <x v="405"/>
    <x v="2"/>
    <x v="1"/>
    <x v="0"/>
    <n v="420.52"/>
    <x v="312"/>
    <n v="357.44200000000001"/>
    <s v="NO"/>
    <s v="NO"/>
    <n v="357.44200000000001"/>
    <s v="NO"/>
  </r>
  <r>
    <n v="100415"/>
    <d v="2024-01-18T06:00:00"/>
    <x v="0"/>
    <s v="SKU-010"/>
    <x v="3"/>
    <s v="Electronics"/>
    <n v="4"/>
    <x v="406"/>
    <x v="1"/>
    <x v="3"/>
    <x v="0"/>
    <n v="384.6"/>
    <x v="313"/>
    <n v="346.14"/>
    <s v="NO"/>
    <s v="NO"/>
    <n v="346.14"/>
    <s v="NO"/>
  </r>
  <r>
    <n v="100416"/>
    <d v="2024-01-18T07:00:00"/>
    <x v="0"/>
    <s v="SKU-033"/>
    <x v="4"/>
    <s v="Accessories"/>
    <n v="1"/>
    <x v="407"/>
    <x v="0"/>
    <x v="3"/>
    <x v="0"/>
    <n v="77.14"/>
    <x v="314"/>
    <n v="73.283000000000001"/>
    <s v="NO"/>
    <s v="NO"/>
    <n v="73.283000000000001"/>
    <s v="NO"/>
  </r>
  <r>
    <n v="100417"/>
    <d v="2024-01-18T08:00:00"/>
    <x v="0"/>
    <s v="SKU-038"/>
    <x v="0"/>
    <s v="Accessories"/>
    <n v="3"/>
    <x v="408"/>
    <x v="2"/>
    <x v="3"/>
    <x v="0"/>
    <n v="273.83999999999997"/>
    <x v="315"/>
    <n v="232.76400000000001"/>
    <s v="NO"/>
    <s v="NO"/>
    <n v="232.76400000000001"/>
    <s v="NO"/>
  </r>
  <r>
    <n v="100418"/>
    <d v="2024-01-18T09:00:00"/>
    <x v="1"/>
    <s v="SKU-013"/>
    <x v="3"/>
    <s v="Electronics"/>
    <n v="1"/>
    <x v="409"/>
    <x v="0"/>
    <x v="1"/>
    <x v="0"/>
    <n v="22.49"/>
    <x v="316"/>
    <n v="21.365500000000001"/>
    <s v="NO"/>
    <s v="NO"/>
    <n v="21.365500000000001"/>
    <s v="NO"/>
  </r>
  <r>
    <n v="100419"/>
    <d v="2024-01-18T10:00:00"/>
    <x v="1"/>
    <s v="SKU-031"/>
    <x v="2"/>
    <s v="Electronics"/>
    <n v="2"/>
    <x v="410"/>
    <x v="2"/>
    <x v="1"/>
    <x v="0"/>
    <n v="115.42"/>
    <x v="317"/>
    <n v="98.106999999999999"/>
    <s v="NO"/>
    <s v="NO"/>
    <n v="98.106999999999999"/>
    <s v="NO"/>
  </r>
  <r>
    <n v="100420"/>
    <d v="2024-01-18T11:00:00"/>
    <x v="1"/>
    <s v="SKU-047"/>
    <x v="4"/>
    <s v="Accessories"/>
    <n v="3"/>
    <x v="411"/>
    <x v="2"/>
    <x v="3"/>
    <x v="0"/>
    <n v="136.16999999999999"/>
    <x v="318"/>
    <n v="115.7445"/>
    <s v="NO"/>
    <s v="NO"/>
    <n v="115.7445"/>
    <s v="NO"/>
  </r>
  <r>
    <n v="100421"/>
    <d v="2024-01-18T12:00:00"/>
    <x v="1"/>
    <s v="SKU-036"/>
    <x v="4"/>
    <s v="Accessories"/>
    <n v="2"/>
    <x v="412"/>
    <x v="2"/>
    <x v="0"/>
    <x v="0"/>
    <n v="31.56"/>
    <x v="319"/>
    <n v="26.826000000000001"/>
    <s v="NO"/>
    <s v="NO"/>
    <n v="26.826000000000001"/>
    <s v="NO"/>
  </r>
  <r>
    <n v="100422"/>
    <d v="2024-01-18T13:00:00"/>
    <x v="1"/>
    <s v="SKU-045"/>
    <x v="0"/>
    <s v="Accessories"/>
    <n v="5"/>
    <x v="413"/>
    <x v="1"/>
    <x v="0"/>
    <x v="0"/>
    <n v="304.55"/>
    <x v="320"/>
    <n v="274.09500000000003"/>
    <s v="NO"/>
    <s v="NO"/>
    <n v="274.09500000000003"/>
    <s v="NO"/>
  </r>
  <r>
    <n v="100423"/>
    <d v="2024-01-18T14:00:00"/>
    <x v="1"/>
    <s v="SKU-024"/>
    <x v="1"/>
    <s v="Electronics"/>
    <n v="2"/>
    <x v="414"/>
    <x v="0"/>
    <x v="1"/>
    <x v="0"/>
    <n v="221.78"/>
    <x v="321"/>
    <n v="210.691"/>
    <s v="NO"/>
    <s v="NO"/>
    <n v="210.691"/>
    <s v="NO"/>
  </r>
  <r>
    <n v="100424"/>
    <d v="2024-01-18T15:00:00"/>
    <x v="0"/>
    <s v="SKU-015"/>
    <x v="2"/>
    <s v="Accessories"/>
    <n v="5"/>
    <x v="415"/>
    <x v="3"/>
    <x v="1"/>
    <x v="0"/>
    <n v="48.05"/>
    <x v="13"/>
    <n v="48.05"/>
    <s v="NO"/>
    <s v="NO"/>
    <n v="48.05"/>
    <s v="NO"/>
  </r>
  <r>
    <n v="100425"/>
    <d v="2024-01-18T16:00:00"/>
    <x v="1"/>
    <s v="SKU-029"/>
    <x v="0"/>
    <s v="Accessories"/>
    <n v="5"/>
    <x v="416"/>
    <x v="3"/>
    <x v="1"/>
    <x v="0"/>
    <n v="192.6"/>
    <x v="13"/>
    <n v="192.6"/>
    <s v="NO"/>
    <s v="NO"/>
    <n v="192.6"/>
    <s v="NO"/>
  </r>
  <r>
    <n v="100426"/>
    <d v="2024-01-18T17:00:00"/>
    <x v="0"/>
    <s v="SKU-008"/>
    <x v="2"/>
    <s v="Accessories"/>
    <n v="2"/>
    <x v="417"/>
    <x v="3"/>
    <x v="3"/>
    <x v="0"/>
    <n v="57.74"/>
    <x v="13"/>
    <n v="57.74"/>
    <s v="NO"/>
    <s v="NO"/>
    <n v="57.74"/>
    <s v="NO"/>
  </r>
  <r>
    <n v="100427"/>
    <d v="2024-01-18T18:00:00"/>
    <x v="0"/>
    <s v="SKU-005"/>
    <x v="1"/>
    <s v="Accessories"/>
    <n v="2"/>
    <x v="418"/>
    <x v="3"/>
    <x v="0"/>
    <x v="0"/>
    <n v="64.78"/>
    <x v="13"/>
    <n v="64.78"/>
    <s v="NO"/>
    <s v="NO"/>
    <n v="64.78"/>
    <s v="NO"/>
  </r>
  <r>
    <n v="100428"/>
    <d v="2024-01-18T19:00:00"/>
    <x v="1"/>
    <s v="SKU-029"/>
    <x v="1"/>
    <s v="Accessories"/>
    <n v="5"/>
    <x v="419"/>
    <x v="2"/>
    <x v="1"/>
    <x v="0"/>
    <n v="547.35"/>
    <x v="322"/>
    <n v="465.2475"/>
    <s v="NO"/>
    <s v="NO"/>
    <n v="465.2475"/>
    <s v="YES"/>
  </r>
  <r>
    <n v="100429"/>
    <d v="2024-01-18T20:00:00"/>
    <x v="0"/>
    <s v="SKU-047"/>
    <x v="0"/>
    <s v="Electronics"/>
    <n v="3"/>
    <x v="420"/>
    <x v="0"/>
    <x v="1"/>
    <x v="0"/>
    <n v="176.49"/>
    <x v="323"/>
    <n v="167.66550000000001"/>
    <s v="NO"/>
    <s v="NO"/>
    <n v="167.66550000000001"/>
    <s v="NO"/>
  </r>
  <r>
    <n v="100430"/>
    <d v="2024-01-18T21:00:00"/>
    <x v="1"/>
    <s v="SKU-004"/>
    <x v="1"/>
    <s v="Accessories"/>
    <n v="5"/>
    <x v="421"/>
    <x v="0"/>
    <x v="2"/>
    <x v="0"/>
    <n v="293.10000000000002"/>
    <x v="324"/>
    <n v="278.44499999999999"/>
    <s v="NO"/>
    <s v="NO"/>
    <n v="278.44499999999999"/>
    <s v="NO"/>
  </r>
  <r>
    <n v="100431"/>
    <d v="2024-01-18T22:00:00"/>
    <x v="0"/>
    <s v="SKU-012"/>
    <x v="3"/>
    <s v="Accessories"/>
    <n v="4"/>
    <x v="422"/>
    <x v="1"/>
    <x v="3"/>
    <x v="0"/>
    <n v="369.88"/>
    <x v="325"/>
    <n v="332.892"/>
    <s v="NO"/>
    <s v="NO"/>
    <n v="332.892"/>
    <s v="NO"/>
  </r>
  <r>
    <n v="100432"/>
    <d v="2024-01-18T23:00:00"/>
    <x v="1"/>
    <s v="SKU-045"/>
    <x v="4"/>
    <s v="Accessories"/>
    <n v="5"/>
    <x v="423"/>
    <x v="0"/>
    <x v="2"/>
    <x v="0"/>
    <n v="113.85"/>
    <x v="326"/>
    <n v="108.1575"/>
    <s v="NO"/>
    <s v="NO"/>
    <n v="108.1575"/>
    <s v="NO"/>
  </r>
  <r>
    <n v="100433"/>
    <d v="2024-01-19T00:00:00"/>
    <x v="0"/>
    <s v="SKU-002"/>
    <x v="0"/>
    <s v="Accessories"/>
    <n v="3"/>
    <x v="424"/>
    <x v="0"/>
    <x v="0"/>
    <x v="0"/>
    <n v="183.12"/>
    <x v="327"/>
    <n v="173.964"/>
    <s v="NO"/>
    <s v="NO"/>
    <n v="173.964"/>
    <s v="NO"/>
  </r>
  <r>
    <n v="100434"/>
    <d v="2024-01-19T01:00:00"/>
    <x v="1"/>
    <s v="SKU-027"/>
    <x v="2"/>
    <s v="Electronics"/>
    <n v="4"/>
    <x v="425"/>
    <x v="0"/>
    <x v="2"/>
    <x v="0"/>
    <n v="217.8"/>
    <x v="328"/>
    <n v="206.91"/>
    <s v="NO"/>
    <s v="NO"/>
    <n v="206.91"/>
    <s v="NO"/>
  </r>
  <r>
    <n v="100435"/>
    <d v="2024-01-19T02:00:00"/>
    <x v="1"/>
    <s v="SKU-031"/>
    <x v="3"/>
    <s v="Electronics"/>
    <n v="1"/>
    <x v="221"/>
    <x v="1"/>
    <x v="2"/>
    <x v="0"/>
    <n v="73.64"/>
    <x v="329"/>
    <n v="66.275999999999996"/>
    <s v="NO"/>
    <s v="NO"/>
    <n v="66.275999999999996"/>
    <s v="NO"/>
  </r>
  <r>
    <n v="100436"/>
    <d v="2024-01-19T03:00:00"/>
    <x v="1"/>
    <s v="SKU-036"/>
    <x v="0"/>
    <s v="Electronics"/>
    <n v="1"/>
    <x v="426"/>
    <x v="3"/>
    <x v="2"/>
    <x v="0"/>
    <n v="119.95"/>
    <x v="13"/>
    <n v="119.95"/>
    <s v="NO"/>
    <s v="NO"/>
    <n v="119.95"/>
    <s v="NO"/>
  </r>
  <r>
    <n v="100437"/>
    <d v="2024-01-19T04:00:00"/>
    <x v="1"/>
    <s v="SKU-036"/>
    <x v="1"/>
    <s v="Accessories"/>
    <n v="3"/>
    <x v="427"/>
    <x v="0"/>
    <x v="3"/>
    <x v="0"/>
    <n v="280.47000000000003"/>
    <x v="330"/>
    <n v="266.44650000000001"/>
    <s v="NO"/>
    <s v="NO"/>
    <n v="266.44650000000001"/>
    <s v="NO"/>
  </r>
  <r>
    <n v="100438"/>
    <d v="2024-01-19T05:00:00"/>
    <x v="1"/>
    <s v="SKU-026"/>
    <x v="1"/>
    <s v="Accessories"/>
    <n v="5"/>
    <x v="428"/>
    <x v="1"/>
    <x v="0"/>
    <x v="0"/>
    <n v="253.75"/>
    <x v="331"/>
    <n v="228.375"/>
    <s v="NO"/>
    <s v="NO"/>
    <n v="228.375"/>
    <s v="NO"/>
  </r>
  <r>
    <n v="100439"/>
    <d v="2024-01-19T06:00:00"/>
    <x v="0"/>
    <s v="SKU-043"/>
    <x v="1"/>
    <s v="Electronics"/>
    <n v="2"/>
    <x v="429"/>
    <x v="1"/>
    <x v="2"/>
    <x v="0"/>
    <n v="200.34"/>
    <x v="332"/>
    <n v="180.30600000000001"/>
    <s v="NO"/>
    <s v="NO"/>
    <n v="180.30600000000001"/>
    <s v="NO"/>
  </r>
  <r>
    <n v="100440"/>
    <d v="2024-01-19T07:00:00"/>
    <x v="0"/>
    <s v="SKU-027"/>
    <x v="1"/>
    <s v="Electronics"/>
    <n v="3"/>
    <x v="430"/>
    <x v="2"/>
    <x v="3"/>
    <x v="0"/>
    <n v="73.89"/>
    <x v="333"/>
    <n v="62.8065"/>
    <s v="NO"/>
    <s v="NO"/>
    <n v="62.8065"/>
    <s v="NO"/>
  </r>
  <r>
    <n v="100441"/>
    <d v="2024-01-19T08:00:00"/>
    <x v="0"/>
    <s v="SKU-005"/>
    <x v="2"/>
    <s v="Electronics"/>
    <n v="4"/>
    <x v="431"/>
    <x v="1"/>
    <x v="0"/>
    <x v="0"/>
    <n v="34"/>
    <x v="334"/>
    <n v="30.6"/>
    <s v="NO"/>
    <s v="NO"/>
    <n v="30.6"/>
    <s v="NO"/>
  </r>
  <r>
    <n v="100442"/>
    <d v="2024-01-19T09:00:00"/>
    <x v="1"/>
    <s v="SKU-020"/>
    <x v="3"/>
    <s v="Accessories"/>
    <n v="4"/>
    <x v="432"/>
    <x v="3"/>
    <x v="1"/>
    <x v="0"/>
    <n v="114.04"/>
    <x v="13"/>
    <n v="114.04"/>
    <s v="NO"/>
    <s v="NO"/>
    <n v="114.04"/>
    <s v="NO"/>
  </r>
  <r>
    <n v="100443"/>
    <d v="2024-01-19T10:00:00"/>
    <x v="0"/>
    <s v="SKU-011"/>
    <x v="4"/>
    <s v="Accessories"/>
    <n v="1"/>
    <x v="433"/>
    <x v="0"/>
    <x v="2"/>
    <x v="0"/>
    <n v="44.15"/>
    <x v="335"/>
    <n v="41.942500000000003"/>
    <s v="NO"/>
    <s v="NO"/>
    <n v="41.942500000000003"/>
    <s v="NO"/>
  </r>
  <r>
    <n v="100444"/>
    <d v="2024-01-19T11:00:00"/>
    <x v="1"/>
    <s v="SKU-010"/>
    <x v="2"/>
    <s v="Electronics"/>
    <n v="4"/>
    <x v="434"/>
    <x v="1"/>
    <x v="0"/>
    <x v="1"/>
    <n v="254.88"/>
    <x v="336"/>
    <n v="229.392"/>
    <s v="YES"/>
    <s v="NO"/>
    <n v="-229.392"/>
    <s v="NO"/>
  </r>
  <r>
    <n v="100445"/>
    <d v="2024-01-19T12:00:00"/>
    <x v="1"/>
    <s v="SKU-040"/>
    <x v="2"/>
    <s v="Electronics"/>
    <n v="3"/>
    <x v="435"/>
    <x v="3"/>
    <x v="2"/>
    <x v="2"/>
    <n v="227.22"/>
    <x v="13"/>
    <n v="227.22"/>
    <s v="YES"/>
    <s v="NO"/>
    <n v="0"/>
    <s v="NO"/>
  </r>
  <r>
    <n v="100446"/>
    <d v="2024-01-19T13:00:00"/>
    <x v="0"/>
    <s v="SKU-038"/>
    <x v="4"/>
    <s v="Electronics"/>
    <n v="4"/>
    <x v="436"/>
    <x v="1"/>
    <x v="1"/>
    <x v="0"/>
    <n v="438.88"/>
    <x v="337"/>
    <n v="394.99200000000002"/>
    <s v="NO"/>
    <s v="NO"/>
    <n v="394.99200000000002"/>
    <s v="NO"/>
  </r>
  <r>
    <n v="100447"/>
    <d v="2024-01-19T14:00:00"/>
    <x v="0"/>
    <s v="SKU-006"/>
    <x v="4"/>
    <s v="Accessories"/>
    <n v="3"/>
    <x v="437"/>
    <x v="1"/>
    <x v="0"/>
    <x v="0"/>
    <n v="190.89"/>
    <x v="338"/>
    <n v="171.80099999999999"/>
    <s v="NO"/>
    <s v="NO"/>
    <n v="171.80099999999999"/>
    <s v="NO"/>
  </r>
  <r>
    <n v="100448"/>
    <d v="2024-01-19T15:00:00"/>
    <x v="1"/>
    <s v="SKU-008"/>
    <x v="1"/>
    <s v="Accessories"/>
    <n v="2"/>
    <x v="438"/>
    <x v="1"/>
    <x v="3"/>
    <x v="0"/>
    <n v="125.3"/>
    <x v="339"/>
    <n v="112.77"/>
    <s v="NO"/>
    <s v="NO"/>
    <n v="112.77"/>
    <s v="NO"/>
  </r>
  <r>
    <n v="100449"/>
    <d v="2024-01-19T16:00:00"/>
    <x v="0"/>
    <s v="SKU-023"/>
    <x v="2"/>
    <s v="Accessories"/>
    <n v="1"/>
    <x v="439"/>
    <x v="1"/>
    <x v="0"/>
    <x v="0"/>
    <n v="10.78"/>
    <x v="340"/>
    <n v="9.702"/>
    <s v="NO"/>
    <s v="NO"/>
    <n v="9.702"/>
    <s v="NO"/>
  </r>
  <r>
    <n v="100450"/>
    <d v="2024-01-19T17:00:00"/>
    <x v="1"/>
    <s v="SKU-047"/>
    <x v="0"/>
    <s v="Electronics"/>
    <n v="4"/>
    <x v="440"/>
    <x v="1"/>
    <x v="3"/>
    <x v="0"/>
    <n v="36.04"/>
    <x v="341"/>
    <n v="32.436"/>
    <s v="NO"/>
    <s v="NO"/>
    <n v="32.436"/>
    <s v="NO"/>
  </r>
  <r>
    <n v="100451"/>
    <d v="2024-01-19T18:00:00"/>
    <x v="1"/>
    <s v="SKU-026"/>
    <x v="4"/>
    <s v="Electronics"/>
    <n v="3"/>
    <x v="441"/>
    <x v="3"/>
    <x v="0"/>
    <x v="0"/>
    <n v="205.14"/>
    <x v="13"/>
    <n v="205.14"/>
    <s v="NO"/>
    <s v="NO"/>
    <n v="205.14"/>
    <s v="NO"/>
  </r>
  <r>
    <n v="100452"/>
    <d v="2024-01-19T19:00:00"/>
    <x v="1"/>
    <s v="SKU-046"/>
    <x v="4"/>
    <s v="Accessories"/>
    <n v="5"/>
    <x v="442"/>
    <x v="0"/>
    <x v="3"/>
    <x v="0"/>
    <n v="276.95"/>
    <x v="342"/>
    <n v="263.10250000000002"/>
    <s v="NO"/>
    <s v="NO"/>
    <n v="263.10250000000002"/>
    <s v="NO"/>
  </r>
  <r>
    <n v="100453"/>
    <d v="2024-01-19T20:00:00"/>
    <x v="1"/>
    <s v="SKU-043"/>
    <x v="3"/>
    <s v="Electronics"/>
    <n v="1"/>
    <x v="443"/>
    <x v="0"/>
    <x v="1"/>
    <x v="0"/>
    <n v="101.51"/>
    <x v="343"/>
    <n v="96.4345"/>
    <s v="NO"/>
    <s v="NO"/>
    <n v="96.4345"/>
    <s v="NO"/>
  </r>
  <r>
    <n v="100454"/>
    <d v="2024-01-19T21:00:00"/>
    <x v="1"/>
    <s v="SKU-012"/>
    <x v="0"/>
    <s v="Accessories"/>
    <n v="2"/>
    <x v="444"/>
    <x v="0"/>
    <x v="1"/>
    <x v="0"/>
    <n v="46.96"/>
    <x v="344"/>
    <n v="44.612000000000002"/>
    <s v="NO"/>
    <s v="NO"/>
    <n v="44.612000000000002"/>
    <s v="NO"/>
  </r>
  <r>
    <n v="100455"/>
    <d v="2024-01-19T22:00:00"/>
    <x v="0"/>
    <s v="SKU-026"/>
    <x v="0"/>
    <s v="Electronics"/>
    <n v="3"/>
    <x v="445"/>
    <x v="0"/>
    <x v="1"/>
    <x v="0"/>
    <n v="23.61"/>
    <x v="345"/>
    <n v="22.429500000000001"/>
    <s v="NO"/>
    <s v="NO"/>
    <n v="22.429500000000001"/>
    <s v="NO"/>
  </r>
  <r>
    <n v="100456"/>
    <d v="2024-01-19T23:00:00"/>
    <x v="0"/>
    <s v="SKU-013"/>
    <x v="4"/>
    <s v="Electronics"/>
    <n v="2"/>
    <x v="446"/>
    <x v="3"/>
    <x v="0"/>
    <x v="0"/>
    <n v="113.28"/>
    <x v="13"/>
    <n v="113.28"/>
    <s v="NO"/>
    <s v="NO"/>
    <n v="113.28"/>
    <s v="NO"/>
  </r>
  <r>
    <n v="100457"/>
    <d v="2024-01-20T00:00:00"/>
    <x v="1"/>
    <s v="SKU-040"/>
    <x v="1"/>
    <s v="Electronics"/>
    <n v="2"/>
    <x v="447"/>
    <x v="2"/>
    <x v="1"/>
    <x v="1"/>
    <n v="64.62"/>
    <x v="346"/>
    <n v="54.927000000000007"/>
    <s v="YES"/>
    <s v="NO"/>
    <n v="-54.927000000000007"/>
    <s v="NO"/>
  </r>
  <r>
    <n v="100458"/>
    <d v="2024-01-20T01:00:00"/>
    <x v="1"/>
    <s v="SKU-018"/>
    <x v="3"/>
    <s v="Electronics"/>
    <n v="4"/>
    <x v="448"/>
    <x v="2"/>
    <x v="2"/>
    <x v="0"/>
    <n v="42.84"/>
    <x v="347"/>
    <n v="36.414000000000001"/>
    <s v="NO"/>
    <s v="NO"/>
    <n v="36.414000000000001"/>
    <s v="NO"/>
  </r>
  <r>
    <n v="100459"/>
    <d v="2024-01-20T02:00:00"/>
    <x v="0"/>
    <s v="SKU-025"/>
    <x v="0"/>
    <s v="Accessories"/>
    <n v="4"/>
    <x v="449"/>
    <x v="3"/>
    <x v="1"/>
    <x v="0"/>
    <n v="353.32"/>
    <x v="13"/>
    <n v="353.32"/>
    <s v="NO"/>
    <s v="NO"/>
    <n v="353.32"/>
    <s v="NO"/>
  </r>
  <r>
    <n v="100460"/>
    <d v="2024-01-20T03:00:00"/>
    <x v="0"/>
    <s v="SKU-033"/>
    <x v="4"/>
    <s v="Electronics"/>
    <n v="3"/>
    <x v="450"/>
    <x v="3"/>
    <x v="3"/>
    <x v="0"/>
    <n v="53.489999999999988"/>
    <x v="13"/>
    <n v="53.489999999999988"/>
    <s v="NO"/>
    <s v="NO"/>
    <n v="53.489999999999988"/>
    <s v="NO"/>
  </r>
  <r>
    <n v="100461"/>
    <d v="2024-01-20T04:00:00"/>
    <x v="1"/>
    <s v="SKU-047"/>
    <x v="0"/>
    <s v="Accessories"/>
    <n v="5"/>
    <x v="451"/>
    <x v="1"/>
    <x v="3"/>
    <x v="2"/>
    <n v="374.8"/>
    <x v="348"/>
    <n v="337.31999999999988"/>
    <s v="YES"/>
    <s v="NO"/>
    <n v="0"/>
    <s v="NO"/>
  </r>
  <r>
    <n v="100462"/>
    <d v="2024-01-20T05:00:00"/>
    <x v="0"/>
    <s v="SKU-040"/>
    <x v="3"/>
    <s v="Accessories"/>
    <n v="3"/>
    <x v="452"/>
    <x v="1"/>
    <x v="3"/>
    <x v="0"/>
    <n v="111.96"/>
    <x v="349"/>
    <n v="100.764"/>
    <s v="NO"/>
    <s v="NO"/>
    <n v="100.764"/>
    <s v="NO"/>
  </r>
  <r>
    <n v="100463"/>
    <d v="2024-01-20T06:00:00"/>
    <x v="1"/>
    <s v="SKU-043"/>
    <x v="3"/>
    <s v="Accessories"/>
    <n v="5"/>
    <x v="453"/>
    <x v="1"/>
    <x v="0"/>
    <x v="0"/>
    <n v="124.75"/>
    <x v="350"/>
    <n v="112.27500000000001"/>
    <s v="NO"/>
    <s v="NO"/>
    <n v="112.27500000000001"/>
    <s v="NO"/>
  </r>
  <r>
    <n v="100464"/>
    <d v="2024-01-20T07:00:00"/>
    <x v="0"/>
    <s v="SKU-012"/>
    <x v="2"/>
    <s v="Electronics"/>
    <n v="2"/>
    <x v="454"/>
    <x v="0"/>
    <x v="2"/>
    <x v="0"/>
    <n v="97.34"/>
    <x v="351"/>
    <n v="92.472999999999999"/>
    <s v="NO"/>
    <s v="NO"/>
    <n v="92.472999999999999"/>
    <s v="NO"/>
  </r>
  <r>
    <n v="100465"/>
    <d v="2024-01-20T08:00:00"/>
    <x v="1"/>
    <s v="SKU-044"/>
    <x v="4"/>
    <s v="Accessories"/>
    <n v="1"/>
    <x v="455"/>
    <x v="1"/>
    <x v="1"/>
    <x v="0"/>
    <n v="97.17"/>
    <x v="352"/>
    <n v="87.453000000000003"/>
    <s v="NO"/>
    <s v="NO"/>
    <n v="87.453000000000003"/>
    <s v="NO"/>
  </r>
  <r>
    <n v="100466"/>
    <d v="2024-01-20T09:00:00"/>
    <x v="0"/>
    <s v="SKU-036"/>
    <x v="3"/>
    <s v="Accessories"/>
    <n v="3"/>
    <x v="456"/>
    <x v="2"/>
    <x v="2"/>
    <x v="0"/>
    <n v="150.27000000000001"/>
    <x v="353"/>
    <n v="127.7295"/>
    <s v="NO"/>
    <s v="NO"/>
    <n v="127.7295"/>
    <s v="NO"/>
  </r>
  <r>
    <n v="100467"/>
    <d v="2024-01-20T10:00:00"/>
    <x v="1"/>
    <s v="SKU-048"/>
    <x v="2"/>
    <s v="Accessories"/>
    <n v="3"/>
    <x v="457"/>
    <x v="0"/>
    <x v="2"/>
    <x v="0"/>
    <n v="274.02"/>
    <x v="354"/>
    <n v="260.31900000000002"/>
    <s v="NO"/>
    <s v="NO"/>
    <n v="260.31900000000002"/>
    <s v="NO"/>
  </r>
  <r>
    <n v="100468"/>
    <d v="2024-01-20T11:00:00"/>
    <x v="0"/>
    <s v="SKU-004"/>
    <x v="2"/>
    <s v="Electronics"/>
    <n v="5"/>
    <x v="458"/>
    <x v="1"/>
    <x v="3"/>
    <x v="0"/>
    <n v="97.15"/>
    <x v="355"/>
    <n v="87.435000000000002"/>
    <s v="NO"/>
    <s v="NO"/>
    <n v="87.435000000000002"/>
    <s v="NO"/>
  </r>
  <r>
    <n v="100469"/>
    <d v="2024-01-20T12:00:00"/>
    <x v="0"/>
    <s v="SKU-005"/>
    <x v="0"/>
    <s v="Electronics"/>
    <n v="2"/>
    <x v="105"/>
    <x v="0"/>
    <x v="3"/>
    <x v="1"/>
    <n v="187.74"/>
    <x v="356"/>
    <n v="178.35300000000001"/>
    <s v="YES"/>
    <s v="NO"/>
    <n v="-178.35300000000001"/>
    <s v="NO"/>
  </r>
  <r>
    <n v="100470"/>
    <d v="2024-01-20T13:00:00"/>
    <x v="1"/>
    <s v="SKU-037"/>
    <x v="0"/>
    <s v="Accessories"/>
    <n v="2"/>
    <x v="459"/>
    <x v="2"/>
    <x v="3"/>
    <x v="0"/>
    <n v="64.5"/>
    <x v="357"/>
    <n v="54.825000000000003"/>
    <s v="NO"/>
    <s v="NO"/>
    <n v="54.825000000000003"/>
    <s v="NO"/>
  </r>
  <r>
    <n v="100471"/>
    <d v="2024-01-20T14:00:00"/>
    <x v="0"/>
    <s v="SKU-008"/>
    <x v="2"/>
    <s v="Electronics"/>
    <n v="5"/>
    <x v="460"/>
    <x v="1"/>
    <x v="0"/>
    <x v="0"/>
    <n v="414.5"/>
    <x v="358"/>
    <n v="373.05"/>
    <s v="NO"/>
    <s v="NO"/>
    <n v="373.05"/>
    <s v="NO"/>
  </r>
  <r>
    <n v="100472"/>
    <d v="2024-01-20T15:00:00"/>
    <x v="1"/>
    <s v="SKU-042"/>
    <x v="0"/>
    <s v="Accessories"/>
    <n v="2"/>
    <x v="461"/>
    <x v="2"/>
    <x v="2"/>
    <x v="0"/>
    <n v="140.12"/>
    <x v="359"/>
    <n v="119.102"/>
    <s v="NO"/>
    <s v="NO"/>
    <n v="119.102"/>
    <s v="NO"/>
  </r>
  <r>
    <n v="100473"/>
    <d v="2024-01-20T16:00:00"/>
    <x v="0"/>
    <s v="SKU-049"/>
    <x v="3"/>
    <s v="Accessories"/>
    <n v="4"/>
    <x v="223"/>
    <x v="2"/>
    <x v="2"/>
    <x v="0"/>
    <n v="447.4"/>
    <x v="360"/>
    <n v="380.29"/>
    <s v="NO"/>
    <s v="NO"/>
    <n v="380.29"/>
    <s v="NO"/>
  </r>
  <r>
    <n v="100474"/>
    <d v="2024-01-20T17:00:00"/>
    <x v="1"/>
    <s v="SKU-028"/>
    <x v="1"/>
    <s v="Electronics"/>
    <n v="1"/>
    <x v="462"/>
    <x v="2"/>
    <x v="0"/>
    <x v="1"/>
    <n v="49.54"/>
    <x v="361"/>
    <n v="42.109000000000002"/>
    <s v="YES"/>
    <s v="NO"/>
    <n v="-42.109000000000002"/>
    <s v="NO"/>
  </r>
  <r>
    <n v="100475"/>
    <d v="2024-01-20T18:00:00"/>
    <x v="0"/>
    <s v="SKU-031"/>
    <x v="3"/>
    <s v="Accessories"/>
    <n v="3"/>
    <x v="463"/>
    <x v="1"/>
    <x v="0"/>
    <x v="0"/>
    <n v="37.83"/>
    <x v="362"/>
    <n v="34.046999999999997"/>
    <s v="NO"/>
    <s v="NO"/>
    <n v="34.046999999999997"/>
    <s v="NO"/>
  </r>
  <r>
    <n v="100476"/>
    <d v="2024-01-20T19:00:00"/>
    <x v="1"/>
    <s v="SKU-009"/>
    <x v="2"/>
    <s v="Electronics"/>
    <n v="1"/>
    <x v="9"/>
    <x v="3"/>
    <x v="0"/>
    <x v="0"/>
    <n v="7.2"/>
    <x v="13"/>
    <n v="7.2"/>
    <s v="NO"/>
    <s v="NO"/>
    <n v="7.2"/>
    <s v="NO"/>
  </r>
  <r>
    <n v="100477"/>
    <d v="2024-01-20T20:00:00"/>
    <x v="0"/>
    <s v="SKU-029"/>
    <x v="2"/>
    <s v="Electronics"/>
    <n v="3"/>
    <x v="464"/>
    <x v="1"/>
    <x v="2"/>
    <x v="0"/>
    <n v="300.27"/>
    <x v="363"/>
    <n v="270.24299999999999"/>
    <s v="NO"/>
    <s v="NO"/>
    <n v="270.24299999999999"/>
    <s v="NO"/>
  </r>
  <r>
    <n v="100478"/>
    <d v="2024-01-20T21:00:00"/>
    <x v="1"/>
    <s v="SKU-014"/>
    <x v="3"/>
    <s v="Accessories"/>
    <n v="4"/>
    <x v="465"/>
    <x v="2"/>
    <x v="2"/>
    <x v="0"/>
    <n v="261.36"/>
    <x v="364"/>
    <n v="222.15600000000001"/>
    <s v="NO"/>
    <s v="NO"/>
    <n v="222.15600000000001"/>
    <s v="NO"/>
  </r>
  <r>
    <n v="100479"/>
    <d v="2024-01-20T22:00:00"/>
    <x v="0"/>
    <s v="SKU-040"/>
    <x v="0"/>
    <s v="Electronics"/>
    <n v="2"/>
    <x v="466"/>
    <x v="1"/>
    <x v="3"/>
    <x v="0"/>
    <n v="188.3"/>
    <x v="365"/>
    <n v="169.47"/>
    <s v="NO"/>
    <s v="NO"/>
    <n v="169.47"/>
    <s v="NO"/>
  </r>
  <r>
    <n v="100480"/>
    <d v="2024-01-20T23:00:00"/>
    <x v="1"/>
    <s v="SKU-041"/>
    <x v="0"/>
    <s v="Electronics"/>
    <n v="5"/>
    <x v="467"/>
    <x v="2"/>
    <x v="3"/>
    <x v="0"/>
    <n v="159.80000000000001"/>
    <x v="366"/>
    <n v="135.83000000000001"/>
    <s v="NO"/>
    <s v="NO"/>
    <n v="135.83000000000001"/>
    <s v="NO"/>
  </r>
  <r>
    <n v="100481"/>
    <d v="2024-01-21T00:00:00"/>
    <x v="1"/>
    <s v="SKU-022"/>
    <x v="2"/>
    <s v="Accessories"/>
    <n v="4"/>
    <x v="468"/>
    <x v="3"/>
    <x v="2"/>
    <x v="0"/>
    <n v="178.72"/>
    <x v="13"/>
    <n v="178.72"/>
    <s v="NO"/>
    <s v="NO"/>
    <n v="178.72"/>
    <s v="NO"/>
  </r>
  <r>
    <n v="100482"/>
    <d v="2024-01-21T01:00:00"/>
    <x v="1"/>
    <s v="SKU-011"/>
    <x v="4"/>
    <s v="Accessories"/>
    <n v="1"/>
    <x v="469"/>
    <x v="0"/>
    <x v="3"/>
    <x v="0"/>
    <n v="8.4600000000000009"/>
    <x v="367"/>
    <n v="8.0370000000000008"/>
    <s v="NO"/>
    <s v="NO"/>
    <n v="8.0370000000000008"/>
    <s v="NO"/>
  </r>
  <r>
    <n v="100483"/>
    <d v="2024-01-21T02:00:00"/>
    <x v="0"/>
    <s v="SKU-023"/>
    <x v="0"/>
    <s v="Electronics"/>
    <n v="5"/>
    <x v="470"/>
    <x v="3"/>
    <x v="0"/>
    <x v="0"/>
    <n v="577.84999999999991"/>
    <x v="13"/>
    <n v="577.84999999999991"/>
    <s v="NO"/>
    <s v="NO"/>
    <n v="577.84999999999991"/>
    <s v="YES"/>
  </r>
  <r>
    <n v="100484"/>
    <d v="2024-01-21T03:00:00"/>
    <x v="1"/>
    <s v="SKU-001"/>
    <x v="3"/>
    <s v="Electronics"/>
    <n v="2"/>
    <x v="471"/>
    <x v="3"/>
    <x v="1"/>
    <x v="0"/>
    <n v="163.6"/>
    <x v="13"/>
    <n v="163.6"/>
    <s v="NO"/>
    <s v="NO"/>
    <n v="163.6"/>
    <s v="NO"/>
  </r>
  <r>
    <n v="100485"/>
    <d v="2024-01-21T04:00:00"/>
    <x v="0"/>
    <s v="SKU-046"/>
    <x v="0"/>
    <s v="Accessories"/>
    <n v="4"/>
    <x v="472"/>
    <x v="0"/>
    <x v="3"/>
    <x v="2"/>
    <n v="449.28"/>
    <x v="368"/>
    <n v="426.81599999999997"/>
    <s v="YES"/>
    <s v="NO"/>
    <n v="0"/>
    <s v="NO"/>
  </r>
  <r>
    <n v="100486"/>
    <d v="2024-01-21T05:00:00"/>
    <x v="1"/>
    <s v="SKU-037"/>
    <x v="3"/>
    <s v="Electronics"/>
    <n v="5"/>
    <x v="473"/>
    <x v="1"/>
    <x v="2"/>
    <x v="0"/>
    <n v="177.65"/>
    <x v="369"/>
    <n v="159.88499999999999"/>
    <s v="NO"/>
    <s v="NO"/>
    <n v="159.88499999999999"/>
    <s v="NO"/>
  </r>
  <r>
    <n v="100487"/>
    <d v="2024-01-21T06:00:00"/>
    <x v="0"/>
    <s v="SKU-021"/>
    <x v="2"/>
    <s v="Electronics"/>
    <n v="4"/>
    <x v="474"/>
    <x v="0"/>
    <x v="3"/>
    <x v="0"/>
    <n v="301.27999999999997"/>
    <x v="370"/>
    <n v="286.21600000000001"/>
    <s v="NO"/>
    <s v="NO"/>
    <n v="286.21600000000001"/>
    <s v="NO"/>
  </r>
  <r>
    <n v="100488"/>
    <d v="2024-01-21T07:00:00"/>
    <x v="1"/>
    <s v="SKU-026"/>
    <x v="0"/>
    <s v="Electronics"/>
    <n v="4"/>
    <x v="475"/>
    <x v="1"/>
    <x v="3"/>
    <x v="0"/>
    <n v="332.12"/>
    <x v="371"/>
    <n v="298.90800000000002"/>
    <s v="NO"/>
    <s v="NO"/>
    <n v="298.90800000000002"/>
    <s v="NO"/>
  </r>
  <r>
    <n v="100489"/>
    <d v="2024-01-21T08:00:00"/>
    <x v="0"/>
    <s v="SKU-046"/>
    <x v="3"/>
    <s v="Electronics"/>
    <n v="2"/>
    <x v="476"/>
    <x v="1"/>
    <x v="3"/>
    <x v="0"/>
    <n v="83.04"/>
    <x v="372"/>
    <n v="74.736000000000004"/>
    <s v="NO"/>
    <s v="NO"/>
    <n v="74.736000000000004"/>
    <s v="NO"/>
  </r>
  <r>
    <n v="100490"/>
    <d v="2024-01-21T09:00:00"/>
    <x v="0"/>
    <s v="SKU-036"/>
    <x v="2"/>
    <s v="Electronics"/>
    <n v="3"/>
    <x v="477"/>
    <x v="2"/>
    <x v="1"/>
    <x v="0"/>
    <n v="307.58999999999997"/>
    <x v="373"/>
    <n v="261.45150000000001"/>
    <s v="NO"/>
    <s v="NO"/>
    <n v="261.45150000000001"/>
    <s v="NO"/>
  </r>
  <r>
    <n v="100491"/>
    <d v="2024-01-21T10:00:00"/>
    <x v="1"/>
    <s v="SKU-023"/>
    <x v="4"/>
    <s v="Electronics"/>
    <n v="5"/>
    <x v="478"/>
    <x v="2"/>
    <x v="0"/>
    <x v="1"/>
    <n v="569.6"/>
    <x v="374"/>
    <n v="484.16"/>
    <s v="YES"/>
    <s v="NO"/>
    <n v="-484.16"/>
    <s v="YES"/>
  </r>
  <r>
    <n v="100492"/>
    <d v="2024-01-21T11:00:00"/>
    <x v="0"/>
    <s v="SKU-001"/>
    <x v="3"/>
    <s v="Electronics"/>
    <n v="2"/>
    <x v="479"/>
    <x v="0"/>
    <x v="2"/>
    <x v="0"/>
    <n v="213.52"/>
    <x v="375"/>
    <n v="202.84399999999999"/>
    <s v="NO"/>
    <s v="NO"/>
    <n v="202.84399999999999"/>
    <s v="NO"/>
  </r>
  <r>
    <n v="100493"/>
    <d v="2024-01-21T12:00:00"/>
    <x v="0"/>
    <s v="SKU-040"/>
    <x v="4"/>
    <s v="Accessories"/>
    <n v="4"/>
    <x v="480"/>
    <x v="3"/>
    <x v="1"/>
    <x v="1"/>
    <n v="359.96"/>
    <x v="13"/>
    <n v="359.96"/>
    <s v="YES"/>
    <s v="NO"/>
    <n v="-359.96"/>
    <s v="NO"/>
  </r>
  <r>
    <n v="100494"/>
    <d v="2024-01-21T13:00:00"/>
    <x v="1"/>
    <s v="SKU-015"/>
    <x v="4"/>
    <s v="Accessories"/>
    <n v="2"/>
    <x v="481"/>
    <x v="0"/>
    <x v="2"/>
    <x v="0"/>
    <n v="73.819999999999993"/>
    <x v="376"/>
    <n v="70.128999999999991"/>
    <s v="NO"/>
    <s v="NO"/>
    <n v="70.128999999999991"/>
    <s v="NO"/>
  </r>
  <r>
    <n v="100495"/>
    <d v="2024-01-21T14:00:00"/>
    <x v="0"/>
    <s v="SKU-021"/>
    <x v="1"/>
    <s v="Accessories"/>
    <n v="3"/>
    <x v="482"/>
    <x v="1"/>
    <x v="2"/>
    <x v="0"/>
    <n v="112.17"/>
    <x v="377"/>
    <n v="100.953"/>
    <s v="NO"/>
    <s v="NO"/>
    <n v="100.953"/>
    <s v="NO"/>
  </r>
  <r>
    <n v="100496"/>
    <d v="2024-01-21T15:00:00"/>
    <x v="0"/>
    <s v="SKU-047"/>
    <x v="0"/>
    <s v="Accessories"/>
    <n v="5"/>
    <x v="483"/>
    <x v="2"/>
    <x v="2"/>
    <x v="1"/>
    <n v="578.95000000000005"/>
    <x v="378"/>
    <n v="492.10750000000007"/>
    <s v="YES"/>
    <s v="NO"/>
    <n v="-492.10750000000007"/>
    <s v="YES"/>
  </r>
  <r>
    <n v="100497"/>
    <d v="2024-01-21T16:00:00"/>
    <x v="0"/>
    <s v="SKU-009"/>
    <x v="3"/>
    <s v="Accessories"/>
    <n v="3"/>
    <x v="484"/>
    <x v="0"/>
    <x v="1"/>
    <x v="0"/>
    <n v="18.54"/>
    <x v="379"/>
    <n v="17.613"/>
    <s v="NO"/>
    <s v="NO"/>
    <n v="17.613"/>
    <s v="NO"/>
  </r>
  <r>
    <n v="100498"/>
    <d v="2024-01-21T17:00:00"/>
    <x v="1"/>
    <s v="SKU-009"/>
    <x v="4"/>
    <s v="Electronics"/>
    <n v="1"/>
    <x v="485"/>
    <x v="0"/>
    <x v="0"/>
    <x v="2"/>
    <n v="87.35"/>
    <x v="380"/>
    <n v="82.982499999999987"/>
    <s v="YES"/>
    <s v="NO"/>
    <n v="0"/>
    <s v="NO"/>
  </r>
  <r>
    <n v="100499"/>
    <d v="2024-01-21T18:00:00"/>
    <x v="0"/>
    <s v="SKU-010"/>
    <x v="1"/>
    <s v="Electronics"/>
    <n v="5"/>
    <x v="486"/>
    <x v="2"/>
    <x v="2"/>
    <x v="0"/>
    <n v="431.1"/>
    <x v="381"/>
    <n v="366.435"/>
    <s v="NO"/>
    <s v="NO"/>
    <n v="366.435"/>
    <s v="NO"/>
  </r>
  <r>
    <n v="100500"/>
    <d v="2024-01-21T19:00:00"/>
    <x v="1"/>
    <s v="SKU-026"/>
    <x v="2"/>
    <s v="Electronics"/>
    <n v="3"/>
    <x v="487"/>
    <x v="2"/>
    <x v="0"/>
    <x v="1"/>
    <n v="229.83"/>
    <x v="382"/>
    <n v="195.35550000000001"/>
    <s v="YES"/>
    <s v="NO"/>
    <n v="-195.35550000000001"/>
    <s v="NO"/>
  </r>
  <r>
    <n v="100501"/>
    <d v="2024-01-21T20:00:00"/>
    <x v="0"/>
    <s v="SKU-041"/>
    <x v="3"/>
    <s v="Electronics"/>
    <n v="4"/>
    <x v="488"/>
    <x v="2"/>
    <x v="0"/>
    <x v="0"/>
    <n v="475.44"/>
    <x v="383"/>
    <n v="404.12400000000002"/>
    <s v="NO"/>
    <s v="NO"/>
    <n v="404.12400000000002"/>
    <s v="NO"/>
  </r>
  <r>
    <n v="100502"/>
    <d v="2024-01-21T21:00:00"/>
    <x v="0"/>
    <s v="SKU-035"/>
    <x v="4"/>
    <s v="Accessories"/>
    <n v="5"/>
    <x v="489"/>
    <x v="1"/>
    <x v="3"/>
    <x v="0"/>
    <n v="204.35"/>
    <x v="384"/>
    <n v="183.91499999999999"/>
    <s v="NO"/>
    <s v="NO"/>
    <n v="183.91499999999999"/>
    <s v="NO"/>
  </r>
  <r>
    <n v="100503"/>
    <d v="2024-01-21T22:00:00"/>
    <x v="0"/>
    <s v="SKU-025"/>
    <x v="0"/>
    <s v="Electronics"/>
    <n v="5"/>
    <x v="490"/>
    <x v="2"/>
    <x v="1"/>
    <x v="0"/>
    <n v="220.5"/>
    <x v="385"/>
    <n v="187.42500000000001"/>
    <s v="NO"/>
    <s v="NO"/>
    <n v="187.42500000000001"/>
    <s v="NO"/>
  </r>
  <r>
    <n v="100504"/>
    <d v="2024-01-21T23:00:00"/>
    <x v="1"/>
    <s v="SKU-026"/>
    <x v="1"/>
    <s v="Electronics"/>
    <n v="2"/>
    <x v="491"/>
    <x v="3"/>
    <x v="1"/>
    <x v="0"/>
    <n v="28.16"/>
    <x v="13"/>
    <n v="28.16"/>
    <s v="NO"/>
    <s v="NO"/>
    <n v="28.16"/>
    <s v="NO"/>
  </r>
  <r>
    <n v="100505"/>
    <d v="2024-01-22T00:00:00"/>
    <x v="0"/>
    <s v="SKU-011"/>
    <x v="4"/>
    <s v="Accessories"/>
    <n v="4"/>
    <x v="492"/>
    <x v="0"/>
    <x v="3"/>
    <x v="0"/>
    <n v="223.68"/>
    <x v="386"/>
    <n v="212.49600000000001"/>
    <s v="NO"/>
    <s v="NO"/>
    <n v="212.49600000000001"/>
    <s v="NO"/>
  </r>
  <r>
    <n v="100506"/>
    <d v="2024-01-22T01:00:00"/>
    <x v="0"/>
    <s v="SKU-038"/>
    <x v="0"/>
    <s v="Electronics"/>
    <n v="1"/>
    <x v="493"/>
    <x v="2"/>
    <x v="3"/>
    <x v="0"/>
    <n v="35.020000000000003"/>
    <x v="387"/>
    <n v="29.766999999999999"/>
    <s v="NO"/>
    <s v="NO"/>
    <n v="29.766999999999999"/>
    <s v="NO"/>
  </r>
  <r>
    <n v="100507"/>
    <d v="2024-01-22T02:00:00"/>
    <x v="1"/>
    <s v="SKU-002"/>
    <x v="4"/>
    <s v="Electronics"/>
    <n v="3"/>
    <x v="494"/>
    <x v="2"/>
    <x v="0"/>
    <x v="0"/>
    <n v="133.47"/>
    <x v="388"/>
    <n v="113.4495"/>
    <s v="NO"/>
    <s v="NO"/>
    <n v="113.4495"/>
    <s v="NO"/>
  </r>
  <r>
    <n v="100508"/>
    <d v="2024-01-22T03:00:00"/>
    <x v="0"/>
    <s v="SKU-007"/>
    <x v="3"/>
    <s v="Accessories"/>
    <n v="2"/>
    <x v="495"/>
    <x v="1"/>
    <x v="2"/>
    <x v="0"/>
    <n v="201.96"/>
    <x v="389"/>
    <n v="181.76400000000001"/>
    <s v="NO"/>
    <s v="NO"/>
    <n v="181.76400000000001"/>
    <s v="NO"/>
  </r>
  <r>
    <n v="100509"/>
    <d v="2024-01-22T04:00:00"/>
    <x v="1"/>
    <s v="SKU-018"/>
    <x v="3"/>
    <s v="Electronics"/>
    <n v="3"/>
    <x v="496"/>
    <x v="1"/>
    <x v="1"/>
    <x v="0"/>
    <n v="337.74"/>
    <x v="390"/>
    <n v="303.96600000000001"/>
    <s v="NO"/>
    <s v="NO"/>
    <n v="303.96600000000001"/>
    <s v="NO"/>
  </r>
  <r>
    <n v="100510"/>
    <d v="2024-01-22T05:00:00"/>
    <x v="1"/>
    <s v="SKU-027"/>
    <x v="3"/>
    <s v="Electronics"/>
    <n v="1"/>
    <x v="497"/>
    <x v="0"/>
    <x v="2"/>
    <x v="0"/>
    <n v="26.36"/>
    <x v="391"/>
    <n v="25.042000000000002"/>
    <s v="NO"/>
    <s v="NO"/>
    <n v="25.042000000000002"/>
    <s v="NO"/>
  </r>
  <r>
    <n v="100511"/>
    <d v="2024-01-22T06:00:00"/>
    <x v="0"/>
    <s v="SKU-034"/>
    <x v="1"/>
    <s v="Electronics"/>
    <n v="1"/>
    <x v="92"/>
    <x v="3"/>
    <x v="2"/>
    <x v="0"/>
    <n v="47.84"/>
    <x v="13"/>
    <n v="47.84"/>
    <s v="NO"/>
    <s v="NO"/>
    <n v="47.84"/>
    <s v="NO"/>
  </r>
  <r>
    <n v="100512"/>
    <d v="2024-01-22T07:00:00"/>
    <x v="1"/>
    <s v="SKU-027"/>
    <x v="3"/>
    <s v="Electronics"/>
    <n v="5"/>
    <x v="498"/>
    <x v="0"/>
    <x v="3"/>
    <x v="0"/>
    <n v="558.95000000000005"/>
    <x v="392"/>
    <n v="531.00250000000005"/>
    <s v="NO"/>
    <s v="NO"/>
    <n v="531.00250000000005"/>
    <s v="YES"/>
  </r>
  <r>
    <n v="100513"/>
    <d v="2024-01-22T08:00:00"/>
    <x v="0"/>
    <s v="SKU-017"/>
    <x v="0"/>
    <s v="Electronics"/>
    <n v="1"/>
    <x v="499"/>
    <x v="2"/>
    <x v="2"/>
    <x v="0"/>
    <n v="12.11"/>
    <x v="393"/>
    <n v="10.2935"/>
    <s v="NO"/>
    <s v="NO"/>
    <n v="10.2935"/>
    <s v="NO"/>
  </r>
  <r>
    <n v="100514"/>
    <d v="2024-01-22T09:00:00"/>
    <x v="1"/>
    <s v="SKU-043"/>
    <x v="4"/>
    <s v="Accessories"/>
    <n v="3"/>
    <x v="500"/>
    <x v="3"/>
    <x v="0"/>
    <x v="0"/>
    <n v="46.86"/>
    <x v="13"/>
    <n v="46.86"/>
    <s v="NO"/>
    <s v="NO"/>
    <n v="46.86"/>
    <s v="NO"/>
  </r>
  <r>
    <n v="100515"/>
    <d v="2024-01-22T10:00:00"/>
    <x v="1"/>
    <s v="SKU-044"/>
    <x v="2"/>
    <s v="Accessories"/>
    <n v="4"/>
    <x v="501"/>
    <x v="3"/>
    <x v="3"/>
    <x v="0"/>
    <n v="94.88"/>
    <x v="13"/>
    <n v="94.88"/>
    <s v="NO"/>
    <s v="NO"/>
    <n v="94.88"/>
    <s v="NO"/>
  </r>
  <r>
    <n v="100516"/>
    <d v="2024-01-22T11:00:00"/>
    <x v="0"/>
    <s v="SKU-024"/>
    <x v="0"/>
    <s v="Accessories"/>
    <n v="4"/>
    <x v="502"/>
    <x v="3"/>
    <x v="2"/>
    <x v="1"/>
    <n v="293.8"/>
    <x v="13"/>
    <n v="293.8"/>
    <s v="YES"/>
    <s v="NO"/>
    <n v="-293.8"/>
    <s v="NO"/>
  </r>
  <r>
    <n v="100517"/>
    <d v="2024-01-22T12:00:00"/>
    <x v="1"/>
    <s v="SKU-025"/>
    <x v="0"/>
    <s v="Accessories"/>
    <n v="5"/>
    <x v="503"/>
    <x v="3"/>
    <x v="3"/>
    <x v="0"/>
    <n v="111.5"/>
    <x v="13"/>
    <n v="111.5"/>
    <s v="NO"/>
    <s v="NO"/>
    <n v="111.5"/>
    <s v="NO"/>
  </r>
  <r>
    <n v="100518"/>
    <d v="2024-01-22T13:00:00"/>
    <x v="1"/>
    <s v="SKU-007"/>
    <x v="3"/>
    <s v="Accessories"/>
    <n v="3"/>
    <x v="80"/>
    <x v="0"/>
    <x v="0"/>
    <x v="0"/>
    <n v="348.99"/>
    <x v="394"/>
    <n v="331.54050000000001"/>
    <s v="NO"/>
    <s v="NO"/>
    <n v="331.54050000000001"/>
    <s v="NO"/>
  </r>
  <r>
    <n v="100519"/>
    <d v="2024-01-22T14:00:00"/>
    <x v="1"/>
    <s v="SKU-006"/>
    <x v="1"/>
    <s v="Accessories"/>
    <n v="3"/>
    <x v="504"/>
    <x v="1"/>
    <x v="0"/>
    <x v="0"/>
    <n v="169.11"/>
    <x v="395"/>
    <n v="152.19900000000001"/>
    <s v="NO"/>
    <s v="NO"/>
    <n v="152.19900000000001"/>
    <s v="NO"/>
  </r>
  <r>
    <n v="100520"/>
    <d v="2024-01-22T15:00:00"/>
    <x v="1"/>
    <s v="SKU-024"/>
    <x v="4"/>
    <s v="Electronics"/>
    <n v="1"/>
    <x v="505"/>
    <x v="1"/>
    <x v="2"/>
    <x v="0"/>
    <n v="62.67"/>
    <x v="396"/>
    <n v="56.402999999999999"/>
    <s v="NO"/>
    <s v="NO"/>
    <n v="56.402999999999999"/>
    <s v="NO"/>
  </r>
  <r>
    <n v="100521"/>
    <d v="2024-01-22T16:00:00"/>
    <x v="1"/>
    <s v="SKU-033"/>
    <x v="1"/>
    <s v="Accessories"/>
    <n v="3"/>
    <x v="506"/>
    <x v="2"/>
    <x v="3"/>
    <x v="0"/>
    <n v="100.11"/>
    <x v="397"/>
    <n v="85.093499999999992"/>
    <s v="NO"/>
    <s v="NO"/>
    <n v="85.093499999999992"/>
    <s v="NO"/>
  </r>
  <r>
    <n v="100522"/>
    <d v="2024-01-22T17:00:00"/>
    <x v="0"/>
    <s v="SKU-049"/>
    <x v="4"/>
    <s v="Accessories"/>
    <n v="2"/>
    <x v="507"/>
    <x v="1"/>
    <x v="2"/>
    <x v="0"/>
    <n v="118.32"/>
    <x v="398"/>
    <n v="106.488"/>
    <s v="NO"/>
    <s v="NO"/>
    <n v="106.488"/>
    <s v="NO"/>
  </r>
  <r>
    <n v="100523"/>
    <d v="2024-01-22T18:00:00"/>
    <x v="1"/>
    <s v="SKU-029"/>
    <x v="4"/>
    <s v="Electronics"/>
    <n v="1"/>
    <x v="508"/>
    <x v="1"/>
    <x v="2"/>
    <x v="0"/>
    <n v="81.12"/>
    <x v="399"/>
    <n v="73.00800000000001"/>
    <s v="NO"/>
    <s v="NO"/>
    <n v="73.00800000000001"/>
    <s v="NO"/>
  </r>
  <r>
    <n v="100524"/>
    <d v="2024-01-22T19:00:00"/>
    <x v="0"/>
    <s v="SKU-043"/>
    <x v="1"/>
    <s v="Electronics"/>
    <n v="2"/>
    <x v="509"/>
    <x v="1"/>
    <x v="3"/>
    <x v="0"/>
    <n v="182.78"/>
    <x v="400"/>
    <n v="164.50200000000001"/>
    <s v="NO"/>
    <s v="NO"/>
    <n v="164.50200000000001"/>
    <s v="NO"/>
  </r>
  <r>
    <n v="100525"/>
    <d v="2024-01-22T20:00:00"/>
    <x v="1"/>
    <s v="SKU-022"/>
    <x v="0"/>
    <s v="Accessories"/>
    <n v="5"/>
    <x v="510"/>
    <x v="1"/>
    <x v="2"/>
    <x v="0"/>
    <n v="458.45"/>
    <x v="401"/>
    <n v="412.60500000000002"/>
    <s v="NO"/>
    <s v="NO"/>
    <n v="412.60500000000002"/>
    <s v="NO"/>
  </r>
  <r>
    <n v="100526"/>
    <d v="2024-01-22T21:00:00"/>
    <x v="0"/>
    <s v="SKU-026"/>
    <x v="4"/>
    <s v="Electronics"/>
    <n v="4"/>
    <x v="511"/>
    <x v="2"/>
    <x v="0"/>
    <x v="0"/>
    <n v="285.83999999999997"/>
    <x v="402"/>
    <n v="242.964"/>
    <s v="NO"/>
    <s v="NO"/>
    <n v="242.964"/>
    <s v="NO"/>
  </r>
  <r>
    <n v="100527"/>
    <d v="2024-01-22T22:00:00"/>
    <x v="0"/>
    <s v="SKU-028"/>
    <x v="1"/>
    <s v="Accessories"/>
    <n v="5"/>
    <x v="512"/>
    <x v="0"/>
    <x v="3"/>
    <x v="1"/>
    <n v="545"/>
    <x v="403"/>
    <n v="517.75"/>
    <s v="YES"/>
    <s v="NO"/>
    <n v="-517.75"/>
    <s v="YES"/>
  </r>
  <r>
    <n v="100528"/>
    <d v="2024-01-22T23:00:00"/>
    <x v="1"/>
    <s v="SKU-050"/>
    <x v="4"/>
    <s v="Electronics"/>
    <n v="4"/>
    <x v="513"/>
    <x v="3"/>
    <x v="3"/>
    <x v="0"/>
    <n v="396"/>
    <x v="13"/>
    <n v="396"/>
    <s v="NO"/>
    <s v="NO"/>
    <n v="396"/>
    <s v="NO"/>
  </r>
  <r>
    <n v="100529"/>
    <d v="2024-01-23T00:00:00"/>
    <x v="1"/>
    <s v="SKU-021"/>
    <x v="2"/>
    <s v="Accessories"/>
    <n v="5"/>
    <x v="514"/>
    <x v="1"/>
    <x v="3"/>
    <x v="0"/>
    <n v="460.3"/>
    <x v="404"/>
    <n v="414.27"/>
    <s v="NO"/>
    <s v="NO"/>
    <n v="414.27"/>
    <s v="NO"/>
  </r>
  <r>
    <n v="100530"/>
    <d v="2024-01-23T01:00:00"/>
    <x v="1"/>
    <s v="SKU-049"/>
    <x v="0"/>
    <s v="Electronics"/>
    <n v="3"/>
    <x v="515"/>
    <x v="0"/>
    <x v="3"/>
    <x v="2"/>
    <n v="34.17"/>
    <x v="405"/>
    <n v="32.461500000000001"/>
    <s v="YES"/>
    <s v="NO"/>
    <n v="0"/>
    <s v="NO"/>
  </r>
  <r>
    <n v="100531"/>
    <d v="2024-01-23T02:00:00"/>
    <x v="0"/>
    <s v="SKU-007"/>
    <x v="3"/>
    <s v="Electronics"/>
    <n v="2"/>
    <x v="516"/>
    <x v="1"/>
    <x v="2"/>
    <x v="0"/>
    <n v="11.58"/>
    <x v="406"/>
    <n v="10.422000000000001"/>
    <s v="NO"/>
    <s v="NO"/>
    <n v="10.422000000000001"/>
    <s v="NO"/>
  </r>
  <r>
    <n v="100532"/>
    <d v="2024-01-23T03:00:00"/>
    <x v="1"/>
    <s v="SKU-017"/>
    <x v="4"/>
    <s v="Accessories"/>
    <n v="4"/>
    <x v="517"/>
    <x v="1"/>
    <x v="2"/>
    <x v="0"/>
    <n v="117.72"/>
    <x v="407"/>
    <n v="105.94799999999999"/>
    <s v="NO"/>
    <s v="NO"/>
    <n v="105.94799999999999"/>
    <s v="NO"/>
  </r>
  <r>
    <n v="100533"/>
    <d v="2024-01-23T04:00:00"/>
    <x v="0"/>
    <s v="SKU-020"/>
    <x v="2"/>
    <s v="Accessories"/>
    <n v="1"/>
    <x v="518"/>
    <x v="3"/>
    <x v="0"/>
    <x v="0"/>
    <n v="81.31"/>
    <x v="13"/>
    <n v="81.31"/>
    <s v="NO"/>
    <s v="NO"/>
    <n v="81.31"/>
    <s v="NO"/>
  </r>
  <r>
    <n v="100534"/>
    <d v="2024-01-23T05:00:00"/>
    <x v="0"/>
    <s v="SKU-041"/>
    <x v="3"/>
    <s v="Accessories"/>
    <n v="2"/>
    <x v="195"/>
    <x v="3"/>
    <x v="1"/>
    <x v="2"/>
    <n v="104.58"/>
    <x v="13"/>
    <n v="104.58"/>
    <s v="YES"/>
    <s v="NO"/>
    <n v="0"/>
    <s v="NO"/>
  </r>
  <r>
    <n v="100535"/>
    <d v="2024-01-23T06:00:00"/>
    <x v="0"/>
    <s v="SKU-049"/>
    <x v="3"/>
    <s v="Accessories"/>
    <n v="1"/>
    <x v="519"/>
    <x v="3"/>
    <x v="1"/>
    <x v="2"/>
    <n v="51.28"/>
    <x v="13"/>
    <n v="51.28"/>
    <s v="YES"/>
    <s v="NO"/>
    <n v="0"/>
    <s v="NO"/>
  </r>
  <r>
    <n v="100536"/>
    <d v="2024-01-23T07:00:00"/>
    <x v="1"/>
    <s v="SKU-020"/>
    <x v="4"/>
    <s v="Accessories"/>
    <n v="2"/>
    <x v="520"/>
    <x v="1"/>
    <x v="0"/>
    <x v="0"/>
    <n v="213.46"/>
    <x v="408"/>
    <n v="192.114"/>
    <s v="NO"/>
    <s v="NO"/>
    <n v="192.114"/>
    <s v="NO"/>
  </r>
  <r>
    <n v="100537"/>
    <d v="2024-01-23T08:00:00"/>
    <x v="1"/>
    <s v="SKU-022"/>
    <x v="1"/>
    <s v="Electronics"/>
    <n v="2"/>
    <x v="521"/>
    <x v="1"/>
    <x v="1"/>
    <x v="0"/>
    <n v="215.98"/>
    <x v="409"/>
    <n v="194.38200000000001"/>
    <s v="NO"/>
    <s v="NO"/>
    <n v="194.38200000000001"/>
    <s v="NO"/>
  </r>
  <r>
    <n v="100538"/>
    <d v="2024-01-23T09:00:00"/>
    <x v="0"/>
    <s v="SKU-028"/>
    <x v="4"/>
    <s v="Accessories"/>
    <n v="5"/>
    <x v="522"/>
    <x v="1"/>
    <x v="0"/>
    <x v="0"/>
    <n v="547.79999999999995"/>
    <x v="410"/>
    <n v="493.02"/>
    <s v="NO"/>
    <s v="NO"/>
    <n v="493.02"/>
    <s v="YES"/>
  </r>
  <r>
    <n v="100539"/>
    <d v="2024-01-23T10:00:00"/>
    <x v="0"/>
    <s v="SKU-040"/>
    <x v="2"/>
    <s v="Accessories"/>
    <n v="4"/>
    <x v="350"/>
    <x v="3"/>
    <x v="2"/>
    <x v="0"/>
    <n v="164.4"/>
    <x v="13"/>
    <n v="164.4"/>
    <s v="NO"/>
    <s v="NO"/>
    <n v="164.4"/>
    <s v="NO"/>
  </r>
  <r>
    <n v="100540"/>
    <d v="2024-01-23T11:00:00"/>
    <x v="1"/>
    <s v="SKU-049"/>
    <x v="3"/>
    <s v="Electronics"/>
    <n v="4"/>
    <x v="523"/>
    <x v="2"/>
    <x v="3"/>
    <x v="0"/>
    <n v="337.88"/>
    <x v="411"/>
    <n v="287.19799999999998"/>
    <s v="NO"/>
    <s v="NO"/>
    <n v="287.19799999999998"/>
    <s v="NO"/>
  </r>
  <r>
    <n v="100541"/>
    <d v="2024-01-23T12:00:00"/>
    <x v="0"/>
    <s v="SKU-007"/>
    <x v="4"/>
    <s v="Electronics"/>
    <n v="2"/>
    <x v="524"/>
    <x v="0"/>
    <x v="3"/>
    <x v="1"/>
    <n v="72.48"/>
    <x v="412"/>
    <n v="68.856000000000009"/>
    <s v="YES"/>
    <s v="NO"/>
    <n v="-68.856000000000009"/>
    <s v="NO"/>
  </r>
  <r>
    <n v="100542"/>
    <d v="2024-01-23T13:00:00"/>
    <x v="1"/>
    <s v="SKU-001"/>
    <x v="1"/>
    <s v="Accessories"/>
    <n v="3"/>
    <x v="525"/>
    <x v="2"/>
    <x v="2"/>
    <x v="0"/>
    <n v="80.760000000000005"/>
    <x v="413"/>
    <n v="68.646000000000001"/>
    <s v="NO"/>
    <s v="NO"/>
    <n v="68.646000000000001"/>
    <s v="NO"/>
  </r>
  <r>
    <n v="100543"/>
    <d v="2024-01-23T14:00:00"/>
    <x v="0"/>
    <s v="SKU-032"/>
    <x v="4"/>
    <s v="Electronics"/>
    <n v="3"/>
    <x v="526"/>
    <x v="1"/>
    <x v="3"/>
    <x v="0"/>
    <n v="78.69"/>
    <x v="414"/>
    <n v="70.820999999999998"/>
    <s v="NO"/>
    <s v="NO"/>
    <n v="70.820999999999998"/>
    <s v="NO"/>
  </r>
  <r>
    <n v="100544"/>
    <d v="2024-01-23T15:00:00"/>
    <x v="1"/>
    <s v="SKU-013"/>
    <x v="0"/>
    <s v="Electronics"/>
    <n v="1"/>
    <x v="527"/>
    <x v="1"/>
    <x v="3"/>
    <x v="0"/>
    <n v="44.34"/>
    <x v="415"/>
    <n v="39.906000000000013"/>
    <s v="NO"/>
    <s v="NO"/>
    <n v="39.906000000000013"/>
    <s v="NO"/>
  </r>
  <r>
    <n v="100545"/>
    <d v="2024-01-23T16:00:00"/>
    <x v="0"/>
    <s v="SKU-030"/>
    <x v="1"/>
    <s v="Accessories"/>
    <n v="1"/>
    <x v="425"/>
    <x v="2"/>
    <x v="1"/>
    <x v="0"/>
    <n v="54.45"/>
    <x v="416"/>
    <n v="46.282499999999999"/>
    <s v="NO"/>
    <s v="NO"/>
    <n v="46.282499999999999"/>
    <s v="NO"/>
  </r>
  <r>
    <n v="100546"/>
    <d v="2024-01-23T17:00:00"/>
    <x v="1"/>
    <s v="SKU-023"/>
    <x v="2"/>
    <s v="Electronics"/>
    <n v="5"/>
    <x v="528"/>
    <x v="1"/>
    <x v="2"/>
    <x v="0"/>
    <n v="502.8"/>
    <x v="417"/>
    <n v="452.52"/>
    <s v="NO"/>
    <s v="NO"/>
    <n v="452.52"/>
    <s v="YES"/>
  </r>
  <r>
    <n v="100547"/>
    <d v="2024-01-23T18:00:00"/>
    <x v="0"/>
    <s v="SKU-019"/>
    <x v="3"/>
    <s v="Electronics"/>
    <n v="2"/>
    <x v="529"/>
    <x v="0"/>
    <x v="1"/>
    <x v="0"/>
    <n v="37.58"/>
    <x v="418"/>
    <n v="35.701000000000001"/>
    <s v="NO"/>
    <s v="NO"/>
    <n v="35.701000000000001"/>
    <s v="NO"/>
  </r>
  <r>
    <n v="100548"/>
    <d v="2024-01-23T19:00:00"/>
    <x v="1"/>
    <s v="SKU-032"/>
    <x v="4"/>
    <s v="Accessories"/>
    <n v="1"/>
    <x v="530"/>
    <x v="1"/>
    <x v="1"/>
    <x v="1"/>
    <n v="89.52"/>
    <x v="419"/>
    <n v="80.567999999999998"/>
    <s v="YES"/>
    <s v="NO"/>
    <n v="-80.567999999999998"/>
    <s v="NO"/>
  </r>
  <r>
    <n v="100549"/>
    <d v="2024-01-23T20:00:00"/>
    <x v="1"/>
    <s v="SKU-030"/>
    <x v="1"/>
    <s v="Accessories"/>
    <n v="1"/>
    <x v="531"/>
    <x v="0"/>
    <x v="3"/>
    <x v="1"/>
    <n v="66.12"/>
    <x v="420"/>
    <n v="62.814000000000007"/>
    <s v="YES"/>
    <s v="NO"/>
    <n v="-62.814000000000007"/>
    <s v="NO"/>
  </r>
  <r>
    <n v="100550"/>
    <d v="2024-01-23T21:00:00"/>
    <x v="0"/>
    <s v="SKU-029"/>
    <x v="0"/>
    <s v="Electronics"/>
    <n v="2"/>
    <x v="532"/>
    <x v="2"/>
    <x v="3"/>
    <x v="0"/>
    <n v="76.22"/>
    <x v="421"/>
    <n v="64.787000000000006"/>
    <s v="NO"/>
    <s v="NO"/>
    <n v="64.787000000000006"/>
    <s v="NO"/>
  </r>
  <r>
    <n v="100551"/>
    <d v="2024-01-23T22:00:00"/>
    <x v="0"/>
    <s v="SKU-049"/>
    <x v="1"/>
    <s v="Electronics"/>
    <n v="5"/>
    <x v="533"/>
    <x v="2"/>
    <x v="2"/>
    <x v="1"/>
    <n v="308.35000000000002"/>
    <x v="422"/>
    <n v="262.09750000000003"/>
    <s v="YES"/>
    <s v="NO"/>
    <n v="-262.09750000000003"/>
    <s v="NO"/>
  </r>
  <r>
    <n v="100552"/>
    <d v="2024-01-23T23:00:00"/>
    <x v="1"/>
    <s v="SKU-045"/>
    <x v="0"/>
    <s v="Accessories"/>
    <n v="1"/>
    <x v="534"/>
    <x v="1"/>
    <x v="3"/>
    <x v="0"/>
    <n v="39.49"/>
    <x v="423"/>
    <n v="35.540999999999997"/>
    <s v="NO"/>
    <s v="NO"/>
    <n v="35.540999999999997"/>
    <s v="NO"/>
  </r>
  <r>
    <n v="100553"/>
    <d v="2024-01-24T00:00:00"/>
    <x v="0"/>
    <s v="SKU-029"/>
    <x v="2"/>
    <s v="Electronics"/>
    <n v="5"/>
    <x v="535"/>
    <x v="0"/>
    <x v="3"/>
    <x v="0"/>
    <n v="367.75"/>
    <x v="424"/>
    <n v="349.36250000000001"/>
    <s v="NO"/>
    <s v="NO"/>
    <n v="349.36250000000001"/>
    <s v="NO"/>
  </r>
  <r>
    <n v="100554"/>
    <d v="2024-01-24T01:00:00"/>
    <x v="1"/>
    <s v="SKU-030"/>
    <x v="3"/>
    <s v="Electronics"/>
    <n v="4"/>
    <x v="536"/>
    <x v="1"/>
    <x v="2"/>
    <x v="0"/>
    <n v="219.56"/>
    <x v="425"/>
    <n v="197.60400000000001"/>
    <s v="NO"/>
    <s v="NO"/>
    <n v="197.60400000000001"/>
    <s v="NO"/>
  </r>
  <r>
    <n v="100555"/>
    <d v="2024-01-24T02:00:00"/>
    <x v="0"/>
    <s v="SKU-016"/>
    <x v="2"/>
    <s v="Electronics"/>
    <n v="5"/>
    <x v="537"/>
    <x v="3"/>
    <x v="3"/>
    <x v="0"/>
    <n v="119.55"/>
    <x v="13"/>
    <n v="119.55"/>
    <s v="NO"/>
    <s v="NO"/>
    <n v="119.55"/>
    <s v="NO"/>
  </r>
  <r>
    <n v="100556"/>
    <d v="2024-01-24T03:00:00"/>
    <x v="1"/>
    <s v="SKU-040"/>
    <x v="4"/>
    <s v="Accessories"/>
    <n v="3"/>
    <x v="538"/>
    <x v="3"/>
    <x v="1"/>
    <x v="1"/>
    <n v="55.23"/>
    <x v="13"/>
    <n v="55.23"/>
    <s v="YES"/>
    <s v="NO"/>
    <n v="-55.23"/>
    <s v="NO"/>
  </r>
  <r>
    <n v="100557"/>
    <d v="2024-01-24T04:00:00"/>
    <x v="1"/>
    <s v="SKU-019"/>
    <x v="1"/>
    <s v="Electronics"/>
    <n v="3"/>
    <x v="539"/>
    <x v="3"/>
    <x v="2"/>
    <x v="0"/>
    <n v="203.61"/>
    <x v="13"/>
    <n v="203.61"/>
    <s v="NO"/>
    <s v="NO"/>
    <n v="203.61"/>
    <s v="NO"/>
  </r>
  <r>
    <n v="100558"/>
    <d v="2024-01-24T05:00:00"/>
    <x v="1"/>
    <s v="SKU-018"/>
    <x v="0"/>
    <s v="Electronics"/>
    <n v="5"/>
    <x v="540"/>
    <x v="3"/>
    <x v="3"/>
    <x v="0"/>
    <n v="543.9"/>
    <x v="13"/>
    <n v="543.9"/>
    <s v="NO"/>
    <s v="NO"/>
    <n v="543.9"/>
    <s v="YES"/>
  </r>
  <r>
    <n v="100559"/>
    <d v="2024-01-24T06:00:00"/>
    <x v="1"/>
    <s v="SKU-001"/>
    <x v="0"/>
    <s v="Accessories"/>
    <n v="3"/>
    <x v="541"/>
    <x v="1"/>
    <x v="0"/>
    <x v="0"/>
    <n v="133.68"/>
    <x v="426"/>
    <n v="120.312"/>
    <s v="NO"/>
    <s v="NO"/>
    <n v="120.312"/>
    <s v="NO"/>
  </r>
  <r>
    <n v="100560"/>
    <d v="2024-01-24T07:00:00"/>
    <x v="1"/>
    <s v="SKU-014"/>
    <x v="1"/>
    <s v="Electronics"/>
    <n v="4"/>
    <x v="542"/>
    <x v="3"/>
    <x v="2"/>
    <x v="0"/>
    <n v="357.2"/>
    <x v="13"/>
    <n v="357.2"/>
    <s v="NO"/>
    <s v="NO"/>
    <n v="357.2"/>
    <s v="NO"/>
  </r>
  <r>
    <n v="100561"/>
    <d v="2024-01-24T08:00:00"/>
    <x v="1"/>
    <s v="SKU-047"/>
    <x v="1"/>
    <s v="Electronics"/>
    <n v="2"/>
    <x v="543"/>
    <x v="0"/>
    <x v="2"/>
    <x v="0"/>
    <n v="161.5"/>
    <x v="427"/>
    <n v="153.42500000000001"/>
    <s v="NO"/>
    <s v="NO"/>
    <n v="153.42500000000001"/>
    <s v="NO"/>
  </r>
  <r>
    <n v="100562"/>
    <d v="2024-01-24T09:00:00"/>
    <x v="0"/>
    <s v="SKU-050"/>
    <x v="4"/>
    <s v="Accessories"/>
    <n v="3"/>
    <x v="544"/>
    <x v="2"/>
    <x v="0"/>
    <x v="0"/>
    <n v="336.39"/>
    <x v="428"/>
    <n v="285.93150000000003"/>
    <s v="NO"/>
    <s v="NO"/>
    <n v="285.93150000000003"/>
    <s v="NO"/>
  </r>
  <r>
    <n v="100563"/>
    <d v="2024-01-24T10:00:00"/>
    <x v="0"/>
    <s v="SKU-002"/>
    <x v="2"/>
    <s v="Accessories"/>
    <n v="3"/>
    <x v="545"/>
    <x v="2"/>
    <x v="3"/>
    <x v="0"/>
    <n v="298.23"/>
    <x v="429"/>
    <n v="253.49549999999999"/>
    <s v="NO"/>
    <s v="NO"/>
    <n v="253.49549999999999"/>
    <s v="NO"/>
  </r>
  <r>
    <n v="100564"/>
    <d v="2024-01-24T11:00:00"/>
    <x v="0"/>
    <s v="SKU-028"/>
    <x v="0"/>
    <s v="Accessories"/>
    <n v="5"/>
    <x v="546"/>
    <x v="3"/>
    <x v="3"/>
    <x v="0"/>
    <n v="350.8"/>
    <x v="13"/>
    <n v="350.8"/>
    <s v="NO"/>
    <s v="NO"/>
    <n v="350.8"/>
    <s v="NO"/>
  </r>
  <r>
    <n v="100565"/>
    <d v="2024-01-24T12:00:00"/>
    <x v="1"/>
    <s v="SKU-049"/>
    <x v="4"/>
    <s v="Accessories"/>
    <n v="4"/>
    <x v="547"/>
    <x v="3"/>
    <x v="2"/>
    <x v="0"/>
    <n v="322.24"/>
    <x v="13"/>
    <n v="322.24"/>
    <s v="NO"/>
    <s v="NO"/>
    <n v="322.24"/>
    <s v="NO"/>
  </r>
  <r>
    <n v="100566"/>
    <d v="2024-01-24T13:00:00"/>
    <x v="1"/>
    <s v="SKU-050"/>
    <x v="2"/>
    <s v="Electronics"/>
    <n v="2"/>
    <x v="548"/>
    <x v="3"/>
    <x v="2"/>
    <x v="0"/>
    <n v="216.62"/>
    <x v="13"/>
    <n v="216.62"/>
    <s v="NO"/>
    <s v="NO"/>
    <n v="216.62"/>
    <s v="NO"/>
  </r>
  <r>
    <n v="100567"/>
    <d v="2024-01-24T14:00:00"/>
    <x v="1"/>
    <s v="SKU-030"/>
    <x v="4"/>
    <s v="Electronics"/>
    <n v="5"/>
    <x v="549"/>
    <x v="1"/>
    <x v="3"/>
    <x v="0"/>
    <n v="254.7"/>
    <x v="430"/>
    <n v="229.23"/>
    <s v="NO"/>
    <s v="NO"/>
    <n v="229.23"/>
    <s v="NO"/>
  </r>
  <r>
    <n v="100568"/>
    <d v="2024-01-24T15:00:00"/>
    <x v="1"/>
    <s v="SKU-038"/>
    <x v="0"/>
    <s v="Accessories"/>
    <n v="5"/>
    <x v="550"/>
    <x v="2"/>
    <x v="3"/>
    <x v="0"/>
    <n v="212.9"/>
    <x v="431"/>
    <n v="180.965"/>
    <s v="NO"/>
    <s v="NO"/>
    <n v="180.965"/>
    <s v="NO"/>
  </r>
  <r>
    <n v="100569"/>
    <d v="2024-01-24T16:00:00"/>
    <x v="0"/>
    <s v="SKU-004"/>
    <x v="1"/>
    <s v="Accessories"/>
    <n v="4"/>
    <x v="551"/>
    <x v="3"/>
    <x v="1"/>
    <x v="0"/>
    <n v="24.96"/>
    <x v="13"/>
    <n v="24.96"/>
    <s v="NO"/>
    <s v="NO"/>
    <n v="24.96"/>
    <s v="NO"/>
  </r>
  <r>
    <n v="100570"/>
    <d v="2024-01-24T17:00:00"/>
    <x v="0"/>
    <s v="SKU-001"/>
    <x v="1"/>
    <s v="Electronics"/>
    <n v="2"/>
    <x v="552"/>
    <x v="0"/>
    <x v="2"/>
    <x v="0"/>
    <n v="200.1"/>
    <x v="432"/>
    <n v="190.095"/>
    <s v="NO"/>
    <s v="NO"/>
    <n v="190.095"/>
    <s v="NO"/>
  </r>
  <r>
    <n v="100571"/>
    <d v="2024-01-24T18:00:00"/>
    <x v="1"/>
    <s v="SKU-008"/>
    <x v="2"/>
    <s v="Accessories"/>
    <n v="4"/>
    <x v="553"/>
    <x v="3"/>
    <x v="2"/>
    <x v="0"/>
    <n v="388.44"/>
    <x v="13"/>
    <n v="388.44"/>
    <s v="NO"/>
    <s v="NO"/>
    <n v="388.44"/>
    <s v="NO"/>
  </r>
  <r>
    <n v="100572"/>
    <d v="2024-01-24T19:00:00"/>
    <x v="0"/>
    <s v="SKU-029"/>
    <x v="3"/>
    <s v="Electronics"/>
    <n v="2"/>
    <x v="554"/>
    <x v="2"/>
    <x v="0"/>
    <x v="1"/>
    <n v="34.020000000000003"/>
    <x v="433"/>
    <n v="28.917000000000002"/>
    <s v="YES"/>
    <s v="NO"/>
    <n v="-28.917000000000002"/>
    <s v="NO"/>
  </r>
  <r>
    <n v="100573"/>
    <d v="2024-01-24T20:00:00"/>
    <x v="0"/>
    <s v="SKU-039"/>
    <x v="2"/>
    <s v="Accessories"/>
    <n v="4"/>
    <x v="555"/>
    <x v="3"/>
    <x v="1"/>
    <x v="0"/>
    <n v="285.36"/>
    <x v="13"/>
    <n v="285.36"/>
    <s v="NO"/>
    <s v="NO"/>
    <n v="285.36"/>
    <s v="NO"/>
  </r>
  <r>
    <n v="100574"/>
    <d v="2024-01-24T21:00:00"/>
    <x v="1"/>
    <s v="SKU-003"/>
    <x v="3"/>
    <s v="Electronics"/>
    <n v="5"/>
    <x v="556"/>
    <x v="2"/>
    <x v="3"/>
    <x v="0"/>
    <n v="291.8"/>
    <x v="434"/>
    <n v="248.03"/>
    <s v="NO"/>
    <s v="NO"/>
    <n v="248.03"/>
    <s v="NO"/>
  </r>
  <r>
    <n v="100575"/>
    <d v="2024-01-24T22:00:00"/>
    <x v="0"/>
    <s v="SKU-032"/>
    <x v="4"/>
    <s v="Accessories"/>
    <n v="5"/>
    <x v="557"/>
    <x v="3"/>
    <x v="1"/>
    <x v="2"/>
    <n v="93.25"/>
    <x v="13"/>
    <n v="93.25"/>
    <s v="YES"/>
    <s v="NO"/>
    <n v="0"/>
    <s v="NO"/>
  </r>
  <r>
    <n v="100576"/>
    <d v="2024-01-24T23:00:00"/>
    <x v="1"/>
    <s v="SKU-010"/>
    <x v="4"/>
    <s v="Accessories"/>
    <n v="1"/>
    <x v="558"/>
    <x v="0"/>
    <x v="3"/>
    <x v="0"/>
    <n v="117.77"/>
    <x v="435"/>
    <n v="111.8815"/>
    <s v="NO"/>
    <s v="NO"/>
    <n v="111.8815"/>
    <s v="NO"/>
  </r>
  <r>
    <n v="100577"/>
    <d v="2024-01-25T00:00:00"/>
    <x v="0"/>
    <s v="SKU-010"/>
    <x v="0"/>
    <s v="Electronics"/>
    <n v="3"/>
    <x v="559"/>
    <x v="3"/>
    <x v="3"/>
    <x v="0"/>
    <n v="89.070000000000007"/>
    <x v="13"/>
    <n v="89.070000000000007"/>
    <s v="NO"/>
    <s v="NO"/>
    <n v="89.070000000000007"/>
    <s v="NO"/>
  </r>
  <r>
    <n v="100578"/>
    <d v="2024-01-25T01:00:00"/>
    <x v="1"/>
    <s v="SKU-019"/>
    <x v="3"/>
    <s v="Accessories"/>
    <n v="4"/>
    <x v="186"/>
    <x v="0"/>
    <x v="1"/>
    <x v="0"/>
    <n v="50.92"/>
    <x v="436"/>
    <n v="48.374000000000002"/>
    <s v="NO"/>
    <s v="NO"/>
    <n v="48.374000000000002"/>
    <s v="NO"/>
  </r>
  <r>
    <n v="100579"/>
    <d v="2024-01-25T02:00:00"/>
    <x v="1"/>
    <s v="SKU-046"/>
    <x v="0"/>
    <s v="Electronics"/>
    <n v="1"/>
    <x v="560"/>
    <x v="0"/>
    <x v="2"/>
    <x v="2"/>
    <n v="73.41"/>
    <x v="437"/>
    <n v="69.739499999999992"/>
    <s v="YES"/>
    <s v="NO"/>
    <n v="0"/>
    <s v="NO"/>
  </r>
  <r>
    <n v="100580"/>
    <d v="2024-01-25T03:00:00"/>
    <x v="1"/>
    <s v="SKU-034"/>
    <x v="1"/>
    <s v="Electronics"/>
    <n v="3"/>
    <x v="561"/>
    <x v="3"/>
    <x v="3"/>
    <x v="1"/>
    <n v="269.91000000000003"/>
    <x v="13"/>
    <n v="269.91000000000003"/>
    <s v="YES"/>
    <s v="NO"/>
    <n v="-269.91000000000003"/>
    <s v="NO"/>
  </r>
  <r>
    <n v="100581"/>
    <d v="2024-01-25T04:00:00"/>
    <x v="1"/>
    <s v="SKU-033"/>
    <x v="3"/>
    <s v="Electronics"/>
    <n v="4"/>
    <x v="562"/>
    <x v="0"/>
    <x v="1"/>
    <x v="0"/>
    <n v="34.92"/>
    <x v="438"/>
    <n v="33.173999999999999"/>
    <s v="NO"/>
    <s v="NO"/>
    <n v="33.173999999999999"/>
    <s v="NO"/>
  </r>
  <r>
    <n v="100582"/>
    <d v="2024-01-25T05:00:00"/>
    <x v="0"/>
    <s v="SKU-023"/>
    <x v="2"/>
    <s v="Electronics"/>
    <n v="2"/>
    <x v="543"/>
    <x v="1"/>
    <x v="0"/>
    <x v="0"/>
    <n v="161.5"/>
    <x v="439"/>
    <n v="145.35"/>
    <s v="NO"/>
    <s v="NO"/>
    <n v="145.35"/>
    <s v="NO"/>
  </r>
  <r>
    <n v="100583"/>
    <d v="2024-01-25T06:00:00"/>
    <x v="1"/>
    <s v="SKU-028"/>
    <x v="1"/>
    <s v="Electronics"/>
    <n v="3"/>
    <x v="563"/>
    <x v="3"/>
    <x v="1"/>
    <x v="0"/>
    <n v="198.63"/>
    <x v="13"/>
    <n v="198.63"/>
    <s v="NO"/>
    <s v="NO"/>
    <n v="198.63"/>
    <s v="NO"/>
  </r>
  <r>
    <n v="100584"/>
    <d v="2024-01-25T07:00:00"/>
    <x v="1"/>
    <s v="SKU-032"/>
    <x v="1"/>
    <s v="Accessories"/>
    <n v="5"/>
    <x v="564"/>
    <x v="3"/>
    <x v="0"/>
    <x v="2"/>
    <n v="84.399999999999991"/>
    <x v="13"/>
    <n v="84.399999999999991"/>
    <s v="YES"/>
    <s v="NO"/>
    <n v="0"/>
    <s v="NO"/>
  </r>
  <r>
    <n v="100585"/>
    <d v="2024-01-25T08:00:00"/>
    <x v="1"/>
    <s v="SKU-050"/>
    <x v="2"/>
    <s v="Accessories"/>
    <n v="1"/>
    <x v="565"/>
    <x v="0"/>
    <x v="3"/>
    <x v="2"/>
    <n v="24.84"/>
    <x v="440"/>
    <n v="23.597999999999999"/>
    <s v="YES"/>
    <s v="NO"/>
    <n v="0"/>
    <s v="NO"/>
  </r>
  <r>
    <n v="100586"/>
    <d v="2024-01-25T09:00:00"/>
    <x v="0"/>
    <s v="SKU-007"/>
    <x v="1"/>
    <s v="Electronics"/>
    <n v="3"/>
    <x v="566"/>
    <x v="0"/>
    <x v="1"/>
    <x v="0"/>
    <n v="210.96"/>
    <x v="441"/>
    <n v="200.41200000000001"/>
    <s v="NO"/>
    <s v="NO"/>
    <n v="200.41200000000001"/>
    <s v="NO"/>
  </r>
  <r>
    <n v="100587"/>
    <d v="2024-01-25T10:00:00"/>
    <x v="1"/>
    <s v="SKU-029"/>
    <x v="3"/>
    <s v="Accessories"/>
    <n v="3"/>
    <x v="567"/>
    <x v="3"/>
    <x v="1"/>
    <x v="0"/>
    <n v="117.24"/>
    <x v="13"/>
    <n v="117.24"/>
    <s v="NO"/>
    <s v="NO"/>
    <n v="117.24"/>
    <s v="NO"/>
  </r>
  <r>
    <n v="100588"/>
    <d v="2024-01-25T11:00:00"/>
    <x v="0"/>
    <s v="SKU-008"/>
    <x v="0"/>
    <s v="Electronics"/>
    <n v="5"/>
    <x v="568"/>
    <x v="1"/>
    <x v="0"/>
    <x v="0"/>
    <n v="564.54999999999995"/>
    <x v="442"/>
    <n v="508.09500000000003"/>
    <s v="NO"/>
    <s v="NO"/>
    <n v="508.09500000000003"/>
    <s v="YES"/>
  </r>
  <r>
    <n v="100589"/>
    <d v="2024-01-25T12:00:00"/>
    <x v="1"/>
    <s v="SKU-001"/>
    <x v="1"/>
    <s v="Accessories"/>
    <n v="4"/>
    <x v="569"/>
    <x v="0"/>
    <x v="1"/>
    <x v="0"/>
    <n v="396.64"/>
    <x v="443"/>
    <n v="376.80799999999999"/>
    <s v="NO"/>
    <s v="NO"/>
    <n v="376.80799999999999"/>
    <s v="NO"/>
  </r>
  <r>
    <n v="100590"/>
    <d v="2024-01-25T13:00:00"/>
    <x v="0"/>
    <s v="SKU-003"/>
    <x v="3"/>
    <s v="Accessories"/>
    <n v="2"/>
    <x v="570"/>
    <x v="0"/>
    <x v="1"/>
    <x v="0"/>
    <n v="236.22"/>
    <x v="444"/>
    <n v="224.40899999999999"/>
    <s v="NO"/>
    <s v="NO"/>
    <n v="224.40899999999999"/>
    <s v="NO"/>
  </r>
  <r>
    <n v="100591"/>
    <d v="2024-01-25T14:00:00"/>
    <x v="0"/>
    <s v="SKU-024"/>
    <x v="4"/>
    <s v="Accessories"/>
    <n v="5"/>
    <x v="571"/>
    <x v="2"/>
    <x v="3"/>
    <x v="0"/>
    <n v="174.3"/>
    <x v="445"/>
    <n v="148.155"/>
    <s v="NO"/>
    <s v="NO"/>
    <n v="148.155"/>
    <s v="NO"/>
  </r>
  <r>
    <n v="100592"/>
    <d v="2024-01-25T15:00:00"/>
    <x v="1"/>
    <s v="SKU-023"/>
    <x v="3"/>
    <s v="Accessories"/>
    <n v="2"/>
    <x v="572"/>
    <x v="1"/>
    <x v="1"/>
    <x v="0"/>
    <n v="233.04"/>
    <x v="446"/>
    <n v="209.73599999999999"/>
    <s v="NO"/>
    <s v="NO"/>
    <n v="209.73599999999999"/>
    <s v="NO"/>
  </r>
  <r>
    <n v="100593"/>
    <d v="2024-01-25T16:00:00"/>
    <x v="0"/>
    <s v="SKU-008"/>
    <x v="0"/>
    <s v="Electronics"/>
    <n v="4"/>
    <x v="573"/>
    <x v="1"/>
    <x v="2"/>
    <x v="0"/>
    <n v="218.36"/>
    <x v="447"/>
    <n v="196.524"/>
    <s v="NO"/>
    <s v="NO"/>
    <n v="196.524"/>
    <s v="NO"/>
  </r>
  <r>
    <n v="100594"/>
    <d v="2024-01-25T17:00:00"/>
    <x v="1"/>
    <s v="SKU-047"/>
    <x v="3"/>
    <s v="Electronics"/>
    <n v="3"/>
    <x v="574"/>
    <x v="3"/>
    <x v="0"/>
    <x v="2"/>
    <n v="134.88"/>
    <x v="13"/>
    <n v="134.88"/>
    <s v="YES"/>
    <s v="NO"/>
    <n v="0"/>
    <s v="NO"/>
  </r>
  <r>
    <n v="100595"/>
    <d v="2024-01-25T18:00:00"/>
    <x v="1"/>
    <s v="SKU-037"/>
    <x v="2"/>
    <s v="Accessories"/>
    <n v="2"/>
    <x v="575"/>
    <x v="1"/>
    <x v="1"/>
    <x v="0"/>
    <n v="21.58"/>
    <x v="448"/>
    <n v="19.422000000000001"/>
    <s v="NO"/>
    <s v="NO"/>
    <n v="19.422000000000001"/>
    <s v="NO"/>
  </r>
  <r>
    <n v="100596"/>
    <d v="2024-01-25T19:00:00"/>
    <x v="1"/>
    <s v="SKU-003"/>
    <x v="0"/>
    <s v="Accessories"/>
    <n v="1"/>
    <x v="576"/>
    <x v="3"/>
    <x v="0"/>
    <x v="0"/>
    <n v="11.07"/>
    <x v="13"/>
    <n v="11.07"/>
    <s v="NO"/>
    <s v="NO"/>
    <n v="11.07"/>
    <s v="NO"/>
  </r>
  <r>
    <n v="100597"/>
    <d v="2024-01-25T20:00:00"/>
    <x v="0"/>
    <s v="SKU-033"/>
    <x v="4"/>
    <s v="Electronics"/>
    <n v="1"/>
    <x v="577"/>
    <x v="2"/>
    <x v="0"/>
    <x v="0"/>
    <n v="84.58"/>
    <x v="449"/>
    <n v="71.893000000000001"/>
    <s v="NO"/>
    <s v="NO"/>
    <n v="71.893000000000001"/>
    <s v="NO"/>
  </r>
  <r>
    <n v="100598"/>
    <d v="2024-01-25T21:00:00"/>
    <x v="0"/>
    <s v="SKU-028"/>
    <x v="2"/>
    <s v="Accessories"/>
    <n v="5"/>
    <x v="578"/>
    <x v="1"/>
    <x v="0"/>
    <x v="2"/>
    <n v="288.3"/>
    <x v="450"/>
    <n v="259.47000000000003"/>
    <s v="YES"/>
    <s v="NO"/>
    <n v="0"/>
    <s v="NO"/>
  </r>
  <r>
    <n v="100599"/>
    <d v="2024-01-25T22:00:00"/>
    <x v="1"/>
    <s v="SKU-047"/>
    <x v="3"/>
    <s v="Electronics"/>
    <n v="4"/>
    <x v="579"/>
    <x v="0"/>
    <x v="1"/>
    <x v="0"/>
    <n v="124.2"/>
    <x v="451"/>
    <n v="117.99"/>
    <s v="NO"/>
    <s v="NO"/>
    <n v="117.99"/>
    <s v="NO"/>
  </r>
  <r>
    <n v="100600"/>
    <d v="2024-01-25T23:00:00"/>
    <x v="1"/>
    <s v="SKU-008"/>
    <x v="0"/>
    <s v="Electronics"/>
    <n v="5"/>
    <x v="580"/>
    <x v="2"/>
    <x v="1"/>
    <x v="0"/>
    <n v="378.05"/>
    <x v="452"/>
    <n v="321.34249999999997"/>
    <s v="NO"/>
    <s v="NO"/>
    <n v="321.34249999999997"/>
    <s v="NO"/>
  </r>
  <r>
    <n v="100601"/>
    <d v="2024-01-26T00:00:00"/>
    <x v="0"/>
    <s v="SKU-034"/>
    <x v="4"/>
    <s v="Electronics"/>
    <n v="5"/>
    <x v="581"/>
    <x v="3"/>
    <x v="0"/>
    <x v="0"/>
    <n v="170.4"/>
    <x v="13"/>
    <n v="170.4"/>
    <s v="NO"/>
    <s v="NO"/>
    <n v="170.4"/>
    <s v="NO"/>
  </r>
  <r>
    <n v="100602"/>
    <d v="2024-01-26T01:00:00"/>
    <x v="1"/>
    <s v="SKU-035"/>
    <x v="2"/>
    <s v="Accessories"/>
    <n v="5"/>
    <x v="582"/>
    <x v="2"/>
    <x v="2"/>
    <x v="0"/>
    <n v="357.15"/>
    <x v="453"/>
    <n v="303.57749999999999"/>
    <s v="NO"/>
    <s v="NO"/>
    <n v="303.57749999999999"/>
    <s v="NO"/>
  </r>
  <r>
    <n v="100603"/>
    <d v="2024-01-26T02:00:00"/>
    <x v="1"/>
    <s v="SKU-032"/>
    <x v="4"/>
    <s v="Electronics"/>
    <n v="1"/>
    <x v="583"/>
    <x v="3"/>
    <x v="0"/>
    <x v="0"/>
    <n v="46.31"/>
    <x v="13"/>
    <n v="46.31"/>
    <s v="NO"/>
    <s v="NO"/>
    <n v="46.31"/>
    <s v="NO"/>
  </r>
  <r>
    <n v="100604"/>
    <d v="2024-01-26T03:00:00"/>
    <x v="1"/>
    <s v="SKU-024"/>
    <x v="3"/>
    <s v="Accessories"/>
    <n v="1"/>
    <x v="584"/>
    <x v="2"/>
    <x v="2"/>
    <x v="0"/>
    <n v="99.71"/>
    <x v="454"/>
    <n v="84.753500000000003"/>
    <s v="NO"/>
    <s v="NO"/>
    <n v="84.753500000000003"/>
    <s v="NO"/>
  </r>
  <r>
    <n v="100605"/>
    <d v="2024-01-26T04:00:00"/>
    <x v="0"/>
    <s v="SKU-014"/>
    <x v="4"/>
    <s v="Electronics"/>
    <n v="5"/>
    <x v="585"/>
    <x v="3"/>
    <x v="0"/>
    <x v="1"/>
    <n v="496.9"/>
    <x v="13"/>
    <n v="496.9"/>
    <s v="YES"/>
    <s v="NO"/>
    <n v="-496.9"/>
    <s v="NO"/>
  </r>
  <r>
    <n v="100606"/>
    <d v="2024-01-26T05:00:00"/>
    <x v="0"/>
    <s v="SKU-032"/>
    <x v="1"/>
    <s v="Accessories"/>
    <n v="1"/>
    <x v="586"/>
    <x v="1"/>
    <x v="3"/>
    <x v="0"/>
    <n v="59.9"/>
    <x v="455"/>
    <n v="53.91"/>
    <s v="NO"/>
    <s v="NO"/>
    <n v="53.91"/>
    <s v="NO"/>
  </r>
  <r>
    <n v="100607"/>
    <d v="2024-01-26T06:00:00"/>
    <x v="0"/>
    <s v="SKU-046"/>
    <x v="2"/>
    <s v="Accessories"/>
    <n v="4"/>
    <x v="587"/>
    <x v="0"/>
    <x v="0"/>
    <x v="0"/>
    <n v="181.36"/>
    <x v="456"/>
    <n v="172.292"/>
    <s v="NO"/>
    <s v="NO"/>
    <n v="172.292"/>
    <s v="NO"/>
  </r>
  <r>
    <n v="100608"/>
    <d v="2024-01-26T07:00:00"/>
    <x v="1"/>
    <s v="SKU-043"/>
    <x v="4"/>
    <s v="Accessories"/>
    <n v="5"/>
    <x v="588"/>
    <x v="3"/>
    <x v="0"/>
    <x v="0"/>
    <n v="233.45"/>
    <x v="13"/>
    <n v="233.45"/>
    <s v="NO"/>
    <s v="NO"/>
    <n v="233.45"/>
    <s v="NO"/>
  </r>
  <r>
    <n v="100609"/>
    <d v="2024-01-26T08:00:00"/>
    <x v="1"/>
    <s v="SKU-016"/>
    <x v="3"/>
    <s v="Electronics"/>
    <n v="1"/>
    <x v="589"/>
    <x v="2"/>
    <x v="1"/>
    <x v="0"/>
    <n v="97.66"/>
    <x v="457"/>
    <n v="83.010999999999996"/>
    <s v="NO"/>
    <s v="NO"/>
    <n v="83.010999999999996"/>
    <s v="NO"/>
  </r>
  <r>
    <n v="100610"/>
    <d v="2024-01-26T09:00:00"/>
    <x v="1"/>
    <s v="SKU-004"/>
    <x v="3"/>
    <s v="Electronics"/>
    <n v="2"/>
    <x v="590"/>
    <x v="3"/>
    <x v="2"/>
    <x v="0"/>
    <n v="85.48"/>
    <x v="13"/>
    <n v="85.48"/>
    <s v="NO"/>
    <s v="NO"/>
    <n v="85.48"/>
    <s v="NO"/>
  </r>
  <r>
    <n v="100611"/>
    <d v="2024-01-26T10:00:00"/>
    <x v="0"/>
    <s v="SKU-037"/>
    <x v="4"/>
    <s v="Accessories"/>
    <n v="5"/>
    <x v="591"/>
    <x v="3"/>
    <x v="3"/>
    <x v="0"/>
    <n v="145.19999999999999"/>
    <x v="13"/>
    <n v="145.19999999999999"/>
    <s v="NO"/>
    <s v="NO"/>
    <n v="145.19999999999999"/>
    <s v="NO"/>
  </r>
  <r>
    <n v="100612"/>
    <d v="2024-01-26T11:00:00"/>
    <x v="1"/>
    <s v="SKU-021"/>
    <x v="3"/>
    <s v="Accessories"/>
    <n v="5"/>
    <x v="592"/>
    <x v="3"/>
    <x v="2"/>
    <x v="0"/>
    <n v="73.7"/>
    <x v="13"/>
    <n v="73.7"/>
    <s v="NO"/>
    <s v="NO"/>
    <n v="73.7"/>
    <s v="NO"/>
  </r>
  <r>
    <n v="100613"/>
    <d v="2024-01-26T12:00:00"/>
    <x v="1"/>
    <s v="SKU-014"/>
    <x v="0"/>
    <s v="Accessories"/>
    <n v="4"/>
    <x v="593"/>
    <x v="2"/>
    <x v="3"/>
    <x v="0"/>
    <n v="234.68"/>
    <x v="458"/>
    <n v="199.47800000000001"/>
    <s v="NO"/>
    <s v="NO"/>
    <n v="199.47800000000001"/>
    <s v="NO"/>
  </r>
  <r>
    <n v="100614"/>
    <d v="2024-01-26T13:00:00"/>
    <x v="1"/>
    <s v="SKU-031"/>
    <x v="0"/>
    <s v="Electronics"/>
    <n v="3"/>
    <x v="594"/>
    <x v="0"/>
    <x v="0"/>
    <x v="0"/>
    <n v="181.35"/>
    <x v="459"/>
    <n v="172.2825"/>
    <s v="NO"/>
    <s v="NO"/>
    <n v="172.2825"/>
    <s v="NO"/>
  </r>
  <r>
    <n v="100615"/>
    <d v="2024-01-26T14:00:00"/>
    <x v="1"/>
    <s v="SKU-048"/>
    <x v="0"/>
    <s v="Electronics"/>
    <n v="3"/>
    <x v="595"/>
    <x v="1"/>
    <x v="1"/>
    <x v="0"/>
    <n v="305.10000000000002"/>
    <x v="460"/>
    <n v="274.58999999999997"/>
    <s v="NO"/>
    <s v="NO"/>
    <n v="274.58999999999997"/>
    <s v="NO"/>
  </r>
  <r>
    <n v="100616"/>
    <d v="2024-01-26T15:00:00"/>
    <x v="0"/>
    <s v="SKU-018"/>
    <x v="1"/>
    <s v="Electronics"/>
    <n v="4"/>
    <x v="596"/>
    <x v="0"/>
    <x v="1"/>
    <x v="0"/>
    <n v="121.76"/>
    <x v="461"/>
    <n v="115.672"/>
    <s v="NO"/>
    <s v="NO"/>
    <n v="115.672"/>
    <s v="NO"/>
  </r>
  <r>
    <n v="100617"/>
    <d v="2024-01-26T16:00:00"/>
    <x v="0"/>
    <s v="SKU-007"/>
    <x v="4"/>
    <s v="Electronics"/>
    <n v="4"/>
    <x v="597"/>
    <x v="3"/>
    <x v="2"/>
    <x v="2"/>
    <n v="195.24"/>
    <x v="13"/>
    <n v="195.24"/>
    <s v="YES"/>
    <s v="NO"/>
    <n v="0"/>
    <s v="NO"/>
  </r>
  <r>
    <n v="100618"/>
    <d v="2024-01-26T17:00:00"/>
    <x v="1"/>
    <s v="SKU-010"/>
    <x v="1"/>
    <s v="Accessories"/>
    <n v="4"/>
    <x v="598"/>
    <x v="2"/>
    <x v="1"/>
    <x v="0"/>
    <n v="391.88"/>
    <x v="462"/>
    <n v="333.09800000000001"/>
    <s v="NO"/>
    <s v="NO"/>
    <n v="333.09800000000001"/>
    <s v="NO"/>
  </r>
  <r>
    <n v="100619"/>
    <d v="2024-01-26T18:00:00"/>
    <x v="0"/>
    <s v="SKU-007"/>
    <x v="3"/>
    <s v="Accessories"/>
    <n v="3"/>
    <x v="599"/>
    <x v="0"/>
    <x v="2"/>
    <x v="0"/>
    <n v="299.16000000000003"/>
    <x v="212"/>
    <n v="284.202"/>
    <s v="NO"/>
    <s v="NO"/>
    <n v="284.202"/>
    <s v="NO"/>
  </r>
  <r>
    <n v="100620"/>
    <d v="2024-01-26T19:00:00"/>
    <x v="0"/>
    <s v="SKU-033"/>
    <x v="1"/>
    <s v="Electronics"/>
    <n v="4"/>
    <x v="600"/>
    <x v="3"/>
    <x v="2"/>
    <x v="0"/>
    <n v="196.92"/>
    <x v="13"/>
    <n v="196.92"/>
    <s v="NO"/>
    <s v="NO"/>
    <n v="196.92"/>
    <s v="NO"/>
  </r>
  <r>
    <n v="100621"/>
    <d v="2024-01-26T20:00:00"/>
    <x v="1"/>
    <s v="SKU-023"/>
    <x v="3"/>
    <s v="Electronics"/>
    <n v="1"/>
    <x v="601"/>
    <x v="1"/>
    <x v="3"/>
    <x v="0"/>
    <n v="57.8"/>
    <x v="463"/>
    <n v="52.02"/>
    <s v="NO"/>
    <s v="NO"/>
    <n v="52.02"/>
    <s v="NO"/>
  </r>
  <r>
    <n v="100622"/>
    <d v="2024-01-26T21:00:00"/>
    <x v="1"/>
    <s v="SKU-021"/>
    <x v="3"/>
    <s v="Accessories"/>
    <n v="5"/>
    <x v="602"/>
    <x v="1"/>
    <x v="2"/>
    <x v="0"/>
    <n v="199.4"/>
    <x v="464"/>
    <n v="179.46"/>
    <s v="NO"/>
    <s v="NO"/>
    <n v="179.46"/>
    <s v="NO"/>
  </r>
  <r>
    <n v="100623"/>
    <d v="2024-01-26T22:00:00"/>
    <x v="0"/>
    <s v="SKU-019"/>
    <x v="2"/>
    <s v="Electronics"/>
    <n v="5"/>
    <x v="603"/>
    <x v="1"/>
    <x v="3"/>
    <x v="1"/>
    <n v="561.19999999999993"/>
    <x v="465"/>
    <n v="505.07999999999993"/>
    <s v="YES"/>
    <s v="NO"/>
    <n v="-505.07999999999993"/>
    <s v="YES"/>
  </r>
  <r>
    <n v="100624"/>
    <d v="2024-01-26T23:00:00"/>
    <x v="1"/>
    <s v="SKU-048"/>
    <x v="0"/>
    <s v="Electronics"/>
    <n v="2"/>
    <x v="604"/>
    <x v="3"/>
    <x v="1"/>
    <x v="0"/>
    <n v="37.28"/>
    <x v="13"/>
    <n v="37.28"/>
    <s v="NO"/>
    <s v="NO"/>
    <n v="37.28"/>
    <s v="NO"/>
  </r>
  <r>
    <n v="100625"/>
    <d v="2024-01-27T00:00:00"/>
    <x v="0"/>
    <s v="SKU-019"/>
    <x v="3"/>
    <s v="Electronics"/>
    <n v="2"/>
    <x v="605"/>
    <x v="2"/>
    <x v="2"/>
    <x v="0"/>
    <n v="224.76"/>
    <x v="466"/>
    <n v="191.04599999999999"/>
    <s v="NO"/>
    <s v="NO"/>
    <n v="191.04599999999999"/>
    <s v="NO"/>
  </r>
  <r>
    <n v="100626"/>
    <d v="2024-01-27T01:00:00"/>
    <x v="1"/>
    <s v="SKU-036"/>
    <x v="2"/>
    <s v="Electronics"/>
    <n v="5"/>
    <x v="606"/>
    <x v="0"/>
    <x v="2"/>
    <x v="0"/>
    <n v="418.2"/>
    <x v="467"/>
    <n v="397.29"/>
    <s v="NO"/>
    <s v="NO"/>
    <n v="397.29"/>
    <s v="NO"/>
  </r>
  <r>
    <n v="100627"/>
    <d v="2024-01-27T02:00:00"/>
    <x v="0"/>
    <s v="SKU-029"/>
    <x v="0"/>
    <s v="Electronics"/>
    <n v="1"/>
    <x v="607"/>
    <x v="1"/>
    <x v="0"/>
    <x v="0"/>
    <n v="66.13"/>
    <x v="468"/>
    <n v="59.517000000000003"/>
    <s v="NO"/>
    <s v="NO"/>
    <n v="59.517000000000003"/>
    <s v="NO"/>
  </r>
  <r>
    <n v="100628"/>
    <d v="2024-01-27T03:00:00"/>
    <x v="1"/>
    <s v="SKU-018"/>
    <x v="3"/>
    <s v="Electronics"/>
    <n v="3"/>
    <x v="608"/>
    <x v="3"/>
    <x v="2"/>
    <x v="0"/>
    <n v="26.28"/>
    <x v="13"/>
    <n v="26.28"/>
    <s v="NO"/>
    <s v="NO"/>
    <n v="26.28"/>
    <s v="NO"/>
  </r>
  <r>
    <n v="100629"/>
    <d v="2024-01-27T04:00:00"/>
    <x v="0"/>
    <s v="SKU-002"/>
    <x v="3"/>
    <s v="Accessories"/>
    <n v="3"/>
    <x v="609"/>
    <x v="3"/>
    <x v="2"/>
    <x v="0"/>
    <n v="179.07"/>
    <x v="13"/>
    <n v="179.07"/>
    <s v="NO"/>
    <s v="NO"/>
    <n v="179.07"/>
    <s v="NO"/>
  </r>
  <r>
    <n v="100630"/>
    <d v="2024-01-27T05:00:00"/>
    <x v="0"/>
    <s v="SKU-001"/>
    <x v="1"/>
    <s v="Electronics"/>
    <n v="1"/>
    <x v="610"/>
    <x v="0"/>
    <x v="0"/>
    <x v="0"/>
    <n v="51.89"/>
    <x v="469"/>
    <n v="49.295499999999997"/>
    <s v="NO"/>
    <s v="NO"/>
    <n v="49.295499999999997"/>
    <s v="NO"/>
  </r>
  <r>
    <n v="100631"/>
    <d v="2024-01-27T06:00:00"/>
    <x v="0"/>
    <s v="SKU-047"/>
    <x v="1"/>
    <s v="Electronics"/>
    <n v="3"/>
    <x v="611"/>
    <x v="1"/>
    <x v="0"/>
    <x v="1"/>
    <n v="70.62"/>
    <x v="470"/>
    <n v="63.558000000000007"/>
    <s v="YES"/>
    <s v="NO"/>
    <n v="-63.558000000000007"/>
    <s v="NO"/>
  </r>
  <r>
    <n v="100632"/>
    <d v="2024-01-27T07:00:00"/>
    <x v="1"/>
    <s v="SKU-005"/>
    <x v="0"/>
    <s v="Accessories"/>
    <n v="4"/>
    <x v="612"/>
    <x v="3"/>
    <x v="1"/>
    <x v="0"/>
    <n v="321.95999999999998"/>
    <x v="13"/>
    <n v="321.95999999999998"/>
    <s v="NO"/>
    <s v="NO"/>
    <n v="321.95999999999998"/>
    <s v="NO"/>
  </r>
  <r>
    <n v="100633"/>
    <d v="2024-01-27T08:00:00"/>
    <x v="0"/>
    <s v="SKU-020"/>
    <x v="3"/>
    <s v="Accessories"/>
    <n v="5"/>
    <x v="613"/>
    <x v="0"/>
    <x v="2"/>
    <x v="0"/>
    <n v="583.40000000000009"/>
    <x v="471"/>
    <n v="554.23000000000013"/>
    <s v="NO"/>
    <s v="NO"/>
    <n v="554.23000000000013"/>
    <s v="YES"/>
  </r>
  <r>
    <n v="100634"/>
    <d v="2024-01-27T09:00:00"/>
    <x v="0"/>
    <s v="SKU-011"/>
    <x v="4"/>
    <s v="Accessories"/>
    <n v="5"/>
    <x v="614"/>
    <x v="2"/>
    <x v="1"/>
    <x v="0"/>
    <n v="348.25"/>
    <x v="472"/>
    <n v="296.01249999999999"/>
    <s v="NO"/>
    <s v="NO"/>
    <n v="296.01249999999999"/>
    <s v="NO"/>
  </r>
  <r>
    <n v="100635"/>
    <d v="2024-01-27T10:00:00"/>
    <x v="1"/>
    <s v="SKU-042"/>
    <x v="1"/>
    <s v="Electronics"/>
    <n v="1"/>
    <x v="615"/>
    <x v="2"/>
    <x v="1"/>
    <x v="0"/>
    <n v="87.2"/>
    <x v="473"/>
    <n v="74.12"/>
    <s v="NO"/>
    <s v="NO"/>
    <n v="74.12"/>
    <s v="NO"/>
  </r>
  <r>
    <n v="100636"/>
    <d v="2024-01-27T11:00:00"/>
    <x v="1"/>
    <s v="SKU-002"/>
    <x v="0"/>
    <s v="Accessories"/>
    <n v="3"/>
    <x v="616"/>
    <x v="2"/>
    <x v="0"/>
    <x v="0"/>
    <n v="38.61"/>
    <x v="474"/>
    <n v="32.8185"/>
    <s v="NO"/>
    <s v="NO"/>
    <n v="32.8185"/>
    <s v="NO"/>
  </r>
  <r>
    <n v="100637"/>
    <d v="2024-01-27T12:00:00"/>
    <x v="0"/>
    <s v="SKU-003"/>
    <x v="3"/>
    <s v="Electronics"/>
    <n v="2"/>
    <x v="617"/>
    <x v="1"/>
    <x v="3"/>
    <x v="0"/>
    <n v="106.06"/>
    <x v="475"/>
    <n v="95.454000000000008"/>
    <s v="NO"/>
    <s v="NO"/>
    <n v="95.454000000000008"/>
    <s v="NO"/>
  </r>
  <r>
    <n v="100638"/>
    <d v="2024-01-27T13:00:00"/>
    <x v="0"/>
    <s v="SKU-023"/>
    <x v="3"/>
    <s v="Electronics"/>
    <n v="2"/>
    <x v="618"/>
    <x v="0"/>
    <x v="1"/>
    <x v="2"/>
    <n v="36.76"/>
    <x v="476"/>
    <n v="34.921999999999997"/>
    <s v="YES"/>
    <s v="NO"/>
    <n v="0"/>
    <s v="NO"/>
  </r>
  <r>
    <n v="100639"/>
    <d v="2024-01-27T14:00:00"/>
    <x v="1"/>
    <s v="SKU-012"/>
    <x v="4"/>
    <s v="Electronics"/>
    <n v="3"/>
    <x v="619"/>
    <x v="0"/>
    <x v="3"/>
    <x v="1"/>
    <n v="226.41"/>
    <x v="477"/>
    <n v="215.08949999999999"/>
    <s v="YES"/>
    <s v="NO"/>
    <n v="-215.08949999999999"/>
    <s v="NO"/>
  </r>
  <r>
    <n v="100640"/>
    <d v="2024-01-27T15:00:00"/>
    <x v="1"/>
    <s v="SKU-020"/>
    <x v="0"/>
    <s v="Accessories"/>
    <n v="2"/>
    <x v="620"/>
    <x v="3"/>
    <x v="2"/>
    <x v="1"/>
    <n v="225.86"/>
    <x v="13"/>
    <n v="225.86"/>
    <s v="YES"/>
    <s v="NO"/>
    <n v="-225.86"/>
    <s v="NO"/>
  </r>
  <r>
    <n v="100641"/>
    <d v="2024-01-27T16:00:00"/>
    <x v="1"/>
    <s v="SKU-005"/>
    <x v="3"/>
    <s v="Accessories"/>
    <n v="1"/>
    <x v="621"/>
    <x v="3"/>
    <x v="0"/>
    <x v="0"/>
    <n v="81.099999999999994"/>
    <x v="13"/>
    <n v="81.099999999999994"/>
    <s v="NO"/>
    <s v="NO"/>
    <n v="81.099999999999994"/>
    <s v="NO"/>
  </r>
  <r>
    <n v="100642"/>
    <d v="2024-01-27T17:00:00"/>
    <x v="1"/>
    <s v="SKU-037"/>
    <x v="1"/>
    <s v="Accessories"/>
    <n v="1"/>
    <x v="622"/>
    <x v="3"/>
    <x v="2"/>
    <x v="0"/>
    <n v="13.83"/>
    <x v="13"/>
    <n v="13.83"/>
    <s v="NO"/>
    <s v="NO"/>
    <n v="13.83"/>
    <s v="NO"/>
  </r>
  <r>
    <n v="100643"/>
    <d v="2024-01-27T18:00:00"/>
    <x v="1"/>
    <s v="SKU-038"/>
    <x v="4"/>
    <s v="Accessories"/>
    <n v="3"/>
    <x v="623"/>
    <x v="0"/>
    <x v="2"/>
    <x v="0"/>
    <n v="137.37"/>
    <x v="478"/>
    <n v="130.50149999999999"/>
    <s v="NO"/>
    <s v="NO"/>
    <n v="130.50149999999999"/>
    <s v="NO"/>
  </r>
  <r>
    <n v="100644"/>
    <d v="2024-01-27T19:00:00"/>
    <x v="0"/>
    <s v="SKU-030"/>
    <x v="0"/>
    <s v="Accessories"/>
    <n v="2"/>
    <x v="624"/>
    <x v="3"/>
    <x v="0"/>
    <x v="0"/>
    <n v="136.66"/>
    <x v="13"/>
    <n v="136.66"/>
    <s v="NO"/>
    <s v="NO"/>
    <n v="136.66"/>
    <s v="NO"/>
  </r>
  <r>
    <n v="100645"/>
    <d v="2024-01-27T20:00:00"/>
    <x v="1"/>
    <s v="SKU-009"/>
    <x v="4"/>
    <s v="Electronics"/>
    <n v="1"/>
    <x v="625"/>
    <x v="0"/>
    <x v="2"/>
    <x v="0"/>
    <n v="51.37"/>
    <x v="479"/>
    <n v="48.801499999999997"/>
    <s v="NO"/>
    <s v="NO"/>
    <n v="48.801499999999997"/>
    <s v="NO"/>
  </r>
  <r>
    <n v="100646"/>
    <d v="2024-01-27T21:00:00"/>
    <x v="0"/>
    <s v="SKU-034"/>
    <x v="1"/>
    <s v="Electronics"/>
    <n v="1"/>
    <x v="626"/>
    <x v="0"/>
    <x v="0"/>
    <x v="0"/>
    <n v="100.87"/>
    <x v="480"/>
    <n v="95.82650000000001"/>
    <s v="NO"/>
    <s v="NO"/>
    <n v="95.82650000000001"/>
    <s v="NO"/>
  </r>
  <r>
    <n v="100647"/>
    <d v="2024-01-27T22:00:00"/>
    <x v="0"/>
    <s v="SKU-044"/>
    <x v="0"/>
    <s v="Electronics"/>
    <n v="4"/>
    <x v="627"/>
    <x v="2"/>
    <x v="3"/>
    <x v="0"/>
    <n v="394.76"/>
    <x v="481"/>
    <n v="335.54599999999999"/>
    <s v="NO"/>
    <s v="NO"/>
    <n v="335.54599999999999"/>
    <s v="NO"/>
  </r>
  <r>
    <n v="100648"/>
    <d v="2024-01-27T23:00:00"/>
    <x v="0"/>
    <s v="SKU-035"/>
    <x v="4"/>
    <s v="Electronics"/>
    <n v="4"/>
    <x v="628"/>
    <x v="3"/>
    <x v="2"/>
    <x v="0"/>
    <n v="301.44"/>
    <x v="13"/>
    <n v="301.44"/>
    <s v="NO"/>
    <s v="NO"/>
    <n v="301.44"/>
    <s v="NO"/>
  </r>
  <r>
    <n v="100649"/>
    <d v="2024-01-28T00:00:00"/>
    <x v="1"/>
    <s v="SKU-022"/>
    <x v="2"/>
    <s v="Accessories"/>
    <n v="1"/>
    <x v="629"/>
    <x v="2"/>
    <x v="0"/>
    <x v="0"/>
    <n v="47.95"/>
    <x v="482"/>
    <n v="40.7575"/>
    <s v="NO"/>
    <s v="NO"/>
    <n v="40.7575"/>
    <s v="NO"/>
  </r>
  <r>
    <n v="100650"/>
    <d v="2024-01-28T01:00:00"/>
    <x v="0"/>
    <s v="SKU-044"/>
    <x v="1"/>
    <s v="Accessories"/>
    <n v="3"/>
    <x v="630"/>
    <x v="1"/>
    <x v="1"/>
    <x v="0"/>
    <n v="103.08"/>
    <x v="483"/>
    <n v="92.771999999999991"/>
    <s v="NO"/>
    <s v="NO"/>
    <n v="92.771999999999991"/>
    <s v="NO"/>
  </r>
  <r>
    <n v="100651"/>
    <d v="2024-01-28T02:00:00"/>
    <x v="0"/>
    <s v="SKU-024"/>
    <x v="1"/>
    <s v="Electronics"/>
    <n v="5"/>
    <x v="631"/>
    <x v="1"/>
    <x v="2"/>
    <x v="0"/>
    <n v="85.9"/>
    <x v="484"/>
    <n v="77.31"/>
    <s v="NO"/>
    <s v="NO"/>
    <n v="77.31"/>
    <s v="NO"/>
  </r>
  <r>
    <n v="100652"/>
    <d v="2024-01-28T03:00:00"/>
    <x v="1"/>
    <s v="SKU-017"/>
    <x v="1"/>
    <s v="Accessories"/>
    <n v="5"/>
    <x v="632"/>
    <x v="1"/>
    <x v="3"/>
    <x v="0"/>
    <n v="229.05"/>
    <x v="485"/>
    <n v="206.14500000000001"/>
    <s v="NO"/>
    <s v="NO"/>
    <n v="206.14500000000001"/>
    <s v="NO"/>
  </r>
  <r>
    <n v="100653"/>
    <d v="2024-01-28T04:00:00"/>
    <x v="0"/>
    <s v="SKU-010"/>
    <x v="2"/>
    <s v="Accessories"/>
    <n v="1"/>
    <x v="633"/>
    <x v="0"/>
    <x v="0"/>
    <x v="0"/>
    <n v="52.51"/>
    <x v="486"/>
    <n v="49.884500000000003"/>
    <s v="NO"/>
    <s v="NO"/>
    <n v="49.884500000000003"/>
    <s v="NO"/>
  </r>
  <r>
    <n v="100654"/>
    <d v="2024-01-28T05:00:00"/>
    <x v="0"/>
    <s v="SKU-030"/>
    <x v="2"/>
    <s v="Electronics"/>
    <n v="1"/>
    <x v="634"/>
    <x v="0"/>
    <x v="2"/>
    <x v="0"/>
    <n v="82.72"/>
    <x v="487"/>
    <n v="78.584000000000003"/>
    <s v="NO"/>
    <s v="NO"/>
    <n v="78.584000000000003"/>
    <s v="NO"/>
  </r>
  <r>
    <n v="100655"/>
    <d v="2024-01-28T06:00:00"/>
    <x v="1"/>
    <s v="SKU-046"/>
    <x v="3"/>
    <s v="Electronics"/>
    <n v="1"/>
    <x v="635"/>
    <x v="0"/>
    <x v="2"/>
    <x v="0"/>
    <n v="80.69"/>
    <x v="488"/>
    <n v="76.655500000000004"/>
    <s v="NO"/>
    <s v="NO"/>
    <n v="76.655500000000004"/>
    <s v="NO"/>
  </r>
  <r>
    <n v="100656"/>
    <d v="2024-01-28T07:00:00"/>
    <x v="0"/>
    <s v="SKU-023"/>
    <x v="4"/>
    <s v="Accessories"/>
    <n v="3"/>
    <x v="636"/>
    <x v="3"/>
    <x v="2"/>
    <x v="0"/>
    <n v="39.18"/>
    <x v="13"/>
    <n v="39.18"/>
    <s v="NO"/>
    <s v="NO"/>
    <n v="39.18"/>
    <s v="NO"/>
  </r>
  <r>
    <n v="100657"/>
    <d v="2024-01-28T08:00:00"/>
    <x v="0"/>
    <s v="SKU-032"/>
    <x v="3"/>
    <s v="Accessories"/>
    <n v="4"/>
    <x v="637"/>
    <x v="2"/>
    <x v="3"/>
    <x v="0"/>
    <n v="201.8"/>
    <x v="489"/>
    <n v="171.53"/>
    <s v="NO"/>
    <s v="NO"/>
    <n v="171.53"/>
    <s v="NO"/>
  </r>
  <r>
    <n v="100658"/>
    <d v="2024-01-28T09:00:00"/>
    <x v="0"/>
    <s v="SKU-017"/>
    <x v="4"/>
    <s v="Electronics"/>
    <n v="1"/>
    <x v="638"/>
    <x v="0"/>
    <x v="0"/>
    <x v="0"/>
    <n v="25.9"/>
    <x v="490"/>
    <n v="24.605"/>
    <s v="NO"/>
    <s v="NO"/>
    <n v="24.605"/>
    <s v="NO"/>
  </r>
  <r>
    <n v="100659"/>
    <d v="2024-01-28T10:00:00"/>
    <x v="1"/>
    <s v="SKU-050"/>
    <x v="2"/>
    <s v="Electronics"/>
    <n v="1"/>
    <x v="639"/>
    <x v="2"/>
    <x v="1"/>
    <x v="0"/>
    <n v="23.03"/>
    <x v="491"/>
    <n v="19.575500000000002"/>
    <s v="NO"/>
    <s v="NO"/>
    <n v="19.575500000000002"/>
    <s v="NO"/>
  </r>
  <r>
    <n v="100660"/>
    <d v="2024-01-28T11:00:00"/>
    <x v="1"/>
    <s v="SKU-017"/>
    <x v="2"/>
    <s v="Electronics"/>
    <n v="2"/>
    <x v="640"/>
    <x v="2"/>
    <x v="1"/>
    <x v="0"/>
    <n v="200.28"/>
    <x v="492"/>
    <n v="170.238"/>
    <s v="NO"/>
    <s v="NO"/>
    <n v="170.238"/>
    <s v="NO"/>
  </r>
  <r>
    <n v="100661"/>
    <d v="2024-01-28T12:00:00"/>
    <x v="1"/>
    <s v="SKU-014"/>
    <x v="3"/>
    <s v="Accessories"/>
    <n v="3"/>
    <x v="641"/>
    <x v="2"/>
    <x v="1"/>
    <x v="0"/>
    <n v="29.46"/>
    <x v="493"/>
    <n v="25.041"/>
    <s v="NO"/>
    <s v="NO"/>
    <n v="25.041"/>
    <s v="NO"/>
  </r>
  <r>
    <n v="100662"/>
    <d v="2024-01-28T13:00:00"/>
    <x v="0"/>
    <s v="SKU-009"/>
    <x v="0"/>
    <s v="Electronics"/>
    <n v="1"/>
    <x v="642"/>
    <x v="3"/>
    <x v="0"/>
    <x v="0"/>
    <n v="53.21"/>
    <x v="13"/>
    <n v="53.21"/>
    <s v="NO"/>
    <s v="NO"/>
    <n v="53.21"/>
    <s v="NO"/>
  </r>
  <r>
    <n v="100663"/>
    <d v="2024-01-28T14:00:00"/>
    <x v="0"/>
    <s v="SKU-040"/>
    <x v="3"/>
    <s v="Electronics"/>
    <n v="2"/>
    <x v="643"/>
    <x v="3"/>
    <x v="1"/>
    <x v="1"/>
    <n v="48.68"/>
    <x v="13"/>
    <n v="48.68"/>
    <s v="YES"/>
    <s v="NO"/>
    <n v="-48.68"/>
    <s v="NO"/>
  </r>
  <r>
    <n v="100664"/>
    <d v="2024-01-28T15:00:00"/>
    <x v="1"/>
    <s v="SKU-002"/>
    <x v="4"/>
    <s v="Accessories"/>
    <n v="5"/>
    <x v="644"/>
    <x v="1"/>
    <x v="3"/>
    <x v="0"/>
    <n v="530.6"/>
    <x v="494"/>
    <n v="477.54"/>
    <s v="NO"/>
    <s v="NO"/>
    <n v="477.54"/>
    <s v="YES"/>
  </r>
  <r>
    <n v="100665"/>
    <d v="2024-01-28T16:00:00"/>
    <x v="0"/>
    <s v="SKU-045"/>
    <x v="3"/>
    <s v="Accessories"/>
    <n v="1"/>
    <x v="645"/>
    <x v="1"/>
    <x v="0"/>
    <x v="0"/>
    <n v="69.06"/>
    <x v="495"/>
    <n v="62.154000000000003"/>
    <s v="NO"/>
    <s v="NO"/>
    <n v="62.154000000000003"/>
    <s v="NO"/>
  </r>
  <r>
    <n v="100666"/>
    <d v="2024-01-28T17:00:00"/>
    <x v="0"/>
    <s v="SKU-025"/>
    <x v="1"/>
    <s v="Accessories"/>
    <n v="1"/>
    <x v="646"/>
    <x v="2"/>
    <x v="2"/>
    <x v="0"/>
    <n v="31.61"/>
    <x v="496"/>
    <n v="26.868500000000001"/>
    <s v="NO"/>
    <s v="NO"/>
    <n v="26.868500000000001"/>
    <s v="NO"/>
  </r>
  <r>
    <n v="100667"/>
    <d v="2024-01-28T18:00:00"/>
    <x v="1"/>
    <s v="SKU-039"/>
    <x v="4"/>
    <s v="Accessories"/>
    <n v="2"/>
    <x v="647"/>
    <x v="1"/>
    <x v="3"/>
    <x v="0"/>
    <n v="125.56"/>
    <x v="497"/>
    <n v="113.004"/>
    <s v="NO"/>
    <s v="NO"/>
    <n v="113.004"/>
    <s v="NO"/>
  </r>
  <r>
    <n v="100668"/>
    <d v="2024-01-28T19:00:00"/>
    <x v="1"/>
    <s v="SKU-009"/>
    <x v="4"/>
    <s v="Accessories"/>
    <n v="3"/>
    <x v="648"/>
    <x v="2"/>
    <x v="2"/>
    <x v="0"/>
    <n v="267.36"/>
    <x v="498"/>
    <n v="227.256"/>
    <s v="NO"/>
    <s v="NO"/>
    <n v="227.256"/>
    <s v="NO"/>
  </r>
  <r>
    <n v="100669"/>
    <d v="2024-01-28T20:00:00"/>
    <x v="0"/>
    <s v="SKU-022"/>
    <x v="0"/>
    <s v="Electronics"/>
    <n v="1"/>
    <x v="649"/>
    <x v="3"/>
    <x v="1"/>
    <x v="0"/>
    <n v="115.18"/>
    <x v="13"/>
    <n v="115.18"/>
    <s v="NO"/>
    <s v="NO"/>
    <n v="115.18"/>
    <s v="NO"/>
  </r>
  <r>
    <n v="100670"/>
    <d v="2024-01-28T21:00:00"/>
    <x v="0"/>
    <s v="SKU-043"/>
    <x v="2"/>
    <s v="Electronics"/>
    <n v="5"/>
    <x v="650"/>
    <x v="3"/>
    <x v="3"/>
    <x v="2"/>
    <n v="151.75"/>
    <x v="13"/>
    <n v="151.75"/>
    <s v="YES"/>
    <s v="NO"/>
    <n v="0"/>
    <s v="NO"/>
  </r>
  <r>
    <n v="100671"/>
    <d v="2024-01-28T22:00:00"/>
    <x v="0"/>
    <s v="SKU-046"/>
    <x v="4"/>
    <s v="Accessories"/>
    <n v="1"/>
    <x v="651"/>
    <x v="3"/>
    <x v="0"/>
    <x v="0"/>
    <n v="106.91"/>
    <x v="13"/>
    <n v="106.91"/>
    <s v="NO"/>
    <s v="NO"/>
    <n v="106.91"/>
    <s v="NO"/>
  </r>
  <r>
    <n v="100672"/>
    <d v="2024-01-28T23:00:00"/>
    <x v="1"/>
    <s v="SKU-004"/>
    <x v="2"/>
    <s v="Accessories"/>
    <n v="5"/>
    <x v="652"/>
    <x v="0"/>
    <x v="3"/>
    <x v="0"/>
    <n v="562.20000000000005"/>
    <x v="499"/>
    <n v="534.09"/>
    <s v="NO"/>
    <s v="NO"/>
    <n v="534.09"/>
    <s v="YES"/>
  </r>
  <r>
    <n v="100673"/>
    <d v="2024-01-29T00:00:00"/>
    <x v="1"/>
    <s v="SKU-026"/>
    <x v="3"/>
    <s v="Accessories"/>
    <n v="4"/>
    <x v="653"/>
    <x v="2"/>
    <x v="2"/>
    <x v="0"/>
    <n v="441.56"/>
    <x v="500"/>
    <n v="375.32600000000002"/>
    <s v="NO"/>
    <s v="NO"/>
    <n v="375.32600000000002"/>
    <s v="NO"/>
  </r>
  <r>
    <n v="100674"/>
    <d v="2024-01-29T01:00:00"/>
    <x v="1"/>
    <s v="SKU-029"/>
    <x v="1"/>
    <s v="Accessories"/>
    <n v="4"/>
    <x v="654"/>
    <x v="3"/>
    <x v="0"/>
    <x v="1"/>
    <n v="312.27999999999997"/>
    <x v="13"/>
    <n v="312.27999999999997"/>
    <s v="YES"/>
    <s v="NO"/>
    <n v="-312.27999999999997"/>
    <s v="NO"/>
  </r>
  <r>
    <n v="100675"/>
    <d v="2024-01-29T02:00:00"/>
    <x v="1"/>
    <s v="SKU-045"/>
    <x v="0"/>
    <s v="Accessories"/>
    <n v="5"/>
    <x v="655"/>
    <x v="2"/>
    <x v="3"/>
    <x v="0"/>
    <n v="387.15"/>
    <x v="501"/>
    <n v="329.07749999999999"/>
    <s v="NO"/>
    <s v="NO"/>
    <n v="329.07749999999999"/>
    <s v="NO"/>
  </r>
  <r>
    <n v="100676"/>
    <d v="2024-01-29T03:00:00"/>
    <x v="0"/>
    <s v="SKU-034"/>
    <x v="2"/>
    <s v="Electronics"/>
    <n v="3"/>
    <x v="625"/>
    <x v="1"/>
    <x v="3"/>
    <x v="0"/>
    <n v="154.11000000000001"/>
    <x v="502"/>
    <n v="138.69900000000001"/>
    <s v="NO"/>
    <s v="NO"/>
    <n v="138.69900000000001"/>
    <s v="NO"/>
  </r>
  <r>
    <n v="100677"/>
    <d v="2024-01-29T04:00:00"/>
    <x v="1"/>
    <s v="SKU-023"/>
    <x v="4"/>
    <s v="Electronics"/>
    <n v="1"/>
    <x v="656"/>
    <x v="1"/>
    <x v="3"/>
    <x v="0"/>
    <n v="91.53"/>
    <x v="503"/>
    <n v="82.376999999999995"/>
    <s v="NO"/>
    <s v="NO"/>
    <n v="82.376999999999995"/>
    <s v="NO"/>
  </r>
  <r>
    <n v="100678"/>
    <d v="2024-01-29T05:00:00"/>
    <x v="1"/>
    <s v="SKU-037"/>
    <x v="2"/>
    <s v="Electronics"/>
    <n v="1"/>
    <x v="657"/>
    <x v="3"/>
    <x v="3"/>
    <x v="0"/>
    <n v="66.099999999999994"/>
    <x v="13"/>
    <n v="66.099999999999994"/>
    <s v="NO"/>
    <s v="NO"/>
    <n v="66.099999999999994"/>
    <s v="NO"/>
  </r>
  <r>
    <n v="100679"/>
    <d v="2024-01-29T06:00:00"/>
    <x v="1"/>
    <s v="SKU-011"/>
    <x v="4"/>
    <s v="Electronics"/>
    <n v="4"/>
    <x v="658"/>
    <x v="2"/>
    <x v="0"/>
    <x v="0"/>
    <n v="331.64"/>
    <x v="504"/>
    <n v="281.89400000000001"/>
    <s v="NO"/>
    <s v="NO"/>
    <n v="281.89400000000001"/>
    <s v="NO"/>
  </r>
  <r>
    <n v="100680"/>
    <d v="2024-01-29T07:00:00"/>
    <x v="1"/>
    <s v="SKU-006"/>
    <x v="2"/>
    <s v="Accessories"/>
    <n v="5"/>
    <x v="659"/>
    <x v="3"/>
    <x v="2"/>
    <x v="0"/>
    <n v="271.35000000000002"/>
    <x v="13"/>
    <n v="271.35000000000002"/>
    <s v="NO"/>
    <s v="NO"/>
    <n v="271.35000000000002"/>
    <s v="NO"/>
  </r>
  <r>
    <n v="100681"/>
    <d v="2024-01-29T08:00:00"/>
    <x v="1"/>
    <s v="SKU-018"/>
    <x v="4"/>
    <s v="Electronics"/>
    <n v="1"/>
    <x v="648"/>
    <x v="1"/>
    <x v="3"/>
    <x v="0"/>
    <n v="89.12"/>
    <x v="505"/>
    <n v="80.207999999999998"/>
    <s v="NO"/>
    <s v="NO"/>
    <n v="80.207999999999998"/>
    <s v="NO"/>
  </r>
  <r>
    <n v="100682"/>
    <d v="2024-01-29T09:00:00"/>
    <x v="0"/>
    <s v="SKU-021"/>
    <x v="3"/>
    <s v="Accessories"/>
    <n v="1"/>
    <x v="660"/>
    <x v="3"/>
    <x v="0"/>
    <x v="0"/>
    <n v="99.81"/>
    <x v="13"/>
    <n v="99.81"/>
    <s v="NO"/>
    <s v="NO"/>
    <n v="99.81"/>
    <s v="NO"/>
  </r>
  <r>
    <n v="100683"/>
    <d v="2024-01-29T10:00:00"/>
    <x v="0"/>
    <s v="SKU-042"/>
    <x v="4"/>
    <s v="Accessories"/>
    <n v="3"/>
    <x v="661"/>
    <x v="2"/>
    <x v="2"/>
    <x v="1"/>
    <n v="65.52"/>
    <x v="506"/>
    <n v="55.691999999999993"/>
    <s v="YES"/>
    <s v="NO"/>
    <n v="-55.691999999999993"/>
    <s v="NO"/>
  </r>
  <r>
    <n v="100684"/>
    <d v="2024-01-29T11:00:00"/>
    <x v="1"/>
    <s v="SKU-036"/>
    <x v="4"/>
    <s v="Accessories"/>
    <n v="2"/>
    <x v="662"/>
    <x v="1"/>
    <x v="3"/>
    <x v="0"/>
    <n v="201.58"/>
    <x v="507"/>
    <n v="181.422"/>
    <s v="NO"/>
    <s v="NO"/>
    <n v="181.422"/>
    <s v="NO"/>
  </r>
  <r>
    <n v="100685"/>
    <d v="2024-01-29T12:00:00"/>
    <x v="0"/>
    <s v="SKU-041"/>
    <x v="1"/>
    <s v="Electronics"/>
    <n v="4"/>
    <x v="663"/>
    <x v="0"/>
    <x v="2"/>
    <x v="2"/>
    <n v="268.52"/>
    <x v="508"/>
    <n v="255.09399999999999"/>
    <s v="YES"/>
    <s v="NO"/>
    <n v="0"/>
    <s v="NO"/>
  </r>
  <r>
    <n v="100686"/>
    <d v="2024-01-29T13:00:00"/>
    <x v="1"/>
    <s v="SKU-038"/>
    <x v="4"/>
    <s v="Accessories"/>
    <n v="4"/>
    <x v="664"/>
    <x v="1"/>
    <x v="2"/>
    <x v="0"/>
    <n v="408.56"/>
    <x v="509"/>
    <n v="367.70400000000001"/>
    <s v="NO"/>
    <s v="NO"/>
    <n v="367.70400000000001"/>
    <s v="NO"/>
  </r>
  <r>
    <n v="100687"/>
    <d v="2024-01-29T14:00:00"/>
    <x v="1"/>
    <s v="SKU-034"/>
    <x v="1"/>
    <s v="Electronics"/>
    <n v="2"/>
    <x v="665"/>
    <x v="0"/>
    <x v="0"/>
    <x v="0"/>
    <n v="109.2"/>
    <x v="510"/>
    <n v="103.74"/>
    <s v="NO"/>
    <s v="NO"/>
    <n v="103.74"/>
    <s v="NO"/>
  </r>
  <r>
    <n v="100688"/>
    <d v="2024-01-29T15:00:00"/>
    <x v="0"/>
    <s v="SKU-017"/>
    <x v="0"/>
    <s v="Electronics"/>
    <n v="1"/>
    <x v="666"/>
    <x v="3"/>
    <x v="2"/>
    <x v="0"/>
    <n v="48.59"/>
    <x v="13"/>
    <n v="48.59"/>
    <s v="NO"/>
    <s v="NO"/>
    <n v="48.59"/>
    <s v="NO"/>
  </r>
  <r>
    <n v="100689"/>
    <d v="2024-01-29T16:00:00"/>
    <x v="0"/>
    <s v="SKU-037"/>
    <x v="1"/>
    <s v="Accessories"/>
    <n v="3"/>
    <x v="667"/>
    <x v="3"/>
    <x v="0"/>
    <x v="0"/>
    <n v="330.69"/>
    <x v="13"/>
    <n v="330.69"/>
    <s v="NO"/>
    <s v="NO"/>
    <n v="330.69"/>
    <s v="NO"/>
  </r>
  <r>
    <n v="100690"/>
    <d v="2024-01-29T17:00:00"/>
    <x v="1"/>
    <s v="SKU-025"/>
    <x v="3"/>
    <s v="Accessories"/>
    <n v="3"/>
    <x v="668"/>
    <x v="2"/>
    <x v="3"/>
    <x v="0"/>
    <n v="101.64"/>
    <x v="511"/>
    <n v="86.394000000000005"/>
    <s v="NO"/>
    <s v="NO"/>
    <n v="86.394000000000005"/>
    <s v="NO"/>
  </r>
  <r>
    <n v="100691"/>
    <d v="2024-01-29T18:00:00"/>
    <x v="1"/>
    <s v="SKU-038"/>
    <x v="1"/>
    <s v="Accessories"/>
    <n v="4"/>
    <x v="669"/>
    <x v="0"/>
    <x v="2"/>
    <x v="0"/>
    <n v="408.32"/>
    <x v="512"/>
    <n v="387.904"/>
    <s v="NO"/>
    <s v="NO"/>
    <n v="387.904"/>
    <s v="NO"/>
  </r>
  <r>
    <n v="100692"/>
    <d v="2024-01-29T19:00:00"/>
    <x v="1"/>
    <s v="SKU-012"/>
    <x v="0"/>
    <s v="Electronics"/>
    <n v="3"/>
    <x v="102"/>
    <x v="3"/>
    <x v="2"/>
    <x v="0"/>
    <n v="181.98"/>
    <x v="13"/>
    <n v="181.98"/>
    <s v="NO"/>
    <s v="NO"/>
    <n v="181.98"/>
    <s v="NO"/>
  </r>
  <r>
    <n v="100693"/>
    <d v="2024-01-29T20:00:00"/>
    <x v="0"/>
    <s v="SKU-023"/>
    <x v="3"/>
    <s v="Accessories"/>
    <n v="2"/>
    <x v="670"/>
    <x v="0"/>
    <x v="1"/>
    <x v="0"/>
    <n v="128.24"/>
    <x v="513"/>
    <n v="121.828"/>
    <s v="NO"/>
    <s v="NO"/>
    <n v="121.828"/>
    <s v="NO"/>
  </r>
  <r>
    <n v="100694"/>
    <d v="2024-01-29T21:00:00"/>
    <x v="1"/>
    <s v="SKU-042"/>
    <x v="2"/>
    <s v="Electronics"/>
    <n v="1"/>
    <x v="671"/>
    <x v="3"/>
    <x v="3"/>
    <x v="0"/>
    <n v="40.47"/>
    <x v="13"/>
    <n v="40.47"/>
    <s v="NO"/>
    <s v="NO"/>
    <n v="40.47"/>
    <s v="NO"/>
  </r>
  <r>
    <n v="100695"/>
    <d v="2024-01-29T22:00:00"/>
    <x v="1"/>
    <s v="SKU-022"/>
    <x v="2"/>
    <s v="Accessories"/>
    <n v="2"/>
    <x v="672"/>
    <x v="1"/>
    <x v="3"/>
    <x v="0"/>
    <n v="141.80000000000001"/>
    <x v="514"/>
    <n v="127.62"/>
    <s v="NO"/>
    <s v="NO"/>
    <n v="127.62"/>
    <s v="NO"/>
  </r>
  <r>
    <n v="100696"/>
    <d v="2024-01-29T23:00:00"/>
    <x v="1"/>
    <s v="SKU-021"/>
    <x v="1"/>
    <s v="Accessories"/>
    <n v="5"/>
    <x v="673"/>
    <x v="3"/>
    <x v="1"/>
    <x v="0"/>
    <n v="212"/>
    <x v="13"/>
    <n v="212"/>
    <s v="NO"/>
    <s v="NO"/>
    <n v="212"/>
    <s v="NO"/>
  </r>
  <r>
    <n v="100697"/>
    <d v="2024-01-30T00:00:00"/>
    <x v="0"/>
    <s v="SKU-027"/>
    <x v="1"/>
    <s v="Electronics"/>
    <n v="4"/>
    <x v="674"/>
    <x v="2"/>
    <x v="1"/>
    <x v="0"/>
    <n v="38.08"/>
    <x v="515"/>
    <n v="32.367999999999988"/>
    <s v="NO"/>
    <s v="NO"/>
    <n v="32.367999999999988"/>
    <s v="NO"/>
  </r>
  <r>
    <n v="100698"/>
    <d v="2024-01-30T01:00:00"/>
    <x v="1"/>
    <s v="SKU-031"/>
    <x v="0"/>
    <s v="Electronics"/>
    <n v="3"/>
    <x v="675"/>
    <x v="1"/>
    <x v="0"/>
    <x v="1"/>
    <n v="108.84"/>
    <x v="516"/>
    <n v="97.956000000000003"/>
    <s v="YES"/>
    <s v="NO"/>
    <n v="-97.956000000000003"/>
    <s v="NO"/>
  </r>
  <r>
    <n v="100699"/>
    <d v="2024-01-30T02:00:00"/>
    <x v="1"/>
    <s v="SKU-006"/>
    <x v="0"/>
    <s v="Electronics"/>
    <n v="5"/>
    <x v="676"/>
    <x v="2"/>
    <x v="0"/>
    <x v="0"/>
    <n v="28.65"/>
    <x v="517"/>
    <n v="24.352499999999999"/>
    <s v="NO"/>
    <s v="NO"/>
    <n v="24.352499999999999"/>
    <s v="NO"/>
  </r>
  <r>
    <n v="100700"/>
    <d v="2024-01-30T03:00:00"/>
    <x v="0"/>
    <s v="SKU-027"/>
    <x v="4"/>
    <s v="Electronics"/>
    <n v="3"/>
    <x v="677"/>
    <x v="1"/>
    <x v="2"/>
    <x v="0"/>
    <n v="352.53"/>
    <x v="518"/>
    <n v="317.27699999999999"/>
    <s v="NO"/>
    <s v="NO"/>
    <n v="317.27699999999999"/>
    <s v="NO"/>
  </r>
  <r>
    <n v="100701"/>
    <d v="2024-01-30T04:00:00"/>
    <x v="1"/>
    <s v="SKU-040"/>
    <x v="0"/>
    <s v="Electronics"/>
    <n v="1"/>
    <x v="678"/>
    <x v="0"/>
    <x v="2"/>
    <x v="0"/>
    <n v="116.06"/>
    <x v="519"/>
    <n v="110.25700000000001"/>
    <s v="NO"/>
    <s v="NO"/>
    <n v="110.25700000000001"/>
    <s v="NO"/>
  </r>
  <r>
    <n v="100702"/>
    <d v="2024-01-30T05:00:00"/>
    <x v="1"/>
    <s v="SKU-034"/>
    <x v="4"/>
    <s v="Electronics"/>
    <n v="1"/>
    <x v="679"/>
    <x v="2"/>
    <x v="2"/>
    <x v="0"/>
    <n v="50.44"/>
    <x v="520"/>
    <n v="42.874000000000002"/>
    <s v="NO"/>
    <s v="NO"/>
    <n v="42.874000000000002"/>
    <s v="NO"/>
  </r>
  <r>
    <n v="100703"/>
    <d v="2024-01-30T06:00:00"/>
    <x v="0"/>
    <s v="SKU-012"/>
    <x v="3"/>
    <s v="Accessories"/>
    <n v="1"/>
    <x v="680"/>
    <x v="3"/>
    <x v="2"/>
    <x v="2"/>
    <n v="88.76"/>
    <x v="13"/>
    <n v="88.76"/>
    <s v="YES"/>
    <s v="NO"/>
    <n v="0"/>
    <s v="NO"/>
  </r>
  <r>
    <n v="100704"/>
    <d v="2024-01-30T07:00:00"/>
    <x v="1"/>
    <s v="SKU-045"/>
    <x v="1"/>
    <s v="Accessories"/>
    <n v="3"/>
    <x v="681"/>
    <x v="0"/>
    <x v="0"/>
    <x v="0"/>
    <n v="134.31"/>
    <x v="521"/>
    <n v="127.5945"/>
    <s v="NO"/>
    <s v="NO"/>
    <n v="127.5945"/>
    <s v="NO"/>
  </r>
  <r>
    <n v="100705"/>
    <d v="2024-01-30T08:00:00"/>
    <x v="0"/>
    <s v="SKU-007"/>
    <x v="3"/>
    <s v="Electronics"/>
    <n v="5"/>
    <x v="115"/>
    <x v="3"/>
    <x v="3"/>
    <x v="0"/>
    <n v="410.9"/>
    <x v="13"/>
    <n v="410.9"/>
    <s v="NO"/>
    <s v="NO"/>
    <n v="410.9"/>
    <s v="NO"/>
  </r>
  <r>
    <n v="100706"/>
    <d v="2024-01-30T09:00:00"/>
    <x v="0"/>
    <s v="SKU-010"/>
    <x v="0"/>
    <s v="Accessories"/>
    <n v="1"/>
    <x v="682"/>
    <x v="1"/>
    <x v="2"/>
    <x v="0"/>
    <n v="97.62"/>
    <x v="522"/>
    <n v="87.858000000000004"/>
    <s v="NO"/>
    <s v="NO"/>
    <n v="87.858000000000004"/>
    <s v="NO"/>
  </r>
  <r>
    <n v="100707"/>
    <d v="2024-01-30T10:00:00"/>
    <x v="1"/>
    <s v="SKU-045"/>
    <x v="3"/>
    <s v="Electronics"/>
    <n v="5"/>
    <x v="683"/>
    <x v="1"/>
    <x v="3"/>
    <x v="0"/>
    <n v="569.4"/>
    <x v="523"/>
    <n v="512.46"/>
    <s v="NO"/>
    <s v="NO"/>
    <n v="512.46"/>
    <s v="YES"/>
  </r>
  <r>
    <n v="100708"/>
    <d v="2024-01-30T11:00:00"/>
    <x v="1"/>
    <s v="SKU-017"/>
    <x v="3"/>
    <s v="Accessories"/>
    <n v="3"/>
    <x v="684"/>
    <x v="3"/>
    <x v="2"/>
    <x v="2"/>
    <n v="153.06"/>
    <x v="13"/>
    <n v="153.06"/>
    <s v="YES"/>
    <s v="NO"/>
    <n v="0"/>
    <s v="NO"/>
  </r>
  <r>
    <n v="100709"/>
    <d v="2024-01-30T12:00:00"/>
    <x v="1"/>
    <s v="SKU-026"/>
    <x v="3"/>
    <s v="Accessories"/>
    <n v="5"/>
    <x v="685"/>
    <x v="3"/>
    <x v="1"/>
    <x v="0"/>
    <n v="475.4"/>
    <x v="13"/>
    <n v="475.4"/>
    <s v="NO"/>
    <s v="NO"/>
    <n v="475.4"/>
    <s v="NO"/>
  </r>
  <r>
    <n v="100710"/>
    <d v="2024-01-30T13:00:00"/>
    <x v="1"/>
    <s v="SKU-021"/>
    <x v="0"/>
    <s v="Electronics"/>
    <n v="3"/>
    <x v="686"/>
    <x v="0"/>
    <x v="2"/>
    <x v="0"/>
    <n v="106.74"/>
    <x v="524"/>
    <n v="101.40300000000001"/>
    <s v="NO"/>
    <s v="NO"/>
    <n v="101.40300000000001"/>
    <s v="NO"/>
  </r>
  <r>
    <n v="100711"/>
    <d v="2024-01-30T14:00:00"/>
    <x v="0"/>
    <s v="SKU-028"/>
    <x v="3"/>
    <s v="Electronics"/>
    <n v="3"/>
    <x v="687"/>
    <x v="3"/>
    <x v="2"/>
    <x v="0"/>
    <n v="356.67"/>
    <x v="13"/>
    <n v="356.67"/>
    <s v="NO"/>
    <s v="NO"/>
    <n v="356.67"/>
    <s v="NO"/>
  </r>
  <r>
    <n v="100712"/>
    <d v="2024-01-30T15:00:00"/>
    <x v="1"/>
    <s v="SKU-046"/>
    <x v="4"/>
    <s v="Electronics"/>
    <n v="4"/>
    <x v="688"/>
    <x v="2"/>
    <x v="2"/>
    <x v="0"/>
    <n v="31.84"/>
    <x v="525"/>
    <n v="27.064"/>
    <s v="NO"/>
    <s v="NO"/>
    <n v="27.064"/>
    <s v="NO"/>
  </r>
  <r>
    <n v="100713"/>
    <d v="2024-01-30T16:00:00"/>
    <x v="0"/>
    <s v="SKU-002"/>
    <x v="0"/>
    <s v="Accessories"/>
    <n v="3"/>
    <x v="689"/>
    <x v="2"/>
    <x v="0"/>
    <x v="0"/>
    <n v="223.23"/>
    <x v="526"/>
    <n v="189.74549999999999"/>
    <s v="NO"/>
    <s v="NO"/>
    <n v="189.74549999999999"/>
    <s v="NO"/>
  </r>
  <r>
    <n v="100714"/>
    <d v="2024-01-30T17:00:00"/>
    <x v="1"/>
    <s v="SKU-043"/>
    <x v="3"/>
    <s v="Electronics"/>
    <n v="3"/>
    <x v="145"/>
    <x v="3"/>
    <x v="1"/>
    <x v="0"/>
    <n v="242.52"/>
    <x v="13"/>
    <n v="242.52"/>
    <s v="NO"/>
    <s v="NO"/>
    <n v="242.52"/>
    <s v="NO"/>
  </r>
  <r>
    <n v="100715"/>
    <d v="2024-01-30T18:00:00"/>
    <x v="1"/>
    <s v="SKU-001"/>
    <x v="0"/>
    <s v="Accessories"/>
    <n v="2"/>
    <x v="690"/>
    <x v="2"/>
    <x v="2"/>
    <x v="0"/>
    <n v="168.26"/>
    <x v="527"/>
    <n v="143.02099999999999"/>
    <s v="NO"/>
    <s v="NO"/>
    <n v="143.02099999999999"/>
    <s v="NO"/>
  </r>
  <r>
    <n v="100716"/>
    <d v="2024-01-30T19:00:00"/>
    <x v="1"/>
    <s v="SKU-036"/>
    <x v="2"/>
    <s v="Electronics"/>
    <n v="1"/>
    <x v="691"/>
    <x v="3"/>
    <x v="2"/>
    <x v="1"/>
    <n v="18.84"/>
    <x v="13"/>
    <n v="18.84"/>
    <s v="YES"/>
    <s v="NO"/>
    <n v="-18.84"/>
    <s v="NO"/>
  </r>
  <r>
    <n v="100717"/>
    <d v="2024-01-30T20:00:00"/>
    <x v="0"/>
    <s v="SKU-026"/>
    <x v="4"/>
    <s v="Accessories"/>
    <n v="4"/>
    <x v="620"/>
    <x v="0"/>
    <x v="3"/>
    <x v="0"/>
    <n v="451.72"/>
    <x v="528"/>
    <n v="429.13400000000001"/>
    <s v="NO"/>
    <s v="NO"/>
    <n v="429.13400000000001"/>
    <s v="NO"/>
  </r>
  <r>
    <n v="100718"/>
    <d v="2024-01-30T21:00:00"/>
    <x v="1"/>
    <s v="SKU-029"/>
    <x v="3"/>
    <s v="Accessories"/>
    <n v="4"/>
    <x v="692"/>
    <x v="2"/>
    <x v="1"/>
    <x v="0"/>
    <n v="103.36"/>
    <x v="529"/>
    <n v="87.855999999999995"/>
    <s v="NO"/>
    <s v="NO"/>
    <n v="87.855999999999995"/>
    <s v="NO"/>
  </r>
  <r>
    <n v="100719"/>
    <d v="2024-01-30T22:00:00"/>
    <x v="1"/>
    <s v="SKU-021"/>
    <x v="2"/>
    <s v="Electronics"/>
    <n v="4"/>
    <x v="693"/>
    <x v="2"/>
    <x v="2"/>
    <x v="0"/>
    <n v="306.48"/>
    <x v="530"/>
    <n v="260.50799999999998"/>
    <s v="NO"/>
    <s v="NO"/>
    <n v="260.50799999999998"/>
    <s v="NO"/>
  </r>
  <r>
    <n v="100720"/>
    <d v="2024-01-30T23:00:00"/>
    <x v="1"/>
    <s v="SKU-011"/>
    <x v="2"/>
    <s v="Accessories"/>
    <n v="2"/>
    <x v="694"/>
    <x v="3"/>
    <x v="3"/>
    <x v="2"/>
    <n v="61.22"/>
    <x v="13"/>
    <n v="61.22"/>
    <s v="YES"/>
    <s v="NO"/>
    <n v="0"/>
    <s v="NO"/>
  </r>
  <r>
    <n v="100721"/>
    <d v="2024-01-31T00:00:00"/>
    <x v="1"/>
    <s v="SKU-040"/>
    <x v="0"/>
    <s v="Accessories"/>
    <n v="3"/>
    <x v="695"/>
    <x v="2"/>
    <x v="3"/>
    <x v="0"/>
    <n v="120.99"/>
    <x v="531"/>
    <n v="102.8415"/>
    <s v="NO"/>
    <s v="NO"/>
    <n v="102.8415"/>
    <s v="NO"/>
  </r>
  <r>
    <n v="100722"/>
    <d v="2024-01-31T01:00:00"/>
    <x v="0"/>
    <s v="SKU-011"/>
    <x v="2"/>
    <s v="Electronics"/>
    <n v="1"/>
    <x v="696"/>
    <x v="1"/>
    <x v="0"/>
    <x v="0"/>
    <n v="67.84"/>
    <x v="532"/>
    <n v="61.055999999999997"/>
    <s v="NO"/>
    <s v="NO"/>
    <n v="61.055999999999997"/>
    <s v="NO"/>
  </r>
  <r>
    <n v="100723"/>
    <d v="2024-01-31T02:00:00"/>
    <x v="1"/>
    <s v="SKU-036"/>
    <x v="4"/>
    <s v="Accessories"/>
    <n v="5"/>
    <x v="697"/>
    <x v="0"/>
    <x v="3"/>
    <x v="0"/>
    <n v="264.89999999999998"/>
    <x v="533"/>
    <n v="251.655"/>
    <s v="NO"/>
    <s v="NO"/>
    <n v="251.655"/>
    <s v="NO"/>
  </r>
  <r>
    <n v="100724"/>
    <d v="2024-01-31T03:00:00"/>
    <x v="0"/>
    <s v="SKU-049"/>
    <x v="4"/>
    <s v="Electronics"/>
    <n v="3"/>
    <x v="698"/>
    <x v="0"/>
    <x v="2"/>
    <x v="0"/>
    <n v="70.289999999999992"/>
    <x v="534"/>
    <n v="66.775499999999994"/>
    <s v="NO"/>
    <s v="NO"/>
    <n v="66.775499999999994"/>
    <s v="NO"/>
  </r>
  <r>
    <n v="100725"/>
    <d v="2024-01-31T04:00:00"/>
    <x v="0"/>
    <s v="SKU-039"/>
    <x v="1"/>
    <s v="Electronics"/>
    <n v="2"/>
    <x v="699"/>
    <x v="2"/>
    <x v="0"/>
    <x v="0"/>
    <n v="49.32"/>
    <x v="535"/>
    <n v="41.921999999999997"/>
    <s v="NO"/>
    <s v="NO"/>
    <n v="41.921999999999997"/>
    <s v="NO"/>
  </r>
  <r>
    <n v="100726"/>
    <d v="2024-01-31T05:00:00"/>
    <x v="0"/>
    <s v="SKU-040"/>
    <x v="4"/>
    <s v="Electronics"/>
    <n v="3"/>
    <x v="700"/>
    <x v="2"/>
    <x v="0"/>
    <x v="0"/>
    <n v="159.27000000000001"/>
    <x v="536"/>
    <n v="135.37950000000001"/>
    <s v="NO"/>
    <s v="NO"/>
    <n v="135.37950000000001"/>
    <s v="NO"/>
  </r>
  <r>
    <n v="100727"/>
    <d v="2024-01-31T06:00:00"/>
    <x v="0"/>
    <s v="SKU-035"/>
    <x v="2"/>
    <s v="Electronics"/>
    <n v="3"/>
    <x v="701"/>
    <x v="1"/>
    <x v="2"/>
    <x v="0"/>
    <n v="276.27"/>
    <x v="537"/>
    <n v="248.643"/>
    <s v="NO"/>
    <s v="NO"/>
    <n v="248.643"/>
    <s v="NO"/>
  </r>
  <r>
    <n v="100728"/>
    <d v="2024-01-31T07:00:00"/>
    <x v="0"/>
    <s v="SKU-034"/>
    <x v="4"/>
    <s v="Accessories"/>
    <n v="2"/>
    <x v="702"/>
    <x v="1"/>
    <x v="1"/>
    <x v="0"/>
    <n v="216.54"/>
    <x v="538"/>
    <n v="194.886"/>
    <s v="NO"/>
    <s v="NO"/>
    <n v="194.886"/>
    <s v="NO"/>
  </r>
  <r>
    <n v="100729"/>
    <d v="2024-01-31T08:00:00"/>
    <x v="0"/>
    <s v="SKU-047"/>
    <x v="0"/>
    <s v="Accessories"/>
    <n v="4"/>
    <x v="703"/>
    <x v="2"/>
    <x v="3"/>
    <x v="0"/>
    <n v="58.68"/>
    <x v="539"/>
    <n v="49.878"/>
    <s v="NO"/>
    <s v="NO"/>
    <n v="49.878"/>
    <s v="NO"/>
  </r>
  <r>
    <n v="100730"/>
    <d v="2024-01-31T09:00:00"/>
    <x v="1"/>
    <s v="SKU-024"/>
    <x v="1"/>
    <s v="Accessories"/>
    <n v="4"/>
    <x v="704"/>
    <x v="2"/>
    <x v="0"/>
    <x v="1"/>
    <n v="200.84"/>
    <x v="540"/>
    <n v="170.714"/>
    <s v="YES"/>
    <s v="NO"/>
    <n v="-170.714"/>
    <s v="NO"/>
  </r>
  <r>
    <n v="100731"/>
    <d v="2024-01-31T10:00:00"/>
    <x v="0"/>
    <s v="SKU-022"/>
    <x v="2"/>
    <s v="Electronics"/>
    <n v="1"/>
    <x v="705"/>
    <x v="1"/>
    <x v="1"/>
    <x v="2"/>
    <n v="16.53"/>
    <x v="541"/>
    <n v="14.877000000000001"/>
    <s v="YES"/>
    <s v="NO"/>
    <n v="0"/>
    <s v="NO"/>
  </r>
  <r>
    <n v="100732"/>
    <d v="2024-01-31T11:00:00"/>
    <x v="0"/>
    <s v="SKU-005"/>
    <x v="1"/>
    <s v="Accessories"/>
    <n v="1"/>
    <x v="706"/>
    <x v="3"/>
    <x v="2"/>
    <x v="0"/>
    <n v="6.91"/>
    <x v="13"/>
    <n v="6.91"/>
    <s v="NO"/>
    <s v="NO"/>
    <n v="6.91"/>
    <s v="NO"/>
  </r>
  <r>
    <n v="100733"/>
    <d v="2024-01-31T12:00:00"/>
    <x v="0"/>
    <s v="SKU-033"/>
    <x v="2"/>
    <s v="Accessories"/>
    <n v="4"/>
    <x v="621"/>
    <x v="1"/>
    <x v="3"/>
    <x v="0"/>
    <n v="324.39999999999998"/>
    <x v="542"/>
    <n v="291.95999999999998"/>
    <s v="NO"/>
    <s v="NO"/>
    <n v="291.95999999999998"/>
    <s v="NO"/>
  </r>
  <r>
    <n v="100734"/>
    <d v="2024-01-31T13:00:00"/>
    <x v="1"/>
    <s v="SKU-036"/>
    <x v="0"/>
    <s v="Electronics"/>
    <n v="5"/>
    <x v="707"/>
    <x v="3"/>
    <x v="3"/>
    <x v="0"/>
    <n v="371.4"/>
    <x v="13"/>
    <n v="371.4"/>
    <s v="NO"/>
    <s v="NO"/>
    <n v="371.4"/>
    <s v="NO"/>
  </r>
  <r>
    <n v="100735"/>
    <d v="2024-01-31T14:00:00"/>
    <x v="1"/>
    <s v="SKU-047"/>
    <x v="1"/>
    <s v="Electronics"/>
    <n v="3"/>
    <x v="708"/>
    <x v="0"/>
    <x v="0"/>
    <x v="0"/>
    <n v="71.25"/>
    <x v="543"/>
    <n v="67.6875"/>
    <s v="NO"/>
    <s v="NO"/>
    <n v="67.6875"/>
    <s v="NO"/>
  </r>
  <r>
    <n v="100736"/>
    <d v="2024-01-31T15:00:00"/>
    <x v="0"/>
    <s v="SKU-020"/>
    <x v="3"/>
    <s v="Accessories"/>
    <n v="5"/>
    <x v="709"/>
    <x v="0"/>
    <x v="3"/>
    <x v="0"/>
    <n v="159.44999999999999"/>
    <x v="544"/>
    <n v="151.47749999999999"/>
    <s v="NO"/>
    <s v="NO"/>
    <n v="151.47749999999999"/>
    <s v="NO"/>
  </r>
  <r>
    <n v="100737"/>
    <d v="2024-01-31T16:00:00"/>
    <x v="1"/>
    <s v="SKU-019"/>
    <x v="2"/>
    <s v="Electronics"/>
    <n v="3"/>
    <x v="710"/>
    <x v="1"/>
    <x v="3"/>
    <x v="0"/>
    <n v="23.19"/>
    <x v="545"/>
    <n v="20.870999999999999"/>
    <s v="NO"/>
    <s v="NO"/>
    <n v="20.870999999999999"/>
    <s v="NO"/>
  </r>
  <r>
    <n v="100738"/>
    <d v="2024-01-31T17:00:00"/>
    <x v="0"/>
    <s v="SKU-035"/>
    <x v="3"/>
    <s v="Electronics"/>
    <n v="4"/>
    <x v="711"/>
    <x v="3"/>
    <x v="3"/>
    <x v="0"/>
    <n v="404.08"/>
    <x v="13"/>
    <n v="404.08"/>
    <s v="NO"/>
    <s v="NO"/>
    <n v="404.08"/>
    <s v="NO"/>
  </r>
  <r>
    <n v="100739"/>
    <d v="2024-01-31T18:00:00"/>
    <x v="0"/>
    <s v="SKU-043"/>
    <x v="1"/>
    <s v="Electronics"/>
    <n v="1"/>
    <x v="712"/>
    <x v="1"/>
    <x v="3"/>
    <x v="0"/>
    <n v="117.09"/>
    <x v="546"/>
    <n v="105.381"/>
    <s v="NO"/>
    <s v="NO"/>
    <n v="105.381"/>
    <s v="NO"/>
  </r>
  <r>
    <n v="100740"/>
    <d v="2024-01-31T19:00:00"/>
    <x v="1"/>
    <s v="SKU-017"/>
    <x v="3"/>
    <s v="Electronics"/>
    <n v="1"/>
    <x v="713"/>
    <x v="1"/>
    <x v="2"/>
    <x v="0"/>
    <n v="20.58"/>
    <x v="547"/>
    <n v="18.521999999999998"/>
    <s v="NO"/>
    <s v="NO"/>
    <n v="18.521999999999998"/>
    <s v="NO"/>
  </r>
  <r>
    <n v="100741"/>
    <d v="2024-01-31T20:00:00"/>
    <x v="0"/>
    <s v="SKU-045"/>
    <x v="3"/>
    <s v="Accessories"/>
    <n v="5"/>
    <x v="714"/>
    <x v="3"/>
    <x v="1"/>
    <x v="0"/>
    <n v="158.1"/>
    <x v="13"/>
    <n v="158.1"/>
    <s v="NO"/>
    <s v="NO"/>
    <n v="158.1"/>
    <s v="NO"/>
  </r>
  <r>
    <n v="100742"/>
    <d v="2024-01-31T21:00:00"/>
    <x v="1"/>
    <s v="SKU-043"/>
    <x v="1"/>
    <s v="Electronics"/>
    <n v="1"/>
    <x v="715"/>
    <x v="1"/>
    <x v="2"/>
    <x v="0"/>
    <n v="104.87"/>
    <x v="548"/>
    <n v="94.38300000000001"/>
    <s v="NO"/>
    <s v="NO"/>
    <n v="94.38300000000001"/>
    <s v="NO"/>
  </r>
  <r>
    <n v="100743"/>
    <d v="2024-01-31T22:00:00"/>
    <x v="1"/>
    <s v="SKU-034"/>
    <x v="0"/>
    <s v="Electronics"/>
    <n v="4"/>
    <x v="716"/>
    <x v="0"/>
    <x v="2"/>
    <x v="0"/>
    <n v="446.16"/>
    <x v="549"/>
    <n v="423.85199999999998"/>
    <s v="NO"/>
    <s v="NO"/>
    <n v="423.85199999999998"/>
    <s v="NO"/>
  </r>
  <r>
    <n v="100744"/>
    <d v="2024-01-31T23:00:00"/>
    <x v="0"/>
    <s v="SKU-009"/>
    <x v="3"/>
    <s v="Electronics"/>
    <n v="5"/>
    <x v="717"/>
    <x v="2"/>
    <x v="0"/>
    <x v="0"/>
    <n v="266.3"/>
    <x v="550"/>
    <n v="226.35499999999999"/>
    <s v="NO"/>
    <s v="NO"/>
    <n v="226.35499999999999"/>
    <s v="NO"/>
  </r>
  <r>
    <n v="100745"/>
    <d v="2024-02-01T00:00:00"/>
    <x v="0"/>
    <s v="SKU-026"/>
    <x v="3"/>
    <s v="Electronics"/>
    <n v="3"/>
    <x v="718"/>
    <x v="2"/>
    <x v="3"/>
    <x v="0"/>
    <n v="32.46"/>
    <x v="551"/>
    <n v="27.591000000000001"/>
    <s v="NO"/>
    <s v="NO"/>
    <n v="27.591000000000001"/>
    <s v="NO"/>
  </r>
  <r>
    <n v="100746"/>
    <d v="2024-02-01T01:00:00"/>
    <x v="1"/>
    <s v="SKU-002"/>
    <x v="0"/>
    <s v="Electronics"/>
    <n v="1"/>
    <x v="719"/>
    <x v="1"/>
    <x v="2"/>
    <x v="0"/>
    <n v="9.5299999999999994"/>
    <x v="552"/>
    <n v="8.577"/>
    <s v="NO"/>
    <s v="NO"/>
    <n v="8.577"/>
    <s v="NO"/>
  </r>
  <r>
    <n v="100747"/>
    <d v="2024-02-01T02:00:00"/>
    <x v="0"/>
    <s v="SKU-009"/>
    <x v="3"/>
    <s v="Electronics"/>
    <n v="2"/>
    <x v="720"/>
    <x v="3"/>
    <x v="3"/>
    <x v="0"/>
    <n v="142"/>
    <x v="13"/>
    <n v="142"/>
    <s v="NO"/>
    <s v="NO"/>
    <n v="142"/>
    <s v="NO"/>
  </r>
  <r>
    <n v="100748"/>
    <d v="2024-02-01T03:00:00"/>
    <x v="0"/>
    <s v="SKU-009"/>
    <x v="3"/>
    <s v="Electronics"/>
    <n v="1"/>
    <x v="721"/>
    <x v="3"/>
    <x v="2"/>
    <x v="1"/>
    <n v="50.18"/>
    <x v="13"/>
    <n v="50.18"/>
    <s v="YES"/>
    <s v="NO"/>
    <n v="-50.18"/>
    <s v="NO"/>
  </r>
  <r>
    <n v="100749"/>
    <d v="2024-02-01T04:00:00"/>
    <x v="0"/>
    <s v="SKU-040"/>
    <x v="3"/>
    <s v="Electronics"/>
    <n v="3"/>
    <x v="722"/>
    <x v="0"/>
    <x v="2"/>
    <x v="0"/>
    <n v="24.9"/>
    <x v="553"/>
    <n v="23.655000000000001"/>
    <s v="NO"/>
    <s v="NO"/>
    <n v="23.655000000000001"/>
    <s v="NO"/>
  </r>
  <r>
    <n v="100750"/>
    <d v="2024-02-01T05:00:00"/>
    <x v="1"/>
    <s v="SKU-017"/>
    <x v="4"/>
    <s v="Accessories"/>
    <n v="5"/>
    <x v="267"/>
    <x v="3"/>
    <x v="0"/>
    <x v="0"/>
    <n v="360.35"/>
    <x v="13"/>
    <n v="360.35"/>
    <s v="NO"/>
    <s v="NO"/>
    <n v="360.35"/>
    <s v="NO"/>
  </r>
  <r>
    <n v="100751"/>
    <d v="2024-02-01T06:00:00"/>
    <x v="1"/>
    <s v="SKU-001"/>
    <x v="0"/>
    <s v="Electronics"/>
    <n v="3"/>
    <x v="723"/>
    <x v="3"/>
    <x v="1"/>
    <x v="0"/>
    <n v="18.899999999999999"/>
    <x v="13"/>
    <n v="18.899999999999999"/>
    <s v="NO"/>
    <s v="NO"/>
    <n v="18.899999999999999"/>
    <s v="NO"/>
  </r>
  <r>
    <n v="100752"/>
    <d v="2024-02-01T07:00:00"/>
    <x v="0"/>
    <s v="SKU-025"/>
    <x v="3"/>
    <s v="Accessories"/>
    <n v="2"/>
    <x v="724"/>
    <x v="0"/>
    <x v="1"/>
    <x v="1"/>
    <n v="191.1"/>
    <x v="554"/>
    <n v="181.54499999999999"/>
    <s v="YES"/>
    <s v="NO"/>
    <n v="-181.54499999999999"/>
    <s v="NO"/>
  </r>
  <r>
    <n v="100753"/>
    <d v="2024-02-01T08:00:00"/>
    <x v="1"/>
    <s v="SKU-043"/>
    <x v="0"/>
    <s v="Electronics"/>
    <n v="4"/>
    <x v="340"/>
    <x v="1"/>
    <x v="2"/>
    <x v="1"/>
    <n v="160.96"/>
    <x v="555"/>
    <n v="144.864"/>
    <s v="YES"/>
    <s v="NO"/>
    <n v="-144.864"/>
    <s v="NO"/>
  </r>
  <r>
    <n v="100754"/>
    <d v="2024-02-01T09:00:00"/>
    <x v="1"/>
    <s v="SKU-040"/>
    <x v="2"/>
    <s v="Electronics"/>
    <n v="1"/>
    <x v="725"/>
    <x v="2"/>
    <x v="0"/>
    <x v="0"/>
    <n v="9.6300000000000008"/>
    <x v="556"/>
    <n v="8.1855000000000011"/>
    <s v="NO"/>
    <s v="NO"/>
    <n v="8.1855000000000011"/>
    <s v="NO"/>
  </r>
  <r>
    <n v="100755"/>
    <d v="2024-02-01T10:00:00"/>
    <x v="1"/>
    <s v="SKU-042"/>
    <x v="2"/>
    <s v="Electronics"/>
    <n v="5"/>
    <x v="726"/>
    <x v="0"/>
    <x v="3"/>
    <x v="1"/>
    <n v="363.3"/>
    <x v="557"/>
    <n v="345.13499999999988"/>
    <s v="YES"/>
    <s v="NO"/>
    <n v="-345.13499999999988"/>
    <s v="NO"/>
  </r>
  <r>
    <n v="100756"/>
    <d v="2024-02-01T11:00:00"/>
    <x v="1"/>
    <s v="SKU-025"/>
    <x v="3"/>
    <s v="Electronics"/>
    <n v="4"/>
    <x v="727"/>
    <x v="1"/>
    <x v="3"/>
    <x v="0"/>
    <n v="202.92"/>
    <x v="558"/>
    <n v="182.62799999999999"/>
    <s v="NO"/>
    <s v="NO"/>
    <n v="182.62799999999999"/>
    <s v="NO"/>
  </r>
  <r>
    <n v="100757"/>
    <d v="2024-02-01T12:00:00"/>
    <x v="1"/>
    <s v="SKU-039"/>
    <x v="0"/>
    <s v="Accessories"/>
    <n v="3"/>
    <x v="728"/>
    <x v="0"/>
    <x v="2"/>
    <x v="0"/>
    <n v="350.97"/>
    <x v="559"/>
    <n v="333.42149999999998"/>
    <s v="NO"/>
    <s v="NO"/>
    <n v="333.42149999999998"/>
    <s v="NO"/>
  </r>
  <r>
    <n v="100758"/>
    <d v="2024-02-01T13:00:00"/>
    <x v="0"/>
    <s v="SKU-035"/>
    <x v="0"/>
    <s v="Electronics"/>
    <n v="5"/>
    <x v="729"/>
    <x v="1"/>
    <x v="1"/>
    <x v="0"/>
    <n v="337.9"/>
    <x v="560"/>
    <n v="304.11"/>
    <s v="NO"/>
    <s v="NO"/>
    <n v="304.11"/>
    <s v="NO"/>
  </r>
  <r>
    <n v="100759"/>
    <d v="2024-02-01T14:00:00"/>
    <x v="0"/>
    <s v="SKU-003"/>
    <x v="0"/>
    <s v="Electronics"/>
    <n v="4"/>
    <x v="730"/>
    <x v="0"/>
    <x v="0"/>
    <x v="0"/>
    <n v="146.6"/>
    <x v="561"/>
    <n v="139.27000000000001"/>
    <s v="NO"/>
    <s v="NO"/>
    <n v="139.27000000000001"/>
    <s v="NO"/>
  </r>
  <r>
    <n v="100760"/>
    <d v="2024-02-01T15:00:00"/>
    <x v="0"/>
    <s v="SKU-050"/>
    <x v="4"/>
    <s v="Accessories"/>
    <n v="5"/>
    <x v="731"/>
    <x v="1"/>
    <x v="1"/>
    <x v="1"/>
    <n v="432.95"/>
    <x v="562"/>
    <n v="389.65499999999997"/>
    <s v="YES"/>
    <s v="NO"/>
    <n v="-389.65499999999997"/>
    <s v="NO"/>
  </r>
  <r>
    <n v="100761"/>
    <d v="2024-02-01T16:00:00"/>
    <x v="1"/>
    <s v="SKU-037"/>
    <x v="2"/>
    <s v="Accessories"/>
    <n v="2"/>
    <x v="732"/>
    <x v="0"/>
    <x v="3"/>
    <x v="0"/>
    <n v="72.44"/>
    <x v="563"/>
    <n v="68.817999999999998"/>
    <s v="NO"/>
    <s v="NO"/>
    <n v="68.817999999999998"/>
    <s v="NO"/>
  </r>
  <r>
    <n v="100762"/>
    <d v="2024-02-01T17:00:00"/>
    <x v="1"/>
    <s v="SKU-044"/>
    <x v="0"/>
    <s v="Electronics"/>
    <n v="2"/>
    <x v="733"/>
    <x v="1"/>
    <x v="1"/>
    <x v="2"/>
    <n v="217.98"/>
    <x v="564"/>
    <n v="196.18199999999999"/>
    <s v="YES"/>
    <s v="NO"/>
    <n v="0"/>
    <s v="NO"/>
  </r>
  <r>
    <n v="100763"/>
    <d v="2024-02-01T18:00:00"/>
    <x v="0"/>
    <s v="SKU-044"/>
    <x v="0"/>
    <s v="Accessories"/>
    <n v="1"/>
    <x v="734"/>
    <x v="0"/>
    <x v="3"/>
    <x v="0"/>
    <n v="48.09"/>
    <x v="565"/>
    <n v="45.685499999999998"/>
    <s v="NO"/>
    <s v="NO"/>
    <n v="45.685499999999998"/>
    <s v="NO"/>
  </r>
  <r>
    <n v="100764"/>
    <d v="2024-02-01T19:00:00"/>
    <x v="1"/>
    <s v="SKU-030"/>
    <x v="4"/>
    <s v="Accessories"/>
    <n v="1"/>
    <x v="735"/>
    <x v="2"/>
    <x v="0"/>
    <x v="0"/>
    <n v="68.23"/>
    <x v="566"/>
    <n v="57.995500000000007"/>
    <s v="NO"/>
    <s v="NO"/>
    <n v="57.995500000000007"/>
    <s v="NO"/>
  </r>
  <r>
    <n v="100765"/>
    <d v="2024-02-01T20:00:00"/>
    <x v="0"/>
    <s v="SKU-038"/>
    <x v="4"/>
    <s v="Accessories"/>
    <n v="2"/>
    <x v="718"/>
    <x v="2"/>
    <x v="0"/>
    <x v="0"/>
    <n v="21.64"/>
    <x v="567"/>
    <n v="18.393999999999998"/>
    <s v="NO"/>
    <s v="NO"/>
    <n v="18.393999999999998"/>
    <s v="NO"/>
  </r>
  <r>
    <n v="100766"/>
    <d v="2024-02-01T21:00:00"/>
    <x v="0"/>
    <s v="SKU-034"/>
    <x v="0"/>
    <s v="Electronics"/>
    <n v="5"/>
    <x v="736"/>
    <x v="3"/>
    <x v="2"/>
    <x v="0"/>
    <n v="270"/>
    <x v="13"/>
    <n v="270"/>
    <s v="NO"/>
    <s v="NO"/>
    <n v="270"/>
    <s v="NO"/>
  </r>
  <r>
    <n v="100767"/>
    <d v="2024-02-01T22:00:00"/>
    <x v="0"/>
    <s v="SKU-012"/>
    <x v="1"/>
    <s v="Electronics"/>
    <n v="2"/>
    <x v="737"/>
    <x v="1"/>
    <x v="2"/>
    <x v="0"/>
    <n v="201.44"/>
    <x v="568"/>
    <n v="181.29599999999999"/>
    <s v="NO"/>
    <s v="NO"/>
    <n v="181.29599999999999"/>
    <s v="NO"/>
  </r>
  <r>
    <n v="100768"/>
    <d v="2024-02-01T23:00:00"/>
    <x v="1"/>
    <s v="SKU-019"/>
    <x v="0"/>
    <s v="Electronics"/>
    <n v="1"/>
    <x v="738"/>
    <x v="0"/>
    <x v="1"/>
    <x v="0"/>
    <n v="97.65"/>
    <x v="569"/>
    <n v="92.767500000000013"/>
    <s v="NO"/>
    <s v="NO"/>
    <n v="92.767500000000013"/>
    <s v="NO"/>
  </r>
  <r>
    <n v="100769"/>
    <d v="2024-02-02T00:00:00"/>
    <x v="1"/>
    <s v="SKU-037"/>
    <x v="0"/>
    <s v="Accessories"/>
    <n v="2"/>
    <x v="739"/>
    <x v="1"/>
    <x v="0"/>
    <x v="2"/>
    <n v="61.6"/>
    <x v="570"/>
    <n v="55.44"/>
    <s v="YES"/>
    <s v="NO"/>
    <n v="0"/>
    <s v="NO"/>
  </r>
  <r>
    <n v="100770"/>
    <d v="2024-02-02T01:00:00"/>
    <x v="0"/>
    <s v="SKU-044"/>
    <x v="4"/>
    <s v="Electronics"/>
    <n v="2"/>
    <x v="740"/>
    <x v="2"/>
    <x v="0"/>
    <x v="0"/>
    <n v="62"/>
    <x v="571"/>
    <n v="52.7"/>
    <s v="NO"/>
    <s v="NO"/>
    <n v="52.7"/>
    <s v="NO"/>
  </r>
  <r>
    <n v="100771"/>
    <d v="2024-02-02T02:00:00"/>
    <x v="0"/>
    <s v="SKU-049"/>
    <x v="4"/>
    <s v="Accessories"/>
    <n v="5"/>
    <x v="741"/>
    <x v="1"/>
    <x v="2"/>
    <x v="0"/>
    <n v="494.95"/>
    <x v="572"/>
    <n v="445.45499999999998"/>
    <s v="NO"/>
    <s v="NO"/>
    <n v="445.45499999999998"/>
    <s v="NO"/>
  </r>
  <r>
    <n v="100772"/>
    <d v="2024-02-02T03:00:00"/>
    <x v="0"/>
    <s v="SKU-017"/>
    <x v="0"/>
    <s v="Electronics"/>
    <n v="4"/>
    <x v="742"/>
    <x v="0"/>
    <x v="3"/>
    <x v="0"/>
    <n v="448"/>
    <x v="573"/>
    <n v="425.6"/>
    <s v="NO"/>
    <s v="NO"/>
    <n v="425.6"/>
    <s v="NO"/>
  </r>
  <r>
    <n v="100773"/>
    <d v="2024-02-02T04:00:00"/>
    <x v="0"/>
    <s v="SKU-010"/>
    <x v="0"/>
    <s v="Electronics"/>
    <n v="1"/>
    <x v="743"/>
    <x v="1"/>
    <x v="1"/>
    <x v="0"/>
    <n v="15.97"/>
    <x v="574"/>
    <n v="14.372999999999999"/>
    <s v="NO"/>
    <s v="NO"/>
    <n v="14.372999999999999"/>
    <s v="NO"/>
  </r>
  <r>
    <n v="100774"/>
    <d v="2024-02-02T05:00:00"/>
    <x v="1"/>
    <s v="SKU-049"/>
    <x v="0"/>
    <s v="Accessories"/>
    <n v="5"/>
    <x v="744"/>
    <x v="0"/>
    <x v="1"/>
    <x v="1"/>
    <n v="283.8"/>
    <x v="575"/>
    <n v="269.61"/>
    <s v="YES"/>
    <s v="NO"/>
    <n v="-269.61"/>
    <s v="NO"/>
  </r>
  <r>
    <n v="100775"/>
    <d v="2024-02-02T06:00:00"/>
    <x v="1"/>
    <s v="SKU-047"/>
    <x v="4"/>
    <s v="Electronics"/>
    <n v="2"/>
    <x v="745"/>
    <x v="2"/>
    <x v="2"/>
    <x v="0"/>
    <n v="87.62"/>
    <x v="576"/>
    <n v="74.477000000000004"/>
    <s v="NO"/>
    <s v="NO"/>
    <n v="74.477000000000004"/>
    <s v="NO"/>
  </r>
  <r>
    <n v="100776"/>
    <d v="2024-02-02T07:00:00"/>
    <x v="0"/>
    <s v="SKU-012"/>
    <x v="0"/>
    <s v="Accessories"/>
    <n v="2"/>
    <x v="405"/>
    <x v="2"/>
    <x v="0"/>
    <x v="0"/>
    <n v="210.26"/>
    <x v="577"/>
    <n v="178.721"/>
    <s v="NO"/>
    <s v="NO"/>
    <n v="178.721"/>
    <s v="NO"/>
  </r>
  <r>
    <n v="100777"/>
    <d v="2024-02-02T08:00:00"/>
    <x v="0"/>
    <s v="SKU-016"/>
    <x v="0"/>
    <s v="Accessories"/>
    <n v="4"/>
    <x v="8"/>
    <x v="2"/>
    <x v="2"/>
    <x v="0"/>
    <n v="58.44"/>
    <x v="578"/>
    <n v="49.673999999999999"/>
    <s v="NO"/>
    <s v="NO"/>
    <n v="49.673999999999999"/>
    <s v="NO"/>
  </r>
  <r>
    <n v="100778"/>
    <d v="2024-02-02T09:00:00"/>
    <x v="1"/>
    <s v="SKU-024"/>
    <x v="3"/>
    <s v="Electronics"/>
    <n v="1"/>
    <x v="746"/>
    <x v="3"/>
    <x v="2"/>
    <x v="0"/>
    <n v="29.28"/>
    <x v="13"/>
    <n v="29.28"/>
    <s v="NO"/>
    <s v="NO"/>
    <n v="29.28"/>
    <s v="NO"/>
  </r>
  <r>
    <n v="100779"/>
    <d v="2024-02-02T10:00:00"/>
    <x v="1"/>
    <s v="SKU-019"/>
    <x v="1"/>
    <s v="Accessories"/>
    <n v="1"/>
    <x v="656"/>
    <x v="2"/>
    <x v="2"/>
    <x v="0"/>
    <n v="91.53"/>
    <x v="579"/>
    <n v="77.8005"/>
    <s v="NO"/>
    <s v="NO"/>
    <n v="77.8005"/>
    <s v="NO"/>
  </r>
  <r>
    <n v="100780"/>
    <d v="2024-02-02T11:00:00"/>
    <x v="0"/>
    <s v="SKU-008"/>
    <x v="2"/>
    <s v="Electronics"/>
    <n v="3"/>
    <x v="747"/>
    <x v="1"/>
    <x v="2"/>
    <x v="0"/>
    <n v="32.700000000000003"/>
    <x v="580"/>
    <n v="29.43"/>
    <s v="NO"/>
    <s v="NO"/>
    <n v="29.43"/>
    <s v="NO"/>
  </r>
  <r>
    <n v="100781"/>
    <d v="2024-02-02T12:00:00"/>
    <x v="0"/>
    <s v="SKU-031"/>
    <x v="1"/>
    <s v="Electronics"/>
    <n v="1"/>
    <x v="748"/>
    <x v="3"/>
    <x v="3"/>
    <x v="0"/>
    <n v="61.64"/>
    <x v="13"/>
    <n v="61.64"/>
    <s v="NO"/>
    <s v="NO"/>
    <n v="61.64"/>
    <s v="NO"/>
  </r>
  <r>
    <n v="100782"/>
    <d v="2024-02-02T13:00:00"/>
    <x v="0"/>
    <s v="SKU-021"/>
    <x v="3"/>
    <s v="Accessories"/>
    <n v="4"/>
    <x v="749"/>
    <x v="2"/>
    <x v="3"/>
    <x v="0"/>
    <n v="223.36"/>
    <x v="581"/>
    <n v="189.85599999999999"/>
    <s v="NO"/>
    <s v="NO"/>
    <n v="189.85599999999999"/>
    <s v="NO"/>
  </r>
  <r>
    <n v="100783"/>
    <d v="2024-02-02T14:00:00"/>
    <x v="1"/>
    <s v="SKU-017"/>
    <x v="2"/>
    <s v="Electronics"/>
    <n v="3"/>
    <x v="750"/>
    <x v="1"/>
    <x v="0"/>
    <x v="0"/>
    <n v="130.38"/>
    <x v="582"/>
    <n v="117.342"/>
    <s v="NO"/>
    <s v="NO"/>
    <n v="117.342"/>
    <s v="NO"/>
  </r>
  <r>
    <n v="100784"/>
    <d v="2024-02-02T15:00:00"/>
    <x v="1"/>
    <s v="SKU-023"/>
    <x v="0"/>
    <s v="Accessories"/>
    <n v="3"/>
    <x v="751"/>
    <x v="1"/>
    <x v="2"/>
    <x v="0"/>
    <n v="151.13999999999999"/>
    <x v="583"/>
    <n v="136.02600000000001"/>
    <s v="NO"/>
    <s v="NO"/>
    <n v="136.02600000000001"/>
    <s v="NO"/>
  </r>
  <r>
    <n v="100785"/>
    <d v="2024-02-02T16:00:00"/>
    <x v="1"/>
    <s v="SKU-037"/>
    <x v="3"/>
    <s v="Electronics"/>
    <n v="2"/>
    <x v="752"/>
    <x v="1"/>
    <x v="3"/>
    <x v="0"/>
    <n v="131.88"/>
    <x v="584"/>
    <n v="118.69199999999999"/>
    <s v="NO"/>
    <s v="NO"/>
    <n v="118.69199999999999"/>
    <s v="NO"/>
  </r>
  <r>
    <n v="100786"/>
    <d v="2024-02-02T17:00:00"/>
    <x v="0"/>
    <s v="SKU-016"/>
    <x v="0"/>
    <s v="Electronics"/>
    <n v="2"/>
    <x v="7"/>
    <x v="0"/>
    <x v="0"/>
    <x v="0"/>
    <n v="47.12"/>
    <x v="585"/>
    <n v="44.764000000000003"/>
    <s v="NO"/>
    <s v="NO"/>
    <n v="44.764000000000003"/>
    <s v="NO"/>
  </r>
  <r>
    <n v="100787"/>
    <d v="2024-02-02T18:00:00"/>
    <x v="0"/>
    <s v="SKU-006"/>
    <x v="4"/>
    <s v="Electronics"/>
    <n v="1"/>
    <x v="753"/>
    <x v="3"/>
    <x v="2"/>
    <x v="0"/>
    <n v="70.78"/>
    <x v="13"/>
    <n v="70.78"/>
    <s v="NO"/>
    <s v="NO"/>
    <n v="70.78"/>
    <s v="NO"/>
  </r>
  <r>
    <n v="100788"/>
    <d v="2024-02-02T19:00:00"/>
    <x v="1"/>
    <s v="SKU-008"/>
    <x v="3"/>
    <s v="Electronics"/>
    <n v="3"/>
    <x v="682"/>
    <x v="1"/>
    <x v="1"/>
    <x v="0"/>
    <n v="292.86"/>
    <x v="586"/>
    <n v="263.57400000000001"/>
    <s v="NO"/>
    <s v="NO"/>
    <n v="263.57400000000001"/>
    <s v="NO"/>
  </r>
  <r>
    <n v="100789"/>
    <d v="2024-02-02T20:00:00"/>
    <x v="1"/>
    <s v="SKU-025"/>
    <x v="4"/>
    <s v="Electronics"/>
    <n v="2"/>
    <x v="754"/>
    <x v="0"/>
    <x v="3"/>
    <x v="1"/>
    <n v="184.84"/>
    <x v="587"/>
    <n v="175.59800000000001"/>
    <s v="YES"/>
    <s v="NO"/>
    <n v="-175.59800000000001"/>
    <s v="NO"/>
  </r>
  <r>
    <n v="100790"/>
    <d v="2024-02-02T21:00:00"/>
    <x v="0"/>
    <s v="SKU-018"/>
    <x v="3"/>
    <s v="Accessories"/>
    <n v="4"/>
    <x v="755"/>
    <x v="2"/>
    <x v="0"/>
    <x v="0"/>
    <n v="90.8"/>
    <x v="588"/>
    <n v="77.179999999999993"/>
    <s v="NO"/>
    <s v="NO"/>
    <n v="77.179999999999993"/>
    <s v="NO"/>
  </r>
  <r>
    <n v="100791"/>
    <d v="2024-02-02T22:00:00"/>
    <x v="1"/>
    <s v="SKU-025"/>
    <x v="3"/>
    <s v="Accessories"/>
    <n v="2"/>
    <x v="756"/>
    <x v="1"/>
    <x v="1"/>
    <x v="0"/>
    <n v="44.32"/>
    <x v="589"/>
    <n v="39.887999999999998"/>
    <s v="NO"/>
    <s v="NO"/>
    <n v="39.887999999999998"/>
    <s v="NO"/>
  </r>
  <r>
    <n v="100792"/>
    <d v="2024-02-02T23:00:00"/>
    <x v="1"/>
    <s v="SKU-012"/>
    <x v="4"/>
    <s v="Accessories"/>
    <n v="2"/>
    <x v="757"/>
    <x v="0"/>
    <x v="2"/>
    <x v="2"/>
    <n v="71.680000000000007"/>
    <x v="590"/>
    <n v="68.096000000000004"/>
    <s v="YES"/>
    <s v="NO"/>
    <n v="0"/>
    <s v="NO"/>
  </r>
  <r>
    <n v="100793"/>
    <d v="2024-02-03T00:00:00"/>
    <x v="0"/>
    <s v="SKU-015"/>
    <x v="2"/>
    <s v="Accessories"/>
    <n v="3"/>
    <x v="758"/>
    <x v="1"/>
    <x v="2"/>
    <x v="0"/>
    <n v="139.56"/>
    <x v="591"/>
    <n v="125.604"/>
    <s v="NO"/>
    <s v="NO"/>
    <n v="125.604"/>
    <s v="NO"/>
  </r>
  <r>
    <n v="100794"/>
    <d v="2024-02-03T01:00:00"/>
    <x v="1"/>
    <s v="SKU-026"/>
    <x v="1"/>
    <s v="Accessories"/>
    <n v="3"/>
    <x v="759"/>
    <x v="3"/>
    <x v="2"/>
    <x v="0"/>
    <n v="155.91"/>
    <x v="13"/>
    <n v="155.91"/>
    <s v="NO"/>
    <s v="NO"/>
    <n v="155.91"/>
    <s v="NO"/>
  </r>
  <r>
    <n v="100795"/>
    <d v="2024-02-03T02:00:00"/>
    <x v="0"/>
    <s v="SKU-041"/>
    <x v="0"/>
    <s v="Accessories"/>
    <n v="5"/>
    <x v="760"/>
    <x v="3"/>
    <x v="3"/>
    <x v="0"/>
    <n v="415.85"/>
    <x v="13"/>
    <n v="415.85"/>
    <s v="NO"/>
    <s v="NO"/>
    <n v="415.85"/>
    <s v="NO"/>
  </r>
  <r>
    <n v="100796"/>
    <d v="2024-02-03T03:00:00"/>
    <x v="0"/>
    <s v="SKU-045"/>
    <x v="3"/>
    <s v="Electronics"/>
    <n v="4"/>
    <x v="761"/>
    <x v="2"/>
    <x v="0"/>
    <x v="0"/>
    <n v="46.08"/>
    <x v="592"/>
    <n v="39.167999999999999"/>
    <s v="NO"/>
    <s v="NO"/>
    <n v="39.167999999999999"/>
    <s v="NO"/>
  </r>
  <r>
    <n v="100797"/>
    <d v="2024-02-03T04:00:00"/>
    <x v="0"/>
    <s v="SKU-026"/>
    <x v="0"/>
    <s v="Electronics"/>
    <n v="3"/>
    <x v="762"/>
    <x v="1"/>
    <x v="1"/>
    <x v="0"/>
    <n v="26.97"/>
    <x v="593"/>
    <n v="24.273"/>
    <s v="NO"/>
    <s v="NO"/>
    <n v="24.273"/>
    <s v="NO"/>
  </r>
  <r>
    <n v="100798"/>
    <d v="2024-02-03T05:00:00"/>
    <x v="0"/>
    <s v="SKU-047"/>
    <x v="4"/>
    <s v="Accessories"/>
    <n v="1"/>
    <x v="763"/>
    <x v="0"/>
    <x v="0"/>
    <x v="0"/>
    <n v="50.07"/>
    <x v="594"/>
    <n v="47.566499999999998"/>
    <s v="NO"/>
    <s v="NO"/>
    <n v="47.566499999999998"/>
    <s v="NO"/>
  </r>
  <r>
    <n v="100799"/>
    <d v="2024-02-03T06:00:00"/>
    <x v="0"/>
    <s v="SKU-032"/>
    <x v="0"/>
    <s v="Accessories"/>
    <n v="4"/>
    <x v="242"/>
    <x v="2"/>
    <x v="3"/>
    <x v="2"/>
    <n v="340.68"/>
    <x v="595"/>
    <n v="289.57799999999997"/>
    <s v="YES"/>
    <s v="NO"/>
    <n v="0"/>
    <s v="NO"/>
  </r>
  <r>
    <n v="100800"/>
    <d v="2024-02-03T07:00:00"/>
    <x v="0"/>
    <s v="SKU-010"/>
    <x v="4"/>
    <s v="Electronics"/>
    <n v="4"/>
    <x v="764"/>
    <x v="1"/>
    <x v="0"/>
    <x v="0"/>
    <n v="109"/>
    <x v="596"/>
    <n v="98.1"/>
    <s v="NO"/>
    <s v="NO"/>
    <n v="98.1"/>
    <s v="NO"/>
  </r>
  <r>
    <n v="100801"/>
    <d v="2024-02-03T08:00:00"/>
    <x v="0"/>
    <s v="SKU-016"/>
    <x v="0"/>
    <s v="Electronics"/>
    <n v="3"/>
    <x v="765"/>
    <x v="2"/>
    <x v="3"/>
    <x v="0"/>
    <n v="236.31"/>
    <x v="597"/>
    <n v="200.86349999999999"/>
    <s v="NO"/>
    <s v="NO"/>
    <n v="200.86349999999999"/>
    <s v="NO"/>
  </r>
  <r>
    <n v="100802"/>
    <d v="2024-02-03T09:00:00"/>
    <x v="1"/>
    <s v="SKU-007"/>
    <x v="1"/>
    <s v="Electronics"/>
    <n v="4"/>
    <x v="766"/>
    <x v="0"/>
    <x v="2"/>
    <x v="0"/>
    <n v="139.52000000000001"/>
    <x v="598"/>
    <n v="132.54400000000001"/>
    <s v="NO"/>
    <s v="NO"/>
    <n v="132.54400000000001"/>
    <s v="NO"/>
  </r>
  <r>
    <n v="100803"/>
    <d v="2024-02-03T10:00:00"/>
    <x v="0"/>
    <s v="SKU-017"/>
    <x v="1"/>
    <s v="Accessories"/>
    <n v="3"/>
    <x v="280"/>
    <x v="2"/>
    <x v="1"/>
    <x v="0"/>
    <n v="320.7"/>
    <x v="599"/>
    <n v="272.59500000000003"/>
    <s v="NO"/>
    <s v="NO"/>
    <n v="272.59500000000003"/>
    <s v="NO"/>
  </r>
  <r>
    <n v="100804"/>
    <d v="2024-02-03T11:00:00"/>
    <x v="0"/>
    <s v="SKU-023"/>
    <x v="1"/>
    <s v="Accessories"/>
    <n v="2"/>
    <x v="45"/>
    <x v="2"/>
    <x v="2"/>
    <x v="0"/>
    <n v="216"/>
    <x v="600"/>
    <n v="183.6"/>
    <s v="NO"/>
    <s v="NO"/>
    <n v="183.6"/>
    <s v="NO"/>
  </r>
  <r>
    <n v="100805"/>
    <d v="2024-02-03T12:00:00"/>
    <x v="1"/>
    <s v="SKU-026"/>
    <x v="1"/>
    <s v="Accessories"/>
    <n v="5"/>
    <x v="767"/>
    <x v="2"/>
    <x v="0"/>
    <x v="0"/>
    <n v="195.95"/>
    <x v="601"/>
    <n v="166.5575"/>
    <s v="NO"/>
    <s v="NO"/>
    <n v="166.5575"/>
    <s v="NO"/>
  </r>
  <r>
    <n v="100806"/>
    <d v="2024-02-03T13:00:00"/>
    <x v="1"/>
    <s v="SKU-021"/>
    <x v="1"/>
    <s v="Electronics"/>
    <n v="2"/>
    <x v="768"/>
    <x v="1"/>
    <x v="2"/>
    <x v="0"/>
    <n v="62.9"/>
    <x v="602"/>
    <n v="56.61"/>
    <s v="NO"/>
    <s v="NO"/>
    <n v="56.61"/>
    <s v="NO"/>
  </r>
  <r>
    <n v="100807"/>
    <d v="2024-02-03T14:00:00"/>
    <x v="1"/>
    <s v="SKU-022"/>
    <x v="1"/>
    <s v="Electronics"/>
    <n v="3"/>
    <x v="769"/>
    <x v="0"/>
    <x v="1"/>
    <x v="0"/>
    <n v="156.9"/>
    <x v="603"/>
    <n v="149.05500000000001"/>
    <s v="NO"/>
    <s v="NO"/>
    <n v="149.05500000000001"/>
    <s v="NO"/>
  </r>
  <r>
    <n v="100808"/>
    <d v="2024-02-03T15:00:00"/>
    <x v="0"/>
    <s v="SKU-007"/>
    <x v="4"/>
    <s v="Accessories"/>
    <n v="3"/>
    <x v="770"/>
    <x v="3"/>
    <x v="2"/>
    <x v="1"/>
    <n v="97.97999999999999"/>
    <x v="13"/>
    <n v="97.97999999999999"/>
    <s v="YES"/>
    <s v="NO"/>
    <n v="-97.97999999999999"/>
    <s v="NO"/>
  </r>
  <r>
    <n v="100809"/>
    <d v="2024-02-03T16:00:00"/>
    <x v="1"/>
    <s v="SKU-014"/>
    <x v="3"/>
    <s v="Accessories"/>
    <n v="2"/>
    <x v="771"/>
    <x v="1"/>
    <x v="1"/>
    <x v="1"/>
    <n v="164.64"/>
    <x v="604"/>
    <n v="148.17599999999999"/>
    <s v="YES"/>
    <s v="NO"/>
    <n v="-148.17599999999999"/>
    <s v="NO"/>
  </r>
  <r>
    <n v="100810"/>
    <d v="2024-02-03T17:00:00"/>
    <x v="0"/>
    <s v="SKU-015"/>
    <x v="0"/>
    <s v="Electronics"/>
    <n v="1"/>
    <x v="772"/>
    <x v="3"/>
    <x v="1"/>
    <x v="0"/>
    <n v="100"/>
    <x v="13"/>
    <n v="100"/>
    <s v="NO"/>
    <s v="NO"/>
    <n v="100"/>
    <s v="NO"/>
  </r>
  <r>
    <n v="100811"/>
    <d v="2024-02-03T18:00:00"/>
    <x v="0"/>
    <s v="SKU-007"/>
    <x v="1"/>
    <s v="Electronics"/>
    <n v="1"/>
    <x v="773"/>
    <x v="3"/>
    <x v="2"/>
    <x v="0"/>
    <n v="82.41"/>
    <x v="13"/>
    <n v="82.41"/>
    <s v="NO"/>
    <s v="NO"/>
    <n v="82.41"/>
    <s v="NO"/>
  </r>
  <r>
    <n v="100812"/>
    <d v="2024-02-03T19:00:00"/>
    <x v="0"/>
    <s v="SKU-009"/>
    <x v="4"/>
    <s v="Electronics"/>
    <n v="1"/>
    <x v="774"/>
    <x v="1"/>
    <x v="3"/>
    <x v="0"/>
    <n v="99.8"/>
    <x v="605"/>
    <n v="89.82"/>
    <s v="NO"/>
    <s v="NO"/>
    <n v="89.82"/>
    <s v="NO"/>
  </r>
  <r>
    <n v="100813"/>
    <d v="2024-02-03T20:00:00"/>
    <x v="0"/>
    <s v="SKU-048"/>
    <x v="4"/>
    <s v="Electronics"/>
    <n v="3"/>
    <x v="775"/>
    <x v="1"/>
    <x v="0"/>
    <x v="1"/>
    <n v="151.94999999999999"/>
    <x v="606"/>
    <n v="136.755"/>
    <s v="YES"/>
    <s v="NO"/>
    <n v="-136.755"/>
    <s v="NO"/>
  </r>
  <r>
    <n v="100814"/>
    <d v="2024-02-03T21:00:00"/>
    <x v="1"/>
    <s v="SKU-008"/>
    <x v="4"/>
    <s v="Accessories"/>
    <n v="4"/>
    <x v="776"/>
    <x v="0"/>
    <x v="3"/>
    <x v="0"/>
    <n v="91.92"/>
    <x v="607"/>
    <n v="87.323999999999998"/>
    <s v="NO"/>
    <s v="NO"/>
    <n v="87.323999999999998"/>
    <s v="NO"/>
  </r>
  <r>
    <n v="100815"/>
    <d v="2024-02-03T22:00:00"/>
    <x v="1"/>
    <s v="SKU-050"/>
    <x v="3"/>
    <s v="Electronics"/>
    <n v="3"/>
    <x v="777"/>
    <x v="0"/>
    <x v="3"/>
    <x v="0"/>
    <n v="269.58"/>
    <x v="608"/>
    <n v="256.101"/>
    <s v="NO"/>
    <s v="NO"/>
    <n v="256.101"/>
    <s v="NO"/>
  </r>
  <r>
    <n v="100816"/>
    <d v="2024-02-03T23:00:00"/>
    <x v="0"/>
    <s v="SKU-023"/>
    <x v="0"/>
    <s v="Electronics"/>
    <n v="4"/>
    <x v="198"/>
    <x v="2"/>
    <x v="2"/>
    <x v="0"/>
    <n v="185.8"/>
    <x v="609"/>
    <n v="157.93"/>
    <s v="NO"/>
    <s v="NO"/>
    <n v="157.93"/>
    <s v="NO"/>
  </r>
  <r>
    <n v="100817"/>
    <d v="2024-02-04T00:00:00"/>
    <x v="0"/>
    <s v="SKU-029"/>
    <x v="3"/>
    <s v="Electronics"/>
    <n v="2"/>
    <x v="778"/>
    <x v="3"/>
    <x v="0"/>
    <x v="0"/>
    <n v="164.4"/>
    <x v="13"/>
    <n v="164.4"/>
    <s v="NO"/>
    <s v="NO"/>
    <n v="164.4"/>
    <s v="NO"/>
  </r>
  <r>
    <n v="100818"/>
    <d v="2024-02-04T01:00:00"/>
    <x v="0"/>
    <s v="SKU-018"/>
    <x v="2"/>
    <s v="Accessories"/>
    <n v="5"/>
    <x v="779"/>
    <x v="0"/>
    <x v="0"/>
    <x v="0"/>
    <n v="180.6"/>
    <x v="610"/>
    <n v="171.57"/>
    <s v="NO"/>
    <s v="NO"/>
    <n v="171.57"/>
    <s v="NO"/>
  </r>
  <r>
    <n v="100819"/>
    <d v="2024-02-04T02:00:00"/>
    <x v="1"/>
    <s v="SKU-031"/>
    <x v="4"/>
    <s v="Accessories"/>
    <n v="4"/>
    <x v="780"/>
    <x v="2"/>
    <x v="3"/>
    <x v="0"/>
    <n v="57.36"/>
    <x v="611"/>
    <n v="48.756"/>
    <s v="NO"/>
    <s v="NO"/>
    <n v="48.756"/>
    <s v="NO"/>
  </r>
  <r>
    <n v="100820"/>
    <d v="2024-02-04T03:00:00"/>
    <x v="0"/>
    <s v="SKU-030"/>
    <x v="2"/>
    <s v="Electronics"/>
    <n v="1"/>
    <x v="781"/>
    <x v="0"/>
    <x v="2"/>
    <x v="0"/>
    <n v="119.15"/>
    <x v="612"/>
    <n v="113.1925"/>
    <s v="NO"/>
    <s v="NO"/>
    <n v="113.1925"/>
    <s v="NO"/>
  </r>
  <r>
    <n v="100821"/>
    <d v="2024-02-04T04:00:00"/>
    <x v="0"/>
    <s v="SKU-039"/>
    <x v="1"/>
    <s v="Electronics"/>
    <n v="3"/>
    <x v="245"/>
    <x v="1"/>
    <x v="0"/>
    <x v="0"/>
    <n v="68.88"/>
    <x v="613"/>
    <n v="61.991999999999997"/>
    <s v="NO"/>
    <s v="NO"/>
    <n v="61.991999999999997"/>
    <s v="NO"/>
  </r>
  <r>
    <n v="100822"/>
    <d v="2024-02-04T05:00:00"/>
    <x v="1"/>
    <s v="SKU-035"/>
    <x v="1"/>
    <s v="Electronics"/>
    <n v="2"/>
    <x v="782"/>
    <x v="0"/>
    <x v="3"/>
    <x v="0"/>
    <n v="237.34"/>
    <x v="614"/>
    <n v="225.47300000000001"/>
    <s v="NO"/>
    <s v="NO"/>
    <n v="225.47300000000001"/>
    <s v="NO"/>
  </r>
  <r>
    <n v="100823"/>
    <d v="2024-02-04T06:00:00"/>
    <x v="1"/>
    <s v="SKU-018"/>
    <x v="3"/>
    <s v="Accessories"/>
    <n v="1"/>
    <x v="783"/>
    <x v="3"/>
    <x v="0"/>
    <x v="0"/>
    <n v="117.39"/>
    <x v="13"/>
    <n v="117.39"/>
    <s v="NO"/>
    <s v="NO"/>
    <n v="117.39"/>
    <s v="NO"/>
  </r>
  <r>
    <n v="100824"/>
    <d v="2024-02-04T07:00:00"/>
    <x v="0"/>
    <s v="SKU-042"/>
    <x v="0"/>
    <s v="Accessories"/>
    <n v="2"/>
    <x v="784"/>
    <x v="0"/>
    <x v="2"/>
    <x v="1"/>
    <n v="192.58"/>
    <x v="615"/>
    <n v="182.95099999999999"/>
    <s v="YES"/>
    <s v="NO"/>
    <n v="-182.95099999999999"/>
    <s v="NO"/>
  </r>
  <r>
    <n v="100825"/>
    <d v="2024-02-04T08:00:00"/>
    <x v="1"/>
    <s v="SKU-039"/>
    <x v="2"/>
    <s v="Accessories"/>
    <n v="5"/>
    <x v="785"/>
    <x v="3"/>
    <x v="2"/>
    <x v="0"/>
    <n v="404.15"/>
    <x v="13"/>
    <n v="404.15"/>
    <s v="NO"/>
    <s v="NO"/>
    <n v="404.15"/>
    <s v="NO"/>
  </r>
  <r>
    <n v="100826"/>
    <d v="2024-02-04T09:00:00"/>
    <x v="1"/>
    <s v="SKU-017"/>
    <x v="0"/>
    <s v="Electronics"/>
    <n v="3"/>
    <x v="786"/>
    <x v="1"/>
    <x v="2"/>
    <x v="1"/>
    <n v="214.35"/>
    <x v="616"/>
    <n v="192.91499999999999"/>
    <s v="YES"/>
    <s v="NO"/>
    <n v="-192.91499999999999"/>
    <s v="NO"/>
  </r>
  <r>
    <n v="100827"/>
    <d v="2024-02-04T10:00:00"/>
    <x v="0"/>
    <s v="SKU-014"/>
    <x v="3"/>
    <s v="Accessories"/>
    <n v="3"/>
    <x v="787"/>
    <x v="3"/>
    <x v="0"/>
    <x v="0"/>
    <n v="313.8"/>
    <x v="13"/>
    <n v="313.8"/>
    <s v="NO"/>
    <s v="NO"/>
    <n v="313.8"/>
    <s v="NO"/>
  </r>
  <r>
    <n v="100828"/>
    <d v="2024-02-04T11:00:00"/>
    <x v="1"/>
    <s v="SKU-031"/>
    <x v="1"/>
    <s v="Electronics"/>
    <n v="5"/>
    <x v="788"/>
    <x v="0"/>
    <x v="1"/>
    <x v="0"/>
    <n v="191.45"/>
    <x v="617"/>
    <n v="181.8775"/>
    <s v="NO"/>
    <s v="NO"/>
    <n v="181.8775"/>
    <s v="NO"/>
  </r>
  <r>
    <n v="100829"/>
    <d v="2024-02-04T12:00:00"/>
    <x v="0"/>
    <s v="SKU-024"/>
    <x v="0"/>
    <s v="Electronics"/>
    <n v="3"/>
    <x v="789"/>
    <x v="2"/>
    <x v="0"/>
    <x v="0"/>
    <n v="176.34"/>
    <x v="618"/>
    <n v="149.88900000000001"/>
    <s v="NO"/>
    <s v="NO"/>
    <n v="149.88900000000001"/>
    <s v="NO"/>
  </r>
  <r>
    <n v="100830"/>
    <d v="2024-02-04T13:00:00"/>
    <x v="1"/>
    <s v="SKU-035"/>
    <x v="0"/>
    <s v="Electronics"/>
    <n v="4"/>
    <x v="790"/>
    <x v="1"/>
    <x v="1"/>
    <x v="0"/>
    <n v="304.92"/>
    <x v="619"/>
    <n v="274.428"/>
    <s v="NO"/>
    <s v="NO"/>
    <n v="274.428"/>
    <s v="NO"/>
  </r>
  <r>
    <n v="100831"/>
    <d v="2024-02-04T14:00:00"/>
    <x v="0"/>
    <s v="SKU-044"/>
    <x v="1"/>
    <s v="Accessories"/>
    <n v="2"/>
    <x v="195"/>
    <x v="0"/>
    <x v="2"/>
    <x v="0"/>
    <n v="104.58"/>
    <x v="620"/>
    <n v="99.350999999999999"/>
    <s v="NO"/>
    <s v="NO"/>
    <n v="99.350999999999999"/>
    <s v="NO"/>
  </r>
  <r>
    <n v="100832"/>
    <d v="2024-02-04T15:00:00"/>
    <x v="0"/>
    <s v="SKU-045"/>
    <x v="2"/>
    <s v="Electronics"/>
    <n v="1"/>
    <x v="791"/>
    <x v="1"/>
    <x v="3"/>
    <x v="0"/>
    <n v="54.16"/>
    <x v="621"/>
    <n v="48.744"/>
    <s v="NO"/>
    <s v="NO"/>
    <n v="48.744"/>
    <s v="NO"/>
  </r>
  <r>
    <n v="100833"/>
    <d v="2024-02-04T16:00:00"/>
    <x v="0"/>
    <s v="SKU-034"/>
    <x v="1"/>
    <s v="Accessories"/>
    <n v="5"/>
    <x v="792"/>
    <x v="1"/>
    <x v="1"/>
    <x v="0"/>
    <n v="214.9"/>
    <x v="622"/>
    <n v="193.41"/>
    <s v="NO"/>
    <s v="NO"/>
    <n v="193.41"/>
    <s v="NO"/>
  </r>
  <r>
    <n v="100834"/>
    <d v="2024-02-04T17:00:00"/>
    <x v="1"/>
    <s v="SKU-003"/>
    <x v="0"/>
    <s v="Accessories"/>
    <n v="4"/>
    <x v="793"/>
    <x v="0"/>
    <x v="2"/>
    <x v="0"/>
    <n v="279.56"/>
    <x v="623"/>
    <n v="265.58199999999999"/>
    <s v="NO"/>
    <s v="NO"/>
    <n v="265.58199999999999"/>
    <s v="NO"/>
  </r>
  <r>
    <n v="100835"/>
    <d v="2024-02-04T18:00:00"/>
    <x v="0"/>
    <s v="SKU-037"/>
    <x v="2"/>
    <s v="Electronics"/>
    <n v="1"/>
    <x v="794"/>
    <x v="0"/>
    <x v="2"/>
    <x v="0"/>
    <n v="102.82"/>
    <x v="624"/>
    <n v="97.678999999999988"/>
    <s v="NO"/>
    <s v="NO"/>
    <n v="97.678999999999988"/>
    <s v="NO"/>
  </r>
  <r>
    <n v="100836"/>
    <d v="2024-02-04T19:00:00"/>
    <x v="1"/>
    <s v="SKU-043"/>
    <x v="2"/>
    <s v="Electronics"/>
    <n v="1"/>
    <x v="795"/>
    <x v="2"/>
    <x v="1"/>
    <x v="1"/>
    <n v="28.18"/>
    <x v="625"/>
    <n v="23.952999999999999"/>
    <s v="YES"/>
    <s v="NO"/>
    <n v="-23.952999999999999"/>
    <s v="NO"/>
  </r>
  <r>
    <n v="100837"/>
    <d v="2024-02-04T20:00:00"/>
    <x v="0"/>
    <s v="SKU-040"/>
    <x v="1"/>
    <s v="Accessories"/>
    <n v="5"/>
    <x v="796"/>
    <x v="1"/>
    <x v="3"/>
    <x v="0"/>
    <n v="562.29999999999995"/>
    <x v="626"/>
    <n v="506.06999999999988"/>
    <s v="NO"/>
    <s v="NO"/>
    <n v="506.06999999999988"/>
    <s v="YES"/>
  </r>
  <r>
    <n v="100838"/>
    <d v="2024-02-04T21:00:00"/>
    <x v="0"/>
    <s v="SKU-026"/>
    <x v="0"/>
    <s v="Electronics"/>
    <n v="4"/>
    <x v="797"/>
    <x v="1"/>
    <x v="2"/>
    <x v="2"/>
    <n v="337"/>
    <x v="627"/>
    <n v="303.3"/>
    <s v="YES"/>
    <s v="NO"/>
    <n v="0"/>
    <s v="NO"/>
  </r>
  <r>
    <n v="100839"/>
    <d v="2024-02-04T22:00:00"/>
    <x v="1"/>
    <s v="SKU-023"/>
    <x v="3"/>
    <s v="Accessories"/>
    <n v="1"/>
    <x v="798"/>
    <x v="0"/>
    <x v="1"/>
    <x v="0"/>
    <n v="99.68"/>
    <x v="628"/>
    <n v="94.696000000000012"/>
    <s v="NO"/>
    <s v="NO"/>
    <n v="94.696000000000012"/>
    <s v="NO"/>
  </r>
  <r>
    <n v="100840"/>
    <d v="2024-02-04T23:00:00"/>
    <x v="0"/>
    <s v="SKU-044"/>
    <x v="0"/>
    <s v="Electronics"/>
    <n v="1"/>
    <x v="799"/>
    <x v="3"/>
    <x v="3"/>
    <x v="0"/>
    <n v="68.959999999999994"/>
    <x v="13"/>
    <n v="68.959999999999994"/>
    <s v="NO"/>
    <s v="NO"/>
    <n v="68.959999999999994"/>
    <s v="NO"/>
  </r>
  <r>
    <n v="100841"/>
    <d v="2024-02-05T00:00:00"/>
    <x v="0"/>
    <s v="SKU-039"/>
    <x v="4"/>
    <s v="Accessories"/>
    <n v="4"/>
    <x v="800"/>
    <x v="0"/>
    <x v="3"/>
    <x v="0"/>
    <n v="378.56"/>
    <x v="629"/>
    <n v="359.63200000000001"/>
    <s v="NO"/>
    <s v="NO"/>
    <n v="359.63200000000001"/>
    <s v="NO"/>
  </r>
  <r>
    <n v="100842"/>
    <d v="2024-02-05T01:00:00"/>
    <x v="1"/>
    <s v="SKU-015"/>
    <x v="3"/>
    <s v="Accessories"/>
    <n v="3"/>
    <x v="801"/>
    <x v="1"/>
    <x v="2"/>
    <x v="0"/>
    <n v="20.58"/>
    <x v="547"/>
    <n v="18.521999999999998"/>
    <s v="NO"/>
    <s v="NO"/>
    <n v="18.521999999999998"/>
    <s v="NO"/>
  </r>
  <r>
    <n v="100843"/>
    <d v="2024-02-05T02:00:00"/>
    <x v="0"/>
    <s v="SKU-049"/>
    <x v="2"/>
    <s v="Accessories"/>
    <n v="1"/>
    <x v="802"/>
    <x v="0"/>
    <x v="0"/>
    <x v="0"/>
    <n v="99.11"/>
    <x v="630"/>
    <n v="94.154499999999999"/>
    <s v="NO"/>
    <s v="NO"/>
    <n v="94.154499999999999"/>
    <s v="NO"/>
  </r>
  <r>
    <n v="100844"/>
    <d v="2024-02-05T03:00:00"/>
    <x v="0"/>
    <s v="SKU-004"/>
    <x v="3"/>
    <s v="Accessories"/>
    <n v="2"/>
    <x v="803"/>
    <x v="2"/>
    <x v="0"/>
    <x v="0"/>
    <n v="19.239999999999998"/>
    <x v="631"/>
    <n v="16.353999999999999"/>
    <s v="NO"/>
    <s v="NO"/>
    <n v="16.353999999999999"/>
    <s v="NO"/>
  </r>
  <r>
    <n v="100845"/>
    <d v="2024-02-05T04:00:00"/>
    <x v="0"/>
    <s v="SKU-029"/>
    <x v="2"/>
    <s v="Electronics"/>
    <n v="4"/>
    <x v="804"/>
    <x v="3"/>
    <x v="2"/>
    <x v="0"/>
    <n v="429.36"/>
    <x v="13"/>
    <n v="429.36"/>
    <s v="NO"/>
    <s v="NO"/>
    <n v="429.36"/>
    <s v="NO"/>
  </r>
  <r>
    <n v="100846"/>
    <d v="2024-02-05T05:00:00"/>
    <x v="0"/>
    <s v="SKU-022"/>
    <x v="2"/>
    <s v="Electronics"/>
    <n v="1"/>
    <x v="805"/>
    <x v="0"/>
    <x v="3"/>
    <x v="0"/>
    <n v="119.08"/>
    <x v="41"/>
    <n v="113.126"/>
    <s v="NO"/>
    <s v="NO"/>
    <n v="113.126"/>
    <s v="NO"/>
  </r>
  <r>
    <n v="100847"/>
    <d v="2024-02-05T06:00:00"/>
    <x v="1"/>
    <s v="SKU-025"/>
    <x v="3"/>
    <s v="Accessories"/>
    <n v="5"/>
    <x v="806"/>
    <x v="2"/>
    <x v="2"/>
    <x v="0"/>
    <n v="194.1"/>
    <x v="632"/>
    <n v="164.98500000000001"/>
    <s v="NO"/>
    <s v="NO"/>
    <n v="164.98500000000001"/>
    <s v="NO"/>
  </r>
  <r>
    <n v="100848"/>
    <d v="2024-02-05T07:00:00"/>
    <x v="1"/>
    <s v="SKU-013"/>
    <x v="2"/>
    <s v="Accessories"/>
    <n v="2"/>
    <x v="807"/>
    <x v="1"/>
    <x v="1"/>
    <x v="0"/>
    <n v="58.38"/>
    <x v="633"/>
    <n v="52.542000000000002"/>
    <s v="NO"/>
    <s v="NO"/>
    <n v="52.542000000000002"/>
    <s v="NO"/>
  </r>
  <r>
    <n v="100849"/>
    <d v="2024-02-05T08:00:00"/>
    <x v="0"/>
    <s v="SKU-018"/>
    <x v="2"/>
    <s v="Electronics"/>
    <n v="1"/>
    <x v="808"/>
    <x v="0"/>
    <x v="0"/>
    <x v="0"/>
    <n v="93.02"/>
    <x v="634"/>
    <n v="88.369"/>
    <s v="NO"/>
    <s v="NO"/>
    <n v="88.369"/>
    <s v="NO"/>
  </r>
  <r>
    <n v="100850"/>
    <d v="2024-02-05T09:00:00"/>
    <x v="1"/>
    <s v="SKU-033"/>
    <x v="4"/>
    <s v="Electronics"/>
    <n v="2"/>
    <x v="809"/>
    <x v="1"/>
    <x v="1"/>
    <x v="0"/>
    <n v="68.2"/>
    <x v="635"/>
    <n v="61.38"/>
    <s v="NO"/>
    <s v="NO"/>
    <n v="61.38"/>
    <s v="NO"/>
  </r>
  <r>
    <n v="100851"/>
    <d v="2024-02-05T10:00:00"/>
    <x v="0"/>
    <s v="SKU-016"/>
    <x v="0"/>
    <s v="Electronics"/>
    <n v="2"/>
    <x v="810"/>
    <x v="2"/>
    <x v="2"/>
    <x v="0"/>
    <n v="209.08"/>
    <x v="636"/>
    <n v="177.71799999999999"/>
    <s v="NO"/>
    <s v="NO"/>
    <n v="177.71799999999999"/>
    <s v="NO"/>
  </r>
  <r>
    <n v="100852"/>
    <d v="2024-02-05T11:00:00"/>
    <x v="1"/>
    <s v="SKU-045"/>
    <x v="0"/>
    <s v="Electronics"/>
    <n v="3"/>
    <x v="811"/>
    <x v="1"/>
    <x v="2"/>
    <x v="0"/>
    <n v="50.489999999999988"/>
    <x v="637"/>
    <n v="45.441000000000003"/>
    <s v="NO"/>
    <s v="NO"/>
    <n v="45.441000000000003"/>
    <s v="NO"/>
  </r>
  <r>
    <n v="100853"/>
    <d v="2024-02-05T12:00:00"/>
    <x v="0"/>
    <s v="SKU-042"/>
    <x v="4"/>
    <s v="Electronics"/>
    <n v="2"/>
    <x v="812"/>
    <x v="2"/>
    <x v="3"/>
    <x v="0"/>
    <n v="38.96"/>
    <x v="638"/>
    <n v="33.116"/>
    <s v="NO"/>
    <s v="NO"/>
    <n v="33.116"/>
    <s v="NO"/>
  </r>
  <r>
    <n v="100854"/>
    <d v="2024-02-05T13:00:00"/>
    <x v="0"/>
    <s v="SKU-044"/>
    <x v="3"/>
    <s v="Electronics"/>
    <n v="3"/>
    <x v="813"/>
    <x v="2"/>
    <x v="3"/>
    <x v="0"/>
    <n v="352.8"/>
    <x v="639"/>
    <n v="299.87999999999988"/>
    <s v="NO"/>
    <s v="NO"/>
    <n v="299.87999999999988"/>
    <s v="NO"/>
  </r>
  <r>
    <n v="100855"/>
    <d v="2024-02-05T14:00:00"/>
    <x v="0"/>
    <s v="SKU-002"/>
    <x v="1"/>
    <s v="Accessories"/>
    <n v="4"/>
    <x v="814"/>
    <x v="2"/>
    <x v="3"/>
    <x v="0"/>
    <n v="329.96"/>
    <x v="640"/>
    <n v="280.46600000000001"/>
    <s v="NO"/>
    <s v="NO"/>
    <n v="280.46600000000001"/>
    <s v="NO"/>
  </r>
  <r>
    <n v="100856"/>
    <d v="2024-02-05T15:00:00"/>
    <x v="0"/>
    <s v="SKU-035"/>
    <x v="1"/>
    <s v="Electronics"/>
    <n v="3"/>
    <x v="815"/>
    <x v="0"/>
    <x v="1"/>
    <x v="0"/>
    <n v="307.17"/>
    <x v="641"/>
    <n v="291.81150000000002"/>
    <s v="NO"/>
    <s v="NO"/>
    <n v="291.81150000000002"/>
    <s v="NO"/>
  </r>
  <r>
    <n v="100857"/>
    <d v="2024-02-05T16:00:00"/>
    <x v="0"/>
    <s v="SKU-042"/>
    <x v="1"/>
    <s v="Electronics"/>
    <n v="5"/>
    <x v="816"/>
    <x v="1"/>
    <x v="3"/>
    <x v="1"/>
    <n v="211.5"/>
    <x v="642"/>
    <n v="190.35"/>
    <s v="YES"/>
    <s v="NO"/>
    <n v="-190.35"/>
    <s v="NO"/>
  </r>
  <r>
    <n v="100858"/>
    <d v="2024-02-05T17:00:00"/>
    <x v="0"/>
    <s v="SKU-034"/>
    <x v="4"/>
    <s v="Accessories"/>
    <n v="1"/>
    <x v="817"/>
    <x v="1"/>
    <x v="2"/>
    <x v="0"/>
    <n v="82.8"/>
    <x v="643"/>
    <n v="74.52"/>
    <s v="NO"/>
    <s v="NO"/>
    <n v="74.52"/>
    <s v="NO"/>
  </r>
  <r>
    <n v="100859"/>
    <d v="2024-02-05T18:00:00"/>
    <x v="1"/>
    <s v="SKU-030"/>
    <x v="4"/>
    <s v="Electronics"/>
    <n v="4"/>
    <x v="818"/>
    <x v="3"/>
    <x v="3"/>
    <x v="0"/>
    <n v="293.36"/>
    <x v="13"/>
    <n v="293.36"/>
    <s v="NO"/>
    <s v="NO"/>
    <n v="293.36"/>
    <s v="NO"/>
  </r>
  <r>
    <n v="100860"/>
    <d v="2024-02-05T19:00:00"/>
    <x v="0"/>
    <s v="SKU-013"/>
    <x v="2"/>
    <s v="Electronics"/>
    <n v="4"/>
    <x v="819"/>
    <x v="3"/>
    <x v="0"/>
    <x v="0"/>
    <n v="297.44"/>
    <x v="13"/>
    <n v="297.44"/>
    <s v="NO"/>
    <s v="NO"/>
    <n v="297.44"/>
    <s v="NO"/>
  </r>
  <r>
    <n v="100861"/>
    <d v="2024-02-05T20:00:00"/>
    <x v="1"/>
    <s v="SKU-013"/>
    <x v="1"/>
    <s v="Electronics"/>
    <n v="5"/>
    <x v="820"/>
    <x v="3"/>
    <x v="3"/>
    <x v="0"/>
    <n v="417.45"/>
    <x v="13"/>
    <n v="417.45"/>
    <s v="NO"/>
    <s v="NO"/>
    <n v="417.45"/>
    <s v="NO"/>
  </r>
  <r>
    <n v="100862"/>
    <d v="2024-02-05T21:00:00"/>
    <x v="0"/>
    <s v="SKU-018"/>
    <x v="3"/>
    <s v="Electronics"/>
    <n v="3"/>
    <x v="821"/>
    <x v="3"/>
    <x v="1"/>
    <x v="0"/>
    <n v="213.51"/>
    <x v="13"/>
    <n v="213.51"/>
    <s v="NO"/>
    <s v="NO"/>
    <n v="213.51"/>
    <s v="NO"/>
  </r>
  <r>
    <n v="100863"/>
    <d v="2024-02-05T22:00:00"/>
    <x v="1"/>
    <s v="SKU-032"/>
    <x v="3"/>
    <s v="Electronics"/>
    <n v="1"/>
    <x v="822"/>
    <x v="1"/>
    <x v="0"/>
    <x v="0"/>
    <n v="54.34"/>
    <x v="644"/>
    <n v="48.906000000000013"/>
    <s v="NO"/>
    <s v="NO"/>
    <n v="48.906000000000013"/>
    <s v="NO"/>
  </r>
  <r>
    <n v="100864"/>
    <d v="2024-02-05T23:00:00"/>
    <x v="1"/>
    <s v="SKU-032"/>
    <x v="1"/>
    <s v="Accessories"/>
    <n v="3"/>
    <x v="823"/>
    <x v="2"/>
    <x v="0"/>
    <x v="0"/>
    <n v="110.19"/>
    <x v="645"/>
    <n v="93.661500000000004"/>
    <s v="NO"/>
    <s v="NO"/>
    <n v="93.661500000000004"/>
    <s v="NO"/>
  </r>
  <r>
    <n v="100865"/>
    <d v="2024-02-06T00:00:00"/>
    <x v="1"/>
    <s v="SKU-035"/>
    <x v="1"/>
    <s v="Electronics"/>
    <n v="2"/>
    <x v="824"/>
    <x v="2"/>
    <x v="0"/>
    <x v="0"/>
    <n v="186.78"/>
    <x v="646"/>
    <n v="158.76300000000001"/>
    <s v="NO"/>
    <s v="NO"/>
    <n v="158.76300000000001"/>
    <s v="NO"/>
  </r>
  <r>
    <n v="100866"/>
    <d v="2024-02-06T01:00:00"/>
    <x v="0"/>
    <s v="SKU-039"/>
    <x v="1"/>
    <s v="Accessories"/>
    <n v="3"/>
    <x v="825"/>
    <x v="0"/>
    <x v="1"/>
    <x v="0"/>
    <n v="93.06"/>
    <x v="647"/>
    <n v="88.406999999999996"/>
    <s v="NO"/>
    <s v="NO"/>
    <n v="88.406999999999996"/>
    <s v="NO"/>
  </r>
  <r>
    <n v="100867"/>
    <d v="2024-02-06T02:00:00"/>
    <x v="0"/>
    <s v="SKU-046"/>
    <x v="4"/>
    <s v="Accessories"/>
    <n v="4"/>
    <x v="148"/>
    <x v="2"/>
    <x v="2"/>
    <x v="0"/>
    <n v="338.48"/>
    <x v="648"/>
    <n v="287.70800000000003"/>
    <s v="NO"/>
    <s v="NO"/>
    <n v="287.70800000000003"/>
    <s v="NO"/>
  </r>
  <r>
    <n v="100868"/>
    <d v="2024-02-06T03:00:00"/>
    <x v="1"/>
    <s v="SKU-029"/>
    <x v="4"/>
    <s v="Electronics"/>
    <n v="1"/>
    <x v="826"/>
    <x v="1"/>
    <x v="3"/>
    <x v="2"/>
    <n v="31.83"/>
    <x v="649"/>
    <n v="28.646999999999998"/>
    <s v="YES"/>
    <s v="NO"/>
    <n v="0"/>
    <s v="NO"/>
  </r>
  <r>
    <n v="100869"/>
    <d v="2024-02-06T04:00:00"/>
    <x v="0"/>
    <s v="SKU-049"/>
    <x v="4"/>
    <s v="Accessories"/>
    <n v="3"/>
    <x v="827"/>
    <x v="1"/>
    <x v="0"/>
    <x v="0"/>
    <n v="230.73"/>
    <x v="650"/>
    <n v="207.65700000000001"/>
    <s v="NO"/>
    <s v="NO"/>
    <n v="207.65700000000001"/>
    <s v="NO"/>
  </r>
  <r>
    <n v="100870"/>
    <d v="2024-02-06T05:00:00"/>
    <x v="1"/>
    <s v="SKU-029"/>
    <x v="0"/>
    <s v="Electronics"/>
    <n v="1"/>
    <x v="828"/>
    <x v="1"/>
    <x v="0"/>
    <x v="0"/>
    <n v="90.91"/>
    <x v="651"/>
    <n v="81.819000000000003"/>
    <s v="NO"/>
    <s v="NO"/>
    <n v="81.819000000000003"/>
    <s v="NO"/>
  </r>
  <r>
    <n v="100871"/>
    <d v="2024-02-06T06:00:00"/>
    <x v="0"/>
    <s v="SKU-044"/>
    <x v="3"/>
    <s v="Accessories"/>
    <n v="1"/>
    <x v="156"/>
    <x v="0"/>
    <x v="0"/>
    <x v="0"/>
    <n v="30.15"/>
    <x v="294"/>
    <n v="28.642499999999998"/>
    <s v="NO"/>
    <s v="NO"/>
    <n v="28.642499999999998"/>
    <s v="NO"/>
  </r>
  <r>
    <n v="100872"/>
    <d v="2024-02-06T07:00:00"/>
    <x v="1"/>
    <s v="SKU-016"/>
    <x v="3"/>
    <s v="Accessories"/>
    <n v="2"/>
    <x v="829"/>
    <x v="3"/>
    <x v="2"/>
    <x v="0"/>
    <n v="23.78"/>
    <x v="13"/>
    <n v="23.78"/>
    <s v="NO"/>
    <s v="NO"/>
    <n v="23.78"/>
    <s v="NO"/>
  </r>
  <r>
    <n v="100873"/>
    <d v="2024-02-06T08:00:00"/>
    <x v="1"/>
    <s v="SKU-044"/>
    <x v="2"/>
    <s v="Electronics"/>
    <n v="2"/>
    <x v="830"/>
    <x v="2"/>
    <x v="2"/>
    <x v="0"/>
    <n v="40.119999999999997"/>
    <x v="652"/>
    <n v="34.101999999999997"/>
    <s v="NO"/>
    <s v="NO"/>
    <n v="34.101999999999997"/>
    <s v="NO"/>
  </r>
  <r>
    <n v="100874"/>
    <d v="2024-02-06T09:00:00"/>
    <x v="0"/>
    <s v="SKU-047"/>
    <x v="4"/>
    <s v="Electronics"/>
    <n v="4"/>
    <x v="831"/>
    <x v="1"/>
    <x v="1"/>
    <x v="0"/>
    <n v="298.76"/>
    <x v="653"/>
    <n v="268.88400000000001"/>
    <s v="NO"/>
    <s v="NO"/>
    <n v="268.88400000000001"/>
    <s v="NO"/>
  </r>
  <r>
    <n v="100875"/>
    <d v="2024-02-06T10:00:00"/>
    <x v="1"/>
    <s v="SKU-010"/>
    <x v="0"/>
    <s v="Electronics"/>
    <n v="5"/>
    <x v="832"/>
    <x v="1"/>
    <x v="2"/>
    <x v="0"/>
    <n v="513.45000000000005"/>
    <x v="654"/>
    <n v="462.10500000000002"/>
    <s v="NO"/>
    <s v="NO"/>
    <n v="462.10500000000002"/>
    <s v="YES"/>
  </r>
  <r>
    <n v="100876"/>
    <d v="2024-02-06T11:00:00"/>
    <x v="0"/>
    <s v="SKU-030"/>
    <x v="0"/>
    <s v="Electronics"/>
    <n v="1"/>
    <x v="833"/>
    <x v="3"/>
    <x v="3"/>
    <x v="0"/>
    <n v="10.17"/>
    <x v="13"/>
    <n v="10.17"/>
    <s v="NO"/>
    <s v="NO"/>
    <n v="10.17"/>
    <s v="NO"/>
  </r>
  <r>
    <n v="100877"/>
    <d v="2024-02-06T12:00:00"/>
    <x v="1"/>
    <s v="SKU-025"/>
    <x v="3"/>
    <s v="Electronics"/>
    <n v="5"/>
    <x v="834"/>
    <x v="1"/>
    <x v="1"/>
    <x v="0"/>
    <n v="447.15"/>
    <x v="655"/>
    <n v="402.43500000000012"/>
    <s v="NO"/>
    <s v="NO"/>
    <n v="402.43500000000012"/>
    <s v="NO"/>
  </r>
  <r>
    <n v="100878"/>
    <d v="2024-02-06T13:00:00"/>
    <x v="1"/>
    <s v="SKU-039"/>
    <x v="4"/>
    <s v="Accessories"/>
    <n v="4"/>
    <x v="835"/>
    <x v="2"/>
    <x v="1"/>
    <x v="0"/>
    <n v="177"/>
    <x v="656"/>
    <n v="150.44999999999999"/>
    <s v="NO"/>
    <s v="NO"/>
    <n v="150.44999999999999"/>
    <s v="NO"/>
  </r>
  <r>
    <n v="100879"/>
    <d v="2024-02-06T14:00:00"/>
    <x v="0"/>
    <s v="SKU-020"/>
    <x v="2"/>
    <s v="Accessories"/>
    <n v="1"/>
    <x v="836"/>
    <x v="0"/>
    <x v="3"/>
    <x v="0"/>
    <n v="60.03"/>
    <x v="657"/>
    <n v="57.028500000000001"/>
    <s v="NO"/>
    <s v="NO"/>
    <n v="57.028500000000001"/>
    <s v="NO"/>
  </r>
  <r>
    <n v="100880"/>
    <d v="2024-02-06T15:00:00"/>
    <x v="0"/>
    <s v="SKU-005"/>
    <x v="4"/>
    <s v="Accessories"/>
    <n v="1"/>
    <x v="837"/>
    <x v="1"/>
    <x v="3"/>
    <x v="0"/>
    <n v="111.82"/>
    <x v="658"/>
    <n v="100.63800000000001"/>
    <s v="NO"/>
    <s v="NO"/>
    <n v="100.63800000000001"/>
    <s v="NO"/>
  </r>
  <r>
    <n v="100881"/>
    <d v="2024-02-06T16:00:00"/>
    <x v="0"/>
    <s v="SKU-001"/>
    <x v="1"/>
    <s v="Accessories"/>
    <n v="5"/>
    <x v="838"/>
    <x v="2"/>
    <x v="3"/>
    <x v="0"/>
    <n v="215.9"/>
    <x v="659"/>
    <n v="183.51499999999999"/>
    <s v="NO"/>
    <s v="NO"/>
    <n v="183.51499999999999"/>
    <s v="NO"/>
  </r>
  <r>
    <n v="100882"/>
    <d v="2024-02-06T17:00:00"/>
    <x v="1"/>
    <s v="SKU-030"/>
    <x v="4"/>
    <s v="Accessories"/>
    <n v="3"/>
    <x v="839"/>
    <x v="1"/>
    <x v="1"/>
    <x v="0"/>
    <n v="175.53"/>
    <x v="660"/>
    <n v="157.977"/>
    <s v="NO"/>
    <s v="NO"/>
    <n v="157.977"/>
    <s v="NO"/>
  </r>
  <r>
    <n v="100883"/>
    <d v="2024-02-06T18:00:00"/>
    <x v="0"/>
    <s v="SKU-049"/>
    <x v="1"/>
    <s v="Accessories"/>
    <n v="2"/>
    <x v="840"/>
    <x v="3"/>
    <x v="1"/>
    <x v="0"/>
    <n v="13.14"/>
    <x v="13"/>
    <n v="13.14"/>
    <s v="NO"/>
    <s v="NO"/>
    <n v="13.14"/>
    <s v="NO"/>
  </r>
  <r>
    <n v="100884"/>
    <d v="2024-02-06T19:00:00"/>
    <x v="1"/>
    <s v="SKU-003"/>
    <x v="1"/>
    <s v="Accessories"/>
    <n v="3"/>
    <x v="841"/>
    <x v="1"/>
    <x v="1"/>
    <x v="1"/>
    <n v="43.14"/>
    <x v="661"/>
    <n v="38.826000000000001"/>
    <s v="YES"/>
    <s v="NO"/>
    <n v="-38.826000000000001"/>
    <s v="NO"/>
  </r>
  <r>
    <n v="100885"/>
    <d v="2024-02-06T20:00:00"/>
    <x v="1"/>
    <s v="SKU-045"/>
    <x v="2"/>
    <s v="Electronics"/>
    <n v="5"/>
    <x v="842"/>
    <x v="1"/>
    <x v="3"/>
    <x v="0"/>
    <n v="173.7"/>
    <x v="662"/>
    <n v="156.33000000000001"/>
    <s v="NO"/>
    <s v="NO"/>
    <n v="156.33000000000001"/>
    <s v="NO"/>
  </r>
  <r>
    <n v="100886"/>
    <d v="2024-02-06T21:00:00"/>
    <x v="0"/>
    <s v="SKU-014"/>
    <x v="3"/>
    <s v="Electronics"/>
    <n v="2"/>
    <x v="843"/>
    <x v="0"/>
    <x v="3"/>
    <x v="1"/>
    <n v="16.399999999999999"/>
    <x v="663"/>
    <n v="15.58"/>
    <s v="YES"/>
    <s v="NO"/>
    <n v="-15.58"/>
    <s v="NO"/>
  </r>
  <r>
    <n v="100887"/>
    <d v="2024-02-06T22:00:00"/>
    <x v="0"/>
    <s v="SKU-030"/>
    <x v="4"/>
    <s v="Accessories"/>
    <n v="3"/>
    <x v="35"/>
    <x v="3"/>
    <x v="0"/>
    <x v="0"/>
    <n v="232.83"/>
    <x v="13"/>
    <n v="232.83"/>
    <s v="NO"/>
    <s v="NO"/>
    <n v="232.83"/>
    <s v="NO"/>
  </r>
  <r>
    <n v="100888"/>
    <d v="2024-02-06T23:00:00"/>
    <x v="1"/>
    <s v="SKU-050"/>
    <x v="1"/>
    <s v="Accessories"/>
    <n v="2"/>
    <x v="844"/>
    <x v="3"/>
    <x v="2"/>
    <x v="0"/>
    <n v="108.08"/>
    <x v="13"/>
    <n v="108.08"/>
    <s v="NO"/>
    <s v="NO"/>
    <n v="108.08"/>
    <s v="NO"/>
  </r>
  <r>
    <n v="100889"/>
    <d v="2024-02-07T00:00:00"/>
    <x v="1"/>
    <s v="SKU-004"/>
    <x v="4"/>
    <s v="Electronics"/>
    <n v="1"/>
    <x v="845"/>
    <x v="0"/>
    <x v="0"/>
    <x v="0"/>
    <n v="68.040000000000006"/>
    <x v="664"/>
    <n v="64.638000000000005"/>
    <s v="NO"/>
    <s v="NO"/>
    <n v="64.638000000000005"/>
    <s v="NO"/>
  </r>
  <r>
    <n v="100890"/>
    <d v="2024-02-07T01:00:00"/>
    <x v="0"/>
    <s v="SKU-018"/>
    <x v="3"/>
    <s v="Electronics"/>
    <n v="3"/>
    <x v="846"/>
    <x v="1"/>
    <x v="3"/>
    <x v="1"/>
    <n v="75.239999999999995"/>
    <x v="665"/>
    <n v="67.715999999999994"/>
    <s v="YES"/>
    <s v="NO"/>
    <n v="-67.715999999999994"/>
    <s v="NO"/>
  </r>
  <r>
    <n v="100891"/>
    <d v="2024-02-07T02:00:00"/>
    <x v="0"/>
    <s v="SKU-037"/>
    <x v="3"/>
    <s v="Electronics"/>
    <n v="2"/>
    <x v="847"/>
    <x v="2"/>
    <x v="1"/>
    <x v="0"/>
    <n v="78.06"/>
    <x v="546"/>
    <n v="66.350999999999999"/>
    <s v="NO"/>
    <s v="NO"/>
    <n v="66.350999999999999"/>
    <s v="NO"/>
  </r>
  <r>
    <n v="100892"/>
    <d v="2024-02-07T03:00:00"/>
    <x v="0"/>
    <s v="SKU-025"/>
    <x v="0"/>
    <s v="Electronics"/>
    <n v="2"/>
    <x v="848"/>
    <x v="3"/>
    <x v="3"/>
    <x v="0"/>
    <n v="162.68"/>
    <x v="13"/>
    <n v="162.68"/>
    <s v="NO"/>
    <s v="NO"/>
    <n v="162.68"/>
    <s v="NO"/>
  </r>
  <r>
    <n v="100893"/>
    <d v="2024-02-07T04:00:00"/>
    <x v="0"/>
    <s v="SKU-048"/>
    <x v="3"/>
    <s v="Accessories"/>
    <n v="2"/>
    <x v="849"/>
    <x v="3"/>
    <x v="2"/>
    <x v="0"/>
    <n v="232.02"/>
    <x v="13"/>
    <n v="232.02"/>
    <s v="NO"/>
    <s v="NO"/>
    <n v="232.02"/>
    <s v="NO"/>
  </r>
  <r>
    <n v="100894"/>
    <d v="2024-02-07T05:00:00"/>
    <x v="0"/>
    <s v="SKU-001"/>
    <x v="2"/>
    <s v="Electronics"/>
    <n v="3"/>
    <x v="850"/>
    <x v="1"/>
    <x v="0"/>
    <x v="0"/>
    <n v="32.400000000000013"/>
    <x v="666"/>
    <n v="29.16"/>
    <s v="NO"/>
    <s v="NO"/>
    <n v="29.16"/>
    <s v="NO"/>
  </r>
  <r>
    <n v="100895"/>
    <d v="2024-02-07T06:00:00"/>
    <x v="1"/>
    <s v="SKU-046"/>
    <x v="1"/>
    <s v="Accessories"/>
    <n v="4"/>
    <x v="851"/>
    <x v="1"/>
    <x v="0"/>
    <x v="0"/>
    <n v="429.56"/>
    <x v="667"/>
    <n v="386.60399999999998"/>
    <s v="NO"/>
    <s v="NO"/>
    <n v="386.60399999999998"/>
    <s v="NO"/>
  </r>
  <r>
    <n v="100896"/>
    <d v="2024-02-07T07:00:00"/>
    <x v="1"/>
    <s v="SKU-015"/>
    <x v="0"/>
    <s v="Accessories"/>
    <n v="3"/>
    <x v="555"/>
    <x v="3"/>
    <x v="1"/>
    <x v="1"/>
    <n v="214.02"/>
    <x v="13"/>
    <n v="214.02"/>
    <s v="YES"/>
    <s v="NO"/>
    <n v="-214.02"/>
    <s v="NO"/>
  </r>
  <r>
    <n v="100897"/>
    <d v="2024-02-07T08:00:00"/>
    <x v="1"/>
    <s v="SKU-009"/>
    <x v="2"/>
    <s v="Accessories"/>
    <n v="5"/>
    <x v="852"/>
    <x v="1"/>
    <x v="0"/>
    <x v="2"/>
    <n v="349.25"/>
    <x v="668"/>
    <n v="314.32499999999999"/>
    <s v="YES"/>
    <s v="NO"/>
    <n v="0"/>
    <s v="NO"/>
  </r>
  <r>
    <n v="100898"/>
    <d v="2024-02-07T09:00:00"/>
    <x v="1"/>
    <s v="SKU-015"/>
    <x v="4"/>
    <s v="Electronics"/>
    <n v="3"/>
    <x v="853"/>
    <x v="2"/>
    <x v="0"/>
    <x v="0"/>
    <n v="187.59"/>
    <x v="669"/>
    <n v="159.45150000000001"/>
    <s v="NO"/>
    <s v="NO"/>
    <n v="159.45150000000001"/>
    <s v="NO"/>
  </r>
  <r>
    <n v="100899"/>
    <d v="2024-02-07T10:00:00"/>
    <x v="0"/>
    <s v="SKU-049"/>
    <x v="1"/>
    <s v="Electronics"/>
    <n v="2"/>
    <x v="854"/>
    <x v="3"/>
    <x v="3"/>
    <x v="1"/>
    <n v="25.96"/>
    <x v="13"/>
    <n v="25.96"/>
    <s v="YES"/>
    <s v="NO"/>
    <n v="-25.96"/>
    <s v="NO"/>
  </r>
  <r>
    <n v="100900"/>
    <d v="2024-02-07T11:00:00"/>
    <x v="0"/>
    <s v="SKU-024"/>
    <x v="3"/>
    <s v="Accessories"/>
    <n v="1"/>
    <x v="855"/>
    <x v="2"/>
    <x v="0"/>
    <x v="0"/>
    <n v="15.34"/>
    <x v="670"/>
    <n v="13.039"/>
    <s v="NO"/>
    <s v="NO"/>
    <n v="13.039"/>
    <s v="NO"/>
  </r>
  <r>
    <n v="100901"/>
    <d v="2024-02-07T12:00:00"/>
    <x v="0"/>
    <s v="SKU-004"/>
    <x v="1"/>
    <s v="Accessories"/>
    <n v="3"/>
    <x v="856"/>
    <x v="2"/>
    <x v="0"/>
    <x v="0"/>
    <n v="222.3"/>
    <x v="671"/>
    <n v="188.95500000000001"/>
    <s v="NO"/>
    <s v="NO"/>
    <n v="188.95500000000001"/>
    <s v="NO"/>
  </r>
  <r>
    <n v="100902"/>
    <d v="2024-02-07T13:00:00"/>
    <x v="1"/>
    <s v="SKU-012"/>
    <x v="4"/>
    <s v="Accessories"/>
    <n v="3"/>
    <x v="857"/>
    <x v="1"/>
    <x v="0"/>
    <x v="0"/>
    <n v="132.63"/>
    <x v="672"/>
    <n v="119.367"/>
    <s v="NO"/>
    <s v="NO"/>
    <n v="119.367"/>
    <s v="NO"/>
  </r>
  <r>
    <n v="100903"/>
    <d v="2024-02-07T14:00:00"/>
    <x v="1"/>
    <s v="SKU-037"/>
    <x v="0"/>
    <s v="Electronics"/>
    <n v="2"/>
    <x v="858"/>
    <x v="2"/>
    <x v="1"/>
    <x v="0"/>
    <n v="220.98"/>
    <x v="673"/>
    <n v="187.833"/>
    <s v="NO"/>
    <s v="NO"/>
    <n v="187.833"/>
    <s v="NO"/>
  </r>
  <r>
    <n v="100904"/>
    <d v="2024-02-07T15:00:00"/>
    <x v="0"/>
    <s v="SKU-037"/>
    <x v="0"/>
    <s v="Accessories"/>
    <n v="1"/>
    <x v="859"/>
    <x v="1"/>
    <x v="1"/>
    <x v="2"/>
    <n v="51.76"/>
    <x v="674"/>
    <n v="46.584000000000003"/>
    <s v="YES"/>
    <s v="NO"/>
    <n v="0"/>
    <s v="NO"/>
  </r>
  <r>
    <n v="100905"/>
    <d v="2024-02-07T16:00:00"/>
    <x v="0"/>
    <s v="SKU-043"/>
    <x v="0"/>
    <s v="Electronics"/>
    <n v="1"/>
    <x v="860"/>
    <x v="0"/>
    <x v="3"/>
    <x v="0"/>
    <n v="21.48"/>
    <x v="675"/>
    <n v="20.405999999999999"/>
    <s v="NO"/>
    <s v="NO"/>
    <n v="20.405999999999999"/>
    <s v="NO"/>
  </r>
  <r>
    <n v="100906"/>
    <d v="2024-02-07T17:00:00"/>
    <x v="1"/>
    <s v="SKU-006"/>
    <x v="3"/>
    <s v="Accessories"/>
    <n v="5"/>
    <x v="861"/>
    <x v="1"/>
    <x v="0"/>
    <x v="0"/>
    <n v="435.95"/>
    <x v="676"/>
    <n v="392.35500000000002"/>
    <s v="NO"/>
    <s v="NO"/>
    <n v="392.35500000000002"/>
    <s v="NO"/>
  </r>
  <r>
    <n v="100907"/>
    <d v="2024-02-07T18:00:00"/>
    <x v="1"/>
    <s v="SKU-039"/>
    <x v="2"/>
    <s v="Accessories"/>
    <n v="3"/>
    <x v="862"/>
    <x v="2"/>
    <x v="1"/>
    <x v="0"/>
    <n v="116.22"/>
    <x v="677"/>
    <n v="98.787000000000006"/>
    <s v="NO"/>
    <s v="NO"/>
    <n v="98.787000000000006"/>
    <s v="NO"/>
  </r>
  <r>
    <n v="100908"/>
    <d v="2024-02-07T19:00:00"/>
    <x v="0"/>
    <s v="SKU-046"/>
    <x v="2"/>
    <s v="Accessories"/>
    <n v="1"/>
    <x v="863"/>
    <x v="0"/>
    <x v="1"/>
    <x v="0"/>
    <n v="65.430000000000007"/>
    <x v="678"/>
    <n v="62.158499999999997"/>
    <s v="NO"/>
    <s v="NO"/>
    <n v="62.158499999999997"/>
    <s v="NO"/>
  </r>
  <r>
    <n v="100909"/>
    <d v="2024-02-07T20:00:00"/>
    <x v="0"/>
    <s v="SKU-024"/>
    <x v="1"/>
    <s v="Electronics"/>
    <n v="1"/>
    <x v="864"/>
    <x v="1"/>
    <x v="3"/>
    <x v="0"/>
    <n v="85.25"/>
    <x v="679"/>
    <n v="76.724999999999994"/>
    <s v="NO"/>
    <s v="NO"/>
    <n v="76.724999999999994"/>
    <s v="NO"/>
  </r>
  <r>
    <n v="100910"/>
    <d v="2024-02-07T21:00:00"/>
    <x v="1"/>
    <s v="SKU-011"/>
    <x v="3"/>
    <s v="Electronics"/>
    <n v="4"/>
    <x v="865"/>
    <x v="2"/>
    <x v="2"/>
    <x v="2"/>
    <n v="434.12"/>
    <x v="680"/>
    <n v="369.00200000000001"/>
    <s v="YES"/>
    <s v="NO"/>
    <n v="0"/>
    <s v="NO"/>
  </r>
  <r>
    <n v="100911"/>
    <d v="2024-02-07T22:00:00"/>
    <x v="0"/>
    <s v="SKU-013"/>
    <x v="0"/>
    <s v="Accessories"/>
    <n v="4"/>
    <x v="866"/>
    <x v="3"/>
    <x v="0"/>
    <x v="0"/>
    <n v="384.4"/>
    <x v="13"/>
    <n v="384.4"/>
    <s v="NO"/>
    <s v="NO"/>
    <n v="384.4"/>
    <s v="NO"/>
  </r>
  <r>
    <n v="100912"/>
    <d v="2024-02-07T23:00:00"/>
    <x v="0"/>
    <s v="SKU-034"/>
    <x v="0"/>
    <s v="Electronics"/>
    <n v="1"/>
    <x v="867"/>
    <x v="3"/>
    <x v="1"/>
    <x v="0"/>
    <n v="82.78"/>
    <x v="13"/>
    <n v="82.78"/>
    <s v="NO"/>
    <s v="NO"/>
    <n v="82.78"/>
    <s v="NO"/>
  </r>
  <r>
    <n v="100913"/>
    <d v="2024-02-08T00:00:00"/>
    <x v="0"/>
    <s v="SKU-025"/>
    <x v="4"/>
    <s v="Accessories"/>
    <n v="5"/>
    <x v="868"/>
    <x v="1"/>
    <x v="3"/>
    <x v="0"/>
    <n v="415.8"/>
    <x v="681"/>
    <n v="374.22"/>
    <s v="NO"/>
    <s v="NO"/>
    <n v="374.22"/>
    <s v="NO"/>
  </r>
  <r>
    <n v="100914"/>
    <d v="2024-02-08T01:00:00"/>
    <x v="1"/>
    <s v="SKU-007"/>
    <x v="4"/>
    <s v="Electronics"/>
    <n v="1"/>
    <x v="869"/>
    <x v="1"/>
    <x v="3"/>
    <x v="0"/>
    <n v="113.78"/>
    <x v="682"/>
    <n v="102.402"/>
    <s v="NO"/>
    <s v="NO"/>
    <n v="102.402"/>
    <s v="NO"/>
  </r>
  <r>
    <n v="100915"/>
    <d v="2024-02-08T02:00:00"/>
    <x v="1"/>
    <s v="SKU-004"/>
    <x v="0"/>
    <s v="Electronics"/>
    <n v="2"/>
    <x v="870"/>
    <x v="3"/>
    <x v="3"/>
    <x v="0"/>
    <n v="78.040000000000006"/>
    <x v="13"/>
    <n v="78.040000000000006"/>
    <s v="NO"/>
    <s v="NO"/>
    <n v="78.040000000000006"/>
    <s v="NO"/>
  </r>
  <r>
    <n v="100916"/>
    <d v="2024-02-08T03:00:00"/>
    <x v="1"/>
    <s v="SKU-008"/>
    <x v="0"/>
    <s v="Electronics"/>
    <n v="3"/>
    <x v="871"/>
    <x v="2"/>
    <x v="1"/>
    <x v="0"/>
    <n v="15.39"/>
    <x v="683"/>
    <n v="13.0815"/>
    <s v="NO"/>
    <s v="NO"/>
    <n v="13.0815"/>
    <s v="NO"/>
  </r>
  <r>
    <n v="100917"/>
    <d v="2024-02-08T04:00:00"/>
    <x v="1"/>
    <s v="SKU-020"/>
    <x v="3"/>
    <s v="Accessories"/>
    <n v="5"/>
    <x v="147"/>
    <x v="2"/>
    <x v="0"/>
    <x v="0"/>
    <n v="181.35"/>
    <x v="111"/>
    <n v="154.14750000000001"/>
    <s v="NO"/>
    <s v="NO"/>
    <n v="154.14750000000001"/>
    <s v="NO"/>
  </r>
  <r>
    <n v="100918"/>
    <d v="2024-02-08T05:00:00"/>
    <x v="1"/>
    <s v="SKU-029"/>
    <x v="2"/>
    <s v="Electronics"/>
    <n v="2"/>
    <x v="872"/>
    <x v="2"/>
    <x v="2"/>
    <x v="0"/>
    <n v="60.12"/>
    <x v="684"/>
    <n v="51.101999999999997"/>
    <s v="NO"/>
    <s v="NO"/>
    <n v="51.101999999999997"/>
    <s v="NO"/>
  </r>
  <r>
    <n v="100919"/>
    <d v="2024-02-08T06:00:00"/>
    <x v="1"/>
    <s v="SKU-045"/>
    <x v="4"/>
    <s v="Electronics"/>
    <n v="5"/>
    <x v="873"/>
    <x v="1"/>
    <x v="0"/>
    <x v="0"/>
    <n v="405.55"/>
    <x v="685"/>
    <n v="364.995"/>
    <s v="NO"/>
    <s v="NO"/>
    <n v="364.995"/>
    <s v="NO"/>
  </r>
  <r>
    <n v="100920"/>
    <d v="2024-02-08T07:00:00"/>
    <x v="1"/>
    <s v="SKU-046"/>
    <x v="2"/>
    <s v="Accessories"/>
    <n v="2"/>
    <x v="874"/>
    <x v="0"/>
    <x v="3"/>
    <x v="0"/>
    <n v="155.76"/>
    <x v="686"/>
    <n v="147.97200000000001"/>
    <s v="NO"/>
    <s v="NO"/>
    <n v="147.97200000000001"/>
    <s v="NO"/>
  </r>
  <r>
    <n v="100921"/>
    <d v="2024-02-08T08:00:00"/>
    <x v="0"/>
    <s v="SKU-010"/>
    <x v="3"/>
    <s v="Accessories"/>
    <n v="3"/>
    <x v="875"/>
    <x v="0"/>
    <x v="3"/>
    <x v="0"/>
    <n v="219.75"/>
    <x v="687"/>
    <n v="208.76249999999999"/>
    <s v="NO"/>
    <s v="NO"/>
    <n v="208.76249999999999"/>
    <s v="NO"/>
  </r>
  <r>
    <n v="100922"/>
    <d v="2024-02-08T09:00:00"/>
    <x v="0"/>
    <s v="SKU-043"/>
    <x v="0"/>
    <s v="Accessories"/>
    <n v="3"/>
    <x v="876"/>
    <x v="0"/>
    <x v="2"/>
    <x v="0"/>
    <n v="20.61"/>
    <x v="688"/>
    <n v="19.579499999999999"/>
    <s v="NO"/>
    <s v="NO"/>
    <n v="19.579499999999999"/>
    <s v="NO"/>
  </r>
  <r>
    <n v="100923"/>
    <d v="2024-02-08T10:00:00"/>
    <x v="0"/>
    <s v="SKU-034"/>
    <x v="2"/>
    <s v="Accessories"/>
    <n v="4"/>
    <x v="877"/>
    <x v="0"/>
    <x v="0"/>
    <x v="0"/>
    <n v="355.24"/>
    <x v="689"/>
    <n v="337.47800000000001"/>
    <s v="NO"/>
    <s v="NO"/>
    <n v="337.47800000000001"/>
    <s v="NO"/>
  </r>
  <r>
    <n v="100924"/>
    <d v="2024-02-08T11:00:00"/>
    <x v="0"/>
    <s v="SKU-026"/>
    <x v="0"/>
    <s v="Electronics"/>
    <n v="2"/>
    <x v="878"/>
    <x v="0"/>
    <x v="3"/>
    <x v="1"/>
    <n v="84.42"/>
    <x v="690"/>
    <n v="80.198999999999998"/>
    <s v="YES"/>
    <s v="NO"/>
    <n v="-80.198999999999998"/>
    <s v="NO"/>
  </r>
  <r>
    <n v="100925"/>
    <d v="2024-02-08T12:00:00"/>
    <x v="0"/>
    <s v="SKU-041"/>
    <x v="0"/>
    <s v="Electronics"/>
    <n v="4"/>
    <x v="879"/>
    <x v="1"/>
    <x v="3"/>
    <x v="0"/>
    <n v="325.92"/>
    <x v="691"/>
    <n v="293.32799999999997"/>
    <s v="NO"/>
    <s v="NO"/>
    <n v="293.32799999999997"/>
    <s v="NO"/>
  </r>
  <r>
    <n v="100926"/>
    <d v="2024-02-08T13:00:00"/>
    <x v="0"/>
    <s v="SKU-049"/>
    <x v="1"/>
    <s v="Electronics"/>
    <n v="2"/>
    <x v="880"/>
    <x v="1"/>
    <x v="0"/>
    <x v="0"/>
    <n v="138.02000000000001"/>
    <x v="692"/>
    <n v="124.218"/>
    <s v="NO"/>
    <s v="NO"/>
    <n v="124.218"/>
    <s v="NO"/>
  </r>
  <r>
    <n v="100927"/>
    <d v="2024-02-08T14:00:00"/>
    <x v="0"/>
    <s v="SKU-003"/>
    <x v="2"/>
    <s v="Electronics"/>
    <n v="4"/>
    <x v="881"/>
    <x v="0"/>
    <x v="3"/>
    <x v="0"/>
    <n v="177.64"/>
    <x v="693"/>
    <n v="168.75800000000001"/>
    <s v="NO"/>
    <s v="NO"/>
    <n v="168.75800000000001"/>
    <s v="NO"/>
  </r>
  <r>
    <n v="100928"/>
    <d v="2024-02-08T15:00:00"/>
    <x v="1"/>
    <s v="SKU-006"/>
    <x v="2"/>
    <s v="Electronics"/>
    <n v="3"/>
    <x v="882"/>
    <x v="1"/>
    <x v="0"/>
    <x v="0"/>
    <n v="61.44"/>
    <x v="694"/>
    <n v="55.295999999999999"/>
    <s v="NO"/>
    <s v="NO"/>
    <n v="55.295999999999999"/>
    <s v="NO"/>
  </r>
  <r>
    <n v="100929"/>
    <d v="2024-02-08T16:00:00"/>
    <x v="1"/>
    <s v="SKU-005"/>
    <x v="0"/>
    <s v="Accessories"/>
    <n v="5"/>
    <x v="883"/>
    <x v="1"/>
    <x v="3"/>
    <x v="0"/>
    <n v="79.3"/>
    <x v="695"/>
    <n v="71.37"/>
    <s v="NO"/>
    <s v="NO"/>
    <n v="71.37"/>
    <s v="NO"/>
  </r>
  <r>
    <n v="100930"/>
    <d v="2024-02-08T17:00:00"/>
    <x v="0"/>
    <s v="SKU-005"/>
    <x v="3"/>
    <s v="Electronics"/>
    <n v="4"/>
    <x v="884"/>
    <x v="0"/>
    <x v="0"/>
    <x v="1"/>
    <n v="402.48"/>
    <x v="696"/>
    <n v="382.35599999999999"/>
    <s v="YES"/>
    <s v="NO"/>
    <n v="-382.35599999999999"/>
    <s v="NO"/>
  </r>
  <r>
    <n v="100931"/>
    <d v="2024-02-08T18:00:00"/>
    <x v="0"/>
    <s v="SKU-047"/>
    <x v="1"/>
    <s v="Electronics"/>
    <n v="2"/>
    <x v="885"/>
    <x v="2"/>
    <x v="2"/>
    <x v="0"/>
    <n v="221.24"/>
    <x v="697"/>
    <n v="188.054"/>
    <s v="NO"/>
    <s v="NO"/>
    <n v="188.054"/>
    <s v="NO"/>
  </r>
  <r>
    <n v="100932"/>
    <d v="2024-02-08T19:00:00"/>
    <x v="1"/>
    <s v="SKU-023"/>
    <x v="0"/>
    <s v="Electronics"/>
    <n v="2"/>
    <x v="886"/>
    <x v="1"/>
    <x v="3"/>
    <x v="0"/>
    <n v="159.46"/>
    <x v="698"/>
    <n v="143.51400000000001"/>
    <s v="NO"/>
    <s v="NO"/>
    <n v="143.51400000000001"/>
    <s v="NO"/>
  </r>
  <r>
    <n v="100933"/>
    <d v="2024-02-08T20:00:00"/>
    <x v="0"/>
    <s v="SKU-049"/>
    <x v="4"/>
    <s v="Accessories"/>
    <n v="3"/>
    <x v="887"/>
    <x v="2"/>
    <x v="2"/>
    <x v="0"/>
    <n v="50.67"/>
    <x v="699"/>
    <n v="43.069500000000012"/>
    <s v="NO"/>
    <s v="NO"/>
    <n v="43.069500000000012"/>
    <s v="NO"/>
  </r>
  <r>
    <n v="100934"/>
    <d v="2024-02-08T21:00:00"/>
    <x v="0"/>
    <s v="SKU-009"/>
    <x v="4"/>
    <s v="Accessories"/>
    <n v="2"/>
    <x v="888"/>
    <x v="1"/>
    <x v="3"/>
    <x v="0"/>
    <n v="102.46"/>
    <x v="700"/>
    <n v="92.213999999999999"/>
    <s v="NO"/>
    <s v="NO"/>
    <n v="92.213999999999999"/>
    <s v="NO"/>
  </r>
  <r>
    <n v="100935"/>
    <d v="2024-02-08T22:00:00"/>
    <x v="1"/>
    <s v="SKU-035"/>
    <x v="1"/>
    <s v="Electronics"/>
    <n v="1"/>
    <x v="889"/>
    <x v="1"/>
    <x v="3"/>
    <x v="0"/>
    <n v="88.83"/>
    <x v="701"/>
    <n v="79.947000000000003"/>
    <s v="NO"/>
    <s v="NO"/>
    <n v="79.947000000000003"/>
    <s v="NO"/>
  </r>
  <r>
    <n v="100936"/>
    <d v="2024-02-08T23:00:00"/>
    <x v="0"/>
    <s v="SKU-020"/>
    <x v="3"/>
    <s v="Accessories"/>
    <n v="5"/>
    <x v="890"/>
    <x v="0"/>
    <x v="1"/>
    <x v="1"/>
    <n v="473.4"/>
    <x v="702"/>
    <n v="449.73"/>
    <s v="YES"/>
    <s v="NO"/>
    <n v="-449.73"/>
    <s v="NO"/>
  </r>
  <r>
    <n v="100937"/>
    <d v="2024-02-09T00:00:00"/>
    <x v="1"/>
    <s v="SKU-049"/>
    <x v="0"/>
    <s v="Accessories"/>
    <n v="4"/>
    <x v="891"/>
    <x v="1"/>
    <x v="0"/>
    <x v="0"/>
    <n v="74.400000000000006"/>
    <x v="703"/>
    <n v="66.960000000000008"/>
    <s v="NO"/>
    <s v="NO"/>
    <n v="66.960000000000008"/>
    <s v="NO"/>
  </r>
  <r>
    <n v="100938"/>
    <d v="2024-02-09T01:00:00"/>
    <x v="0"/>
    <s v="SKU-042"/>
    <x v="2"/>
    <s v="Accessories"/>
    <n v="5"/>
    <x v="892"/>
    <x v="3"/>
    <x v="2"/>
    <x v="0"/>
    <n v="25"/>
    <x v="13"/>
    <n v="25"/>
    <s v="NO"/>
    <s v="NO"/>
    <n v="25"/>
    <s v="NO"/>
  </r>
  <r>
    <n v="100939"/>
    <d v="2024-02-09T02:00:00"/>
    <x v="1"/>
    <s v="SKU-035"/>
    <x v="1"/>
    <s v="Accessories"/>
    <n v="3"/>
    <x v="893"/>
    <x v="3"/>
    <x v="2"/>
    <x v="0"/>
    <n v="260.7"/>
    <x v="13"/>
    <n v="260.7"/>
    <s v="NO"/>
    <s v="NO"/>
    <n v="260.7"/>
    <s v="NO"/>
  </r>
  <r>
    <n v="100940"/>
    <d v="2024-02-09T03:00:00"/>
    <x v="1"/>
    <s v="SKU-050"/>
    <x v="3"/>
    <s v="Accessories"/>
    <n v="4"/>
    <x v="894"/>
    <x v="0"/>
    <x v="2"/>
    <x v="0"/>
    <n v="184.04"/>
    <x v="704"/>
    <n v="174.83799999999999"/>
    <s v="NO"/>
    <s v="NO"/>
    <n v="174.83799999999999"/>
    <s v="NO"/>
  </r>
  <r>
    <n v="100941"/>
    <d v="2024-02-09T04:00:00"/>
    <x v="1"/>
    <s v="SKU-018"/>
    <x v="2"/>
    <s v="Accessories"/>
    <n v="4"/>
    <x v="895"/>
    <x v="2"/>
    <x v="0"/>
    <x v="0"/>
    <n v="137.08000000000001"/>
    <x v="705"/>
    <n v="116.518"/>
    <s v="NO"/>
    <s v="NO"/>
    <n v="116.518"/>
    <s v="NO"/>
  </r>
  <r>
    <n v="100942"/>
    <d v="2024-02-09T05:00:00"/>
    <x v="0"/>
    <s v="SKU-017"/>
    <x v="4"/>
    <s v="Accessories"/>
    <n v="1"/>
    <x v="896"/>
    <x v="2"/>
    <x v="1"/>
    <x v="0"/>
    <n v="6.48"/>
    <x v="706"/>
    <n v="5.5080000000000009"/>
    <s v="NO"/>
    <s v="NO"/>
    <n v="5.5080000000000009"/>
    <s v="NO"/>
  </r>
  <r>
    <n v="100943"/>
    <d v="2024-02-09T06:00:00"/>
    <x v="1"/>
    <s v="SKU-024"/>
    <x v="4"/>
    <s v="Electronics"/>
    <n v="3"/>
    <x v="663"/>
    <x v="2"/>
    <x v="2"/>
    <x v="0"/>
    <n v="201.39"/>
    <x v="707"/>
    <n v="171.1815"/>
    <s v="NO"/>
    <s v="NO"/>
    <n v="171.1815"/>
    <s v="NO"/>
  </r>
  <r>
    <n v="100944"/>
    <d v="2024-02-09T07:00:00"/>
    <x v="0"/>
    <s v="SKU-003"/>
    <x v="2"/>
    <s v="Electronics"/>
    <n v="2"/>
    <x v="897"/>
    <x v="3"/>
    <x v="0"/>
    <x v="0"/>
    <n v="205.76"/>
    <x v="13"/>
    <n v="205.76"/>
    <s v="NO"/>
    <s v="NO"/>
    <n v="205.76"/>
    <s v="NO"/>
  </r>
  <r>
    <n v="100945"/>
    <d v="2024-02-09T08:00:00"/>
    <x v="0"/>
    <s v="SKU-032"/>
    <x v="1"/>
    <s v="Accessories"/>
    <n v="1"/>
    <x v="898"/>
    <x v="2"/>
    <x v="3"/>
    <x v="0"/>
    <n v="115.13"/>
    <x v="708"/>
    <n v="97.860500000000002"/>
    <s v="NO"/>
    <s v="NO"/>
    <n v="97.860500000000002"/>
    <s v="NO"/>
  </r>
  <r>
    <n v="100946"/>
    <d v="2024-02-09T09:00:00"/>
    <x v="0"/>
    <s v="SKU-035"/>
    <x v="4"/>
    <s v="Electronics"/>
    <n v="1"/>
    <x v="461"/>
    <x v="2"/>
    <x v="2"/>
    <x v="0"/>
    <n v="70.06"/>
    <x v="709"/>
    <n v="59.551000000000002"/>
    <s v="NO"/>
    <s v="NO"/>
    <n v="59.551000000000002"/>
    <s v="NO"/>
  </r>
  <r>
    <n v="100947"/>
    <d v="2024-02-09T10:00:00"/>
    <x v="0"/>
    <s v="SKU-038"/>
    <x v="0"/>
    <s v="Electronics"/>
    <n v="5"/>
    <x v="899"/>
    <x v="0"/>
    <x v="2"/>
    <x v="0"/>
    <n v="320.8"/>
    <x v="710"/>
    <n v="304.75999999999988"/>
    <s v="NO"/>
    <s v="NO"/>
    <n v="304.75999999999988"/>
    <s v="NO"/>
  </r>
  <r>
    <n v="100948"/>
    <d v="2024-02-09T11:00:00"/>
    <x v="1"/>
    <s v="SKU-013"/>
    <x v="2"/>
    <s v="Accessories"/>
    <n v="5"/>
    <x v="900"/>
    <x v="2"/>
    <x v="1"/>
    <x v="0"/>
    <n v="73.899999999999991"/>
    <x v="711"/>
    <n v="62.814999999999991"/>
    <s v="NO"/>
    <s v="NO"/>
    <n v="62.814999999999991"/>
    <s v="NO"/>
  </r>
  <r>
    <n v="100949"/>
    <d v="2024-02-09T12:00:00"/>
    <x v="1"/>
    <s v="SKU-047"/>
    <x v="2"/>
    <s v="Electronics"/>
    <n v="5"/>
    <x v="901"/>
    <x v="3"/>
    <x v="2"/>
    <x v="0"/>
    <n v="340.6"/>
    <x v="13"/>
    <n v="340.6"/>
    <s v="NO"/>
    <s v="NO"/>
    <n v="340.6"/>
    <s v="NO"/>
  </r>
  <r>
    <n v="100950"/>
    <d v="2024-02-09T13:00:00"/>
    <x v="0"/>
    <s v="SKU-025"/>
    <x v="4"/>
    <s v="Accessories"/>
    <n v="1"/>
    <x v="902"/>
    <x v="3"/>
    <x v="2"/>
    <x v="0"/>
    <n v="48.7"/>
    <x v="13"/>
    <n v="48.7"/>
    <s v="NO"/>
    <s v="NO"/>
    <n v="48.7"/>
    <s v="NO"/>
  </r>
  <r>
    <n v="100951"/>
    <d v="2024-02-09T14:00:00"/>
    <x v="0"/>
    <s v="SKU-009"/>
    <x v="1"/>
    <s v="Accessories"/>
    <n v="2"/>
    <x v="903"/>
    <x v="3"/>
    <x v="3"/>
    <x v="0"/>
    <n v="149.63999999999999"/>
    <x v="13"/>
    <n v="149.63999999999999"/>
    <s v="NO"/>
    <s v="NO"/>
    <n v="149.63999999999999"/>
    <s v="NO"/>
  </r>
  <r>
    <n v="100952"/>
    <d v="2024-02-09T15:00:00"/>
    <x v="1"/>
    <s v="SKU-004"/>
    <x v="0"/>
    <s v="Accessories"/>
    <n v="4"/>
    <x v="904"/>
    <x v="0"/>
    <x v="0"/>
    <x v="0"/>
    <n v="198.8"/>
    <x v="712"/>
    <n v="188.86"/>
    <s v="NO"/>
    <s v="NO"/>
    <n v="188.86"/>
    <s v="NO"/>
  </r>
  <r>
    <n v="100953"/>
    <d v="2024-02-09T16:00:00"/>
    <x v="0"/>
    <s v="SKU-014"/>
    <x v="1"/>
    <s v="Electronics"/>
    <n v="5"/>
    <x v="905"/>
    <x v="0"/>
    <x v="0"/>
    <x v="0"/>
    <n v="163.15"/>
    <x v="713"/>
    <n v="154.99250000000001"/>
    <s v="NO"/>
    <s v="NO"/>
    <n v="154.99250000000001"/>
    <s v="NO"/>
  </r>
  <r>
    <n v="100954"/>
    <d v="2024-02-09T17:00:00"/>
    <x v="1"/>
    <s v="SKU-037"/>
    <x v="3"/>
    <s v="Electronics"/>
    <n v="2"/>
    <x v="187"/>
    <x v="1"/>
    <x v="1"/>
    <x v="2"/>
    <n v="31.84"/>
    <x v="714"/>
    <n v="28.655999999999999"/>
    <s v="YES"/>
    <s v="NO"/>
    <n v="0"/>
    <s v="NO"/>
  </r>
  <r>
    <n v="100955"/>
    <d v="2024-02-09T18:00:00"/>
    <x v="0"/>
    <s v="SKU-034"/>
    <x v="3"/>
    <s v="Electronics"/>
    <n v="3"/>
    <x v="906"/>
    <x v="2"/>
    <x v="3"/>
    <x v="0"/>
    <n v="123.66"/>
    <x v="715"/>
    <n v="105.111"/>
    <s v="NO"/>
    <s v="NO"/>
    <n v="105.111"/>
    <s v="NO"/>
  </r>
  <r>
    <n v="100956"/>
    <d v="2024-02-09T19:00:00"/>
    <x v="0"/>
    <s v="SKU-011"/>
    <x v="4"/>
    <s v="Electronics"/>
    <n v="5"/>
    <x v="907"/>
    <x v="0"/>
    <x v="0"/>
    <x v="0"/>
    <n v="80.55"/>
    <x v="716"/>
    <n v="76.522499999999994"/>
    <s v="NO"/>
    <s v="NO"/>
    <n v="76.522499999999994"/>
    <s v="NO"/>
  </r>
  <r>
    <n v="100957"/>
    <d v="2024-02-09T20:00:00"/>
    <x v="1"/>
    <s v="SKU-041"/>
    <x v="4"/>
    <s v="Accessories"/>
    <n v="4"/>
    <x v="908"/>
    <x v="3"/>
    <x v="3"/>
    <x v="0"/>
    <n v="101.36"/>
    <x v="13"/>
    <n v="101.36"/>
    <s v="NO"/>
    <s v="NO"/>
    <n v="101.36"/>
    <s v="NO"/>
  </r>
  <r>
    <n v="100958"/>
    <d v="2024-02-09T21:00:00"/>
    <x v="0"/>
    <s v="SKU-003"/>
    <x v="4"/>
    <s v="Accessories"/>
    <n v="3"/>
    <x v="909"/>
    <x v="3"/>
    <x v="0"/>
    <x v="0"/>
    <n v="355.62"/>
    <x v="13"/>
    <n v="355.62"/>
    <s v="NO"/>
    <s v="NO"/>
    <n v="355.62"/>
    <s v="NO"/>
  </r>
  <r>
    <n v="100959"/>
    <d v="2024-02-09T22:00:00"/>
    <x v="1"/>
    <s v="SKU-028"/>
    <x v="3"/>
    <s v="Electronics"/>
    <n v="3"/>
    <x v="910"/>
    <x v="0"/>
    <x v="3"/>
    <x v="0"/>
    <n v="168.21"/>
    <x v="717"/>
    <n v="159.79949999999999"/>
    <s v="NO"/>
    <s v="NO"/>
    <n v="159.79949999999999"/>
    <s v="NO"/>
  </r>
  <r>
    <n v="100960"/>
    <d v="2024-02-09T23:00:00"/>
    <x v="0"/>
    <s v="SKU-029"/>
    <x v="1"/>
    <s v="Accessories"/>
    <n v="4"/>
    <x v="911"/>
    <x v="0"/>
    <x v="1"/>
    <x v="0"/>
    <n v="264.68"/>
    <x v="718"/>
    <n v="251.446"/>
    <s v="NO"/>
    <s v="NO"/>
    <n v="251.446"/>
    <s v="NO"/>
  </r>
  <r>
    <n v="100961"/>
    <d v="2024-02-10T00:00:00"/>
    <x v="0"/>
    <s v="SKU-009"/>
    <x v="1"/>
    <s v="Accessories"/>
    <n v="5"/>
    <x v="912"/>
    <x v="0"/>
    <x v="2"/>
    <x v="0"/>
    <n v="527.35"/>
    <x v="719"/>
    <n v="500.98250000000002"/>
    <s v="NO"/>
    <s v="NO"/>
    <n v="500.98250000000002"/>
    <s v="YES"/>
  </r>
  <r>
    <n v="100962"/>
    <d v="2024-02-10T01:00:00"/>
    <x v="0"/>
    <s v="SKU-003"/>
    <x v="4"/>
    <s v="Electronics"/>
    <n v="1"/>
    <x v="913"/>
    <x v="1"/>
    <x v="1"/>
    <x v="0"/>
    <n v="119.49"/>
    <x v="720"/>
    <n v="107.541"/>
    <s v="NO"/>
    <s v="NO"/>
    <n v="107.541"/>
    <s v="NO"/>
  </r>
  <r>
    <n v="100963"/>
    <d v="2024-02-10T02:00:00"/>
    <x v="1"/>
    <s v="SKU-025"/>
    <x v="0"/>
    <s v="Accessories"/>
    <n v="4"/>
    <x v="914"/>
    <x v="3"/>
    <x v="0"/>
    <x v="0"/>
    <n v="288.04000000000002"/>
    <x v="13"/>
    <n v="288.04000000000002"/>
    <s v="NO"/>
    <s v="NO"/>
    <n v="288.04000000000002"/>
    <s v="NO"/>
  </r>
  <r>
    <n v="100964"/>
    <d v="2024-02-10T03:00:00"/>
    <x v="0"/>
    <s v="SKU-034"/>
    <x v="1"/>
    <s v="Electronics"/>
    <n v="4"/>
    <x v="915"/>
    <x v="1"/>
    <x v="1"/>
    <x v="0"/>
    <n v="393.72"/>
    <x v="721"/>
    <n v="354.34800000000001"/>
    <s v="NO"/>
    <s v="NO"/>
    <n v="354.34800000000001"/>
    <s v="NO"/>
  </r>
  <r>
    <n v="100965"/>
    <d v="2024-02-10T04:00:00"/>
    <x v="0"/>
    <s v="SKU-012"/>
    <x v="3"/>
    <s v="Accessories"/>
    <n v="4"/>
    <x v="916"/>
    <x v="1"/>
    <x v="2"/>
    <x v="0"/>
    <n v="170.4"/>
    <x v="722"/>
    <n v="153.36000000000001"/>
    <s v="NO"/>
    <s v="NO"/>
    <n v="153.36000000000001"/>
    <s v="NO"/>
  </r>
  <r>
    <n v="100966"/>
    <d v="2024-02-10T05:00:00"/>
    <x v="0"/>
    <s v="SKU-042"/>
    <x v="2"/>
    <s v="Electronics"/>
    <n v="3"/>
    <x v="917"/>
    <x v="2"/>
    <x v="1"/>
    <x v="0"/>
    <n v="120.48"/>
    <x v="723"/>
    <n v="102.408"/>
    <s v="NO"/>
    <s v="NO"/>
    <n v="102.408"/>
    <s v="NO"/>
  </r>
  <r>
    <n v="100967"/>
    <d v="2024-02-10T06:00:00"/>
    <x v="0"/>
    <s v="SKU-009"/>
    <x v="2"/>
    <s v="Accessories"/>
    <n v="2"/>
    <x v="918"/>
    <x v="3"/>
    <x v="0"/>
    <x v="0"/>
    <n v="102.62"/>
    <x v="13"/>
    <n v="102.62"/>
    <s v="NO"/>
    <s v="NO"/>
    <n v="102.62"/>
    <s v="NO"/>
  </r>
  <r>
    <n v="100968"/>
    <d v="2024-02-10T07:00:00"/>
    <x v="1"/>
    <s v="SKU-015"/>
    <x v="2"/>
    <s v="Accessories"/>
    <n v="1"/>
    <x v="919"/>
    <x v="3"/>
    <x v="0"/>
    <x v="0"/>
    <n v="82.34"/>
    <x v="13"/>
    <n v="82.34"/>
    <s v="NO"/>
    <s v="NO"/>
    <n v="82.34"/>
    <s v="NO"/>
  </r>
  <r>
    <n v="100969"/>
    <d v="2024-02-10T08:00:00"/>
    <x v="1"/>
    <s v="SKU-040"/>
    <x v="0"/>
    <s v="Electronics"/>
    <n v="5"/>
    <x v="920"/>
    <x v="0"/>
    <x v="1"/>
    <x v="0"/>
    <n v="417.25"/>
    <x v="724"/>
    <n v="396.38749999999999"/>
    <s v="NO"/>
    <s v="NO"/>
    <n v="396.38749999999999"/>
    <s v="NO"/>
  </r>
  <r>
    <n v="100970"/>
    <d v="2024-02-10T09:00:00"/>
    <x v="0"/>
    <s v="SKU-025"/>
    <x v="4"/>
    <s v="Electronics"/>
    <n v="5"/>
    <x v="921"/>
    <x v="0"/>
    <x v="2"/>
    <x v="2"/>
    <n v="206.25"/>
    <x v="725"/>
    <n v="195.9375"/>
    <s v="YES"/>
    <s v="NO"/>
    <n v="0"/>
    <s v="NO"/>
  </r>
  <r>
    <n v="100971"/>
    <d v="2024-02-10T10:00:00"/>
    <x v="1"/>
    <s v="SKU-005"/>
    <x v="3"/>
    <s v="Electronics"/>
    <n v="2"/>
    <x v="922"/>
    <x v="2"/>
    <x v="1"/>
    <x v="0"/>
    <n v="40.64"/>
    <x v="726"/>
    <n v="34.543999999999997"/>
    <s v="NO"/>
    <s v="NO"/>
    <n v="34.543999999999997"/>
    <s v="NO"/>
  </r>
  <r>
    <n v="100972"/>
    <d v="2024-02-10T11:00:00"/>
    <x v="0"/>
    <s v="SKU-011"/>
    <x v="0"/>
    <s v="Electronics"/>
    <n v="4"/>
    <x v="128"/>
    <x v="1"/>
    <x v="2"/>
    <x v="0"/>
    <n v="310.92"/>
    <x v="727"/>
    <n v="279.82799999999997"/>
    <s v="NO"/>
    <s v="NO"/>
    <n v="279.82799999999997"/>
    <s v="NO"/>
  </r>
  <r>
    <n v="100973"/>
    <d v="2024-02-10T12:00:00"/>
    <x v="0"/>
    <s v="SKU-034"/>
    <x v="3"/>
    <s v="Accessories"/>
    <n v="1"/>
    <x v="923"/>
    <x v="0"/>
    <x v="3"/>
    <x v="0"/>
    <n v="19.760000000000002"/>
    <x v="728"/>
    <n v="18.771999999999998"/>
    <s v="NO"/>
    <s v="NO"/>
    <n v="18.771999999999998"/>
    <s v="NO"/>
  </r>
  <r>
    <n v="100974"/>
    <d v="2024-02-10T13:00:00"/>
    <x v="0"/>
    <s v="SKU-024"/>
    <x v="3"/>
    <s v="Accessories"/>
    <n v="5"/>
    <x v="924"/>
    <x v="0"/>
    <x v="2"/>
    <x v="0"/>
    <n v="357.65"/>
    <x v="729"/>
    <n v="339.76749999999998"/>
    <s v="NO"/>
    <s v="NO"/>
    <n v="339.76749999999998"/>
    <s v="NO"/>
  </r>
  <r>
    <n v="100975"/>
    <d v="2024-02-10T14:00:00"/>
    <x v="1"/>
    <s v="SKU-015"/>
    <x v="4"/>
    <s v="Electronics"/>
    <n v="5"/>
    <x v="925"/>
    <x v="3"/>
    <x v="3"/>
    <x v="0"/>
    <n v="423.7"/>
    <x v="13"/>
    <n v="423.7"/>
    <s v="NO"/>
    <s v="NO"/>
    <n v="423.7"/>
    <s v="NO"/>
  </r>
  <r>
    <n v="100976"/>
    <d v="2024-02-10T15:00:00"/>
    <x v="1"/>
    <s v="SKU-038"/>
    <x v="2"/>
    <s v="Accessories"/>
    <n v="4"/>
    <x v="926"/>
    <x v="3"/>
    <x v="1"/>
    <x v="0"/>
    <n v="342.28"/>
    <x v="13"/>
    <n v="342.28"/>
    <s v="NO"/>
    <s v="NO"/>
    <n v="342.28"/>
    <s v="NO"/>
  </r>
  <r>
    <n v="100977"/>
    <d v="2024-02-10T16:00:00"/>
    <x v="1"/>
    <s v="SKU-008"/>
    <x v="4"/>
    <s v="Electronics"/>
    <n v="2"/>
    <x v="927"/>
    <x v="0"/>
    <x v="2"/>
    <x v="0"/>
    <n v="183.3"/>
    <x v="730"/>
    <n v="174.13499999999999"/>
    <s v="NO"/>
    <s v="NO"/>
    <n v="174.13499999999999"/>
    <s v="NO"/>
  </r>
  <r>
    <n v="100978"/>
    <d v="2024-02-10T17:00:00"/>
    <x v="1"/>
    <s v="SKU-005"/>
    <x v="0"/>
    <s v="Electronics"/>
    <n v="1"/>
    <x v="928"/>
    <x v="3"/>
    <x v="3"/>
    <x v="0"/>
    <n v="105.38"/>
    <x v="13"/>
    <n v="105.38"/>
    <s v="NO"/>
    <s v="NO"/>
    <n v="105.38"/>
    <s v="NO"/>
  </r>
  <r>
    <n v="100979"/>
    <d v="2024-02-10T18:00:00"/>
    <x v="1"/>
    <s v="SKU-048"/>
    <x v="0"/>
    <s v="Accessories"/>
    <n v="2"/>
    <x v="929"/>
    <x v="2"/>
    <x v="3"/>
    <x v="0"/>
    <n v="125"/>
    <x v="731"/>
    <n v="106.25"/>
    <s v="NO"/>
    <s v="NO"/>
    <n v="106.25"/>
    <s v="NO"/>
  </r>
  <r>
    <n v="100980"/>
    <d v="2024-02-10T19:00:00"/>
    <x v="1"/>
    <s v="SKU-026"/>
    <x v="0"/>
    <s v="Accessories"/>
    <n v="2"/>
    <x v="930"/>
    <x v="0"/>
    <x v="3"/>
    <x v="1"/>
    <n v="177.96"/>
    <x v="732"/>
    <n v="169.06200000000001"/>
    <s v="YES"/>
    <s v="NO"/>
    <n v="-169.06200000000001"/>
    <s v="NO"/>
  </r>
  <r>
    <n v="100981"/>
    <d v="2024-02-10T20:00:00"/>
    <x v="1"/>
    <s v="SKU-018"/>
    <x v="4"/>
    <s v="Electronics"/>
    <n v="1"/>
    <x v="931"/>
    <x v="3"/>
    <x v="0"/>
    <x v="0"/>
    <n v="76.2"/>
    <x v="13"/>
    <n v="76.2"/>
    <s v="NO"/>
    <s v="NO"/>
    <n v="76.2"/>
    <s v="NO"/>
  </r>
  <r>
    <n v="100982"/>
    <d v="2024-02-10T21:00:00"/>
    <x v="1"/>
    <s v="SKU-006"/>
    <x v="3"/>
    <s v="Electronics"/>
    <n v="1"/>
    <x v="932"/>
    <x v="2"/>
    <x v="1"/>
    <x v="0"/>
    <n v="26.46"/>
    <x v="733"/>
    <n v="22.491"/>
    <s v="NO"/>
    <s v="NO"/>
    <n v="22.491"/>
    <s v="NO"/>
  </r>
  <r>
    <n v="100983"/>
    <d v="2024-02-10T22:00:00"/>
    <x v="1"/>
    <s v="SKU-037"/>
    <x v="3"/>
    <s v="Electronics"/>
    <n v="5"/>
    <x v="933"/>
    <x v="3"/>
    <x v="3"/>
    <x v="0"/>
    <n v="39.75"/>
    <x v="13"/>
    <n v="39.75"/>
    <s v="NO"/>
    <s v="NO"/>
    <n v="39.75"/>
    <s v="NO"/>
  </r>
  <r>
    <n v="100984"/>
    <d v="2024-02-10T23:00:00"/>
    <x v="0"/>
    <s v="SKU-048"/>
    <x v="1"/>
    <s v="Accessories"/>
    <n v="5"/>
    <x v="934"/>
    <x v="3"/>
    <x v="2"/>
    <x v="0"/>
    <n v="188.6"/>
    <x v="13"/>
    <n v="188.6"/>
    <s v="NO"/>
    <s v="NO"/>
    <n v="188.6"/>
    <s v="NO"/>
  </r>
  <r>
    <n v="100985"/>
    <d v="2024-02-11T00:00:00"/>
    <x v="1"/>
    <s v="SKU-013"/>
    <x v="0"/>
    <s v="Accessories"/>
    <n v="1"/>
    <x v="935"/>
    <x v="3"/>
    <x v="3"/>
    <x v="0"/>
    <n v="55.95"/>
    <x v="13"/>
    <n v="55.95"/>
    <s v="NO"/>
    <s v="NO"/>
    <n v="55.95"/>
    <s v="NO"/>
  </r>
  <r>
    <n v="100986"/>
    <d v="2024-02-11T01:00:00"/>
    <x v="1"/>
    <s v="SKU-028"/>
    <x v="3"/>
    <s v="Accessories"/>
    <n v="3"/>
    <x v="936"/>
    <x v="0"/>
    <x v="0"/>
    <x v="0"/>
    <n v="227.91"/>
    <x v="734"/>
    <n v="216.5145"/>
    <s v="NO"/>
    <s v="NO"/>
    <n v="216.5145"/>
    <s v="NO"/>
  </r>
  <r>
    <n v="100987"/>
    <d v="2024-02-11T02:00:00"/>
    <x v="1"/>
    <s v="SKU-005"/>
    <x v="1"/>
    <s v="Accessories"/>
    <n v="5"/>
    <x v="937"/>
    <x v="1"/>
    <x v="1"/>
    <x v="0"/>
    <n v="513.75"/>
    <x v="735"/>
    <n v="462.375"/>
    <s v="NO"/>
    <s v="NO"/>
    <n v="462.375"/>
    <s v="YES"/>
  </r>
  <r>
    <n v="100988"/>
    <d v="2024-02-11T03:00:00"/>
    <x v="1"/>
    <s v="SKU-013"/>
    <x v="3"/>
    <s v="Electronics"/>
    <n v="3"/>
    <x v="938"/>
    <x v="3"/>
    <x v="0"/>
    <x v="0"/>
    <n v="82.710000000000008"/>
    <x v="13"/>
    <n v="82.710000000000008"/>
    <s v="NO"/>
    <s v="NO"/>
    <n v="82.710000000000008"/>
    <s v="NO"/>
  </r>
  <r>
    <n v="100989"/>
    <d v="2024-02-11T04:00:00"/>
    <x v="1"/>
    <s v="SKU-017"/>
    <x v="0"/>
    <s v="Electronics"/>
    <n v="1"/>
    <x v="939"/>
    <x v="2"/>
    <x v="0"/>
    <x v="1"/>
    <n v="19.440000000000001"/>
    <x v="736"/>
    <n v="16.524000000000001"/>
    <s v="YES"/>
    <s v="NO"/>
    <n v="-16.524000000000001"/>
    <s v="NO"/>
  </r>
  <r>
    <n v="100990"/>
    <d v="2024-02-11T05:00:00"/>
    <x v="1"/>
    <s v="SKU-050"/>
    <x v="2"/>
    <s v="Electronics"/>
    <n v="5"/>
    <x v="940"/>
    <x v="0"/>
    <x v="0"/>
    <x v="0"/>
    <n v="579"/>
    <x v="737"/>
    <n v="550.04999999999995"/>
    <s v="NO"/>
    <s v="NO"/>
    <n v="550.04999999999995"/>
    <s v="YES"/>
  </r>
  <r>
    <n v="100991"/>
    <d v="2024-02-11T06:00:00"/>
    <x v="1"/>
    <s v="SKU-040"/>
    <x v="0"/>
    <s v="Electronics"/>
    <n v="2"/>
    <x v="941"/>
    <x v="0"/>
    <x v="2"/>
    <x v="0"/>
    <n v="34.86"/>
    <x v="738"/>
    <n v="33.116999999999997"/>
    <s v="NO"/>
    <s v="NO"/>
    <n v="33.116999999999997"/>
    <s v="NO"/>
  </r>
  <r>
    <n v="100992"/>
    <d v="2024-02-11T07:00:00"/>
    <x v="1"/>
    <s v="SKU-045"/>
    <x v="4"/>
    <s v="Electronics"/>
    <n v="1"/>
    <x v="836"/>
    <x v="2"/>
    <x v="1"/>
    <x v="1"/>
    <n v="60.03"/>
    <x v="739"/>
    <n v="51.025500000000001"/>
    <s v="YES"/>
    <s v="NO"/>
    <n v="-51.025500000000001"/>
    <s v="NO"/>
  </r>
  <r>
    <n v="100993"/>
    <d v="2024-02-11T08:00:00"/>
    <x v="1"/>
    <s v="SKU-032"/>
    <x v="3"/>
    <s v="Electronics"/>
    <n v="4"/>
    <x v="942"/>
    <x v="3"/>
    <x v="1"/>
    <x v="0"/>
    <n v="289.36"/>
    <x v="13"/>
    <n v="289.36"/>
    <s v="NO"/>
    <s v="NO"/>
    <n v="289.36"/>
    <s v="NO"/>
  </r>
  <r>
    <n v="100994"/>
    <d v="2024-02-11T09:00:00"/>
    <x v="1"/>
    <s v="SKU-029"/>
    <x v="3"/>
    <s v="Accessories"/>
    <n v="3"/>
    <x v="943"/>
    <x v="1"/>
    <x v="2"/>
    <x v="0"/>
    <n v="201.78"/>
    <x v="740"/>
    <n v="181.602"/>
    <s v="NO"/>
    <s v="NO"/>
    <n v="181.602"/>
    <s v="NO"/>
  </r>
  <r>
    <n v="100995"/>
    <d v="2024-02-11T10:00:00"/>
    <x v="1"/>
    <s v="SKU-003"/>
    <x v="4"/>
    <s v="Accessories"/>
    <n v="1"/>
    <x v="944"/>
    <x v="3"/>
    <x v="1"/>
    <x v="0"/>
    <n v="14.89"/>
    <x v="13"/>
    <n v="14.89"/>
    <s v="NO"/>
    <s v="NO"/>
    <n v="14.89"/>
    <s v="NO"/>
  </r>
  <r>
    <n v="100996"/>
    <d v="2024-02-11T11:00:00"/>
    <x v="0"/>
    <s v="SKU-040"/>
    <x v="4"/>
    <s v="Electronics"/>
    <n v="1"/>
    <x v="945"/>
    <x v="2"/>
    <x v="0"/>
    <x v="0"/>
    <n v="11.56"/>
    <x v="741"/>
    <n v="9.8260000000000005"/>
    <s v="NO"/>
    <s v="NO"/>
    <n v="9.8260000000000005"/>
    <s v="NO"/>
  </r>
  <r>
    <n v="100997"/>
    <d v="2024-02-11T12:00:00"/>
    <x v="0"/>
    <s v="SKU-034"/>
    <x v="2"/>
    <s v="Electronics"/>
    <n v="5"/>
    <x v="946"/>
    <x v="0"/>
    <x v="1"/>
    <x v="0"/>
    <n v="85.649999999999991"/>
    <x v="742"/>
    <n v="81.367499999999993"/>
    <s v="NO"/>
    <s v="NO"/>
    <n v="81.367499999999993"/>
    <s v="NO"/>
  </r>
  <r>
    <n v="100998"/>
    <d v="2024-02-11T13:00:00"/>
    <x v="1"/>
    <s v="SKU-040"/>
    <x v="3"/>
    <s v="Accessories"/>
    <n v="5"/>
    <x v="942"/>
    <x v="1"/>
    <x v="2"/>
    <x v="0"/>
    <n v="361.7"/>
    <x v="743"/>
    <n v="325.52999999999997"/>
    <s v="NO"/>
    <s v="NO"/>
    <n v="325.52999999999997"/>
    <s v="NO"/>
  </r>
  <r>
    <n v="100999"/>
    <d v="2024-02-11T14:00:00"/>
    <x v="1"/>
    <s v="SKU-027"/>
    <x v="3"/>
    <s v="Accessories"/>
    <n v="5"/>
    <x v="947"/>
    <x v="0"/>
    <x v="0"/>
    <x v="0"/>
    <n v="338"/>
    <x v="744"/>
    <n v="321.10000000000002"/>
    <s v="NO"/>
    <s v="NO"/>
    <n v="321.10000000000002"/>
    <s v="NO"/>
  </r>
  <r>
    <n v="101000"/>
    <d v="2024-02-11T15:00:00"/>
    <x v="0"/>
    <s v="SKU-013"/>
    <x v="2"/>
    <s v="Accessories"/>
    <n v="4"/>
    <x v="948"/>
    <x v="2"/>
    <x v="2"/>
    <x v="0"/>
    <n v="127.52"/>
    <x v="745"/>
    <n v="108.392"/>
    <s v="NO"/>
    <s v="NO"/>
    <n v="108.392"/>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F7F6F-0B47-4E27-B17E-2999E2F0C695}"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8:H54" firstHeaderRow="1" firstDataRow="1" firstDataCol="1" rowPageCount="1" colPageCount="1"/>
  <pivotFields count="18">
    <pivotField showAll="0"/>
    <pivotField numFmtId="14" showAll="0"/>
    <pivotField showAll="0">
      <items count="3">
        <item x="0"/>
        <item x="1"/>
        <item t="default"/>
      </items>
    </pivotField>
    <pivotField showAll="0"/>
    <pivotField axis="axisRow" showAll="0" sortType="ascending">
      <items count="6">
        <item sd="0" x="0"/>
        <item sd="0" x="4"/>
        <item sd="0" x="3"/>
        <item sd="0" x="2"/>
        <item sd="0"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950">
        <item x="892"/>
        <item x="404"/>
        <item x="871"/>
        <item x="3"/>
        <item x="103"/>
        <item x="676"/>
        <item x="516"/>
        <item x="99"/>
        <item x="57"/>
        <item x="484"/>
        <item x="551"/>
        <item x="723"/>
        <item x="896"/>
        <item x="840"/>
        <item x="204"/>
        <item x="801"/>
        <item x="876"/>
        <item x="706"/>
        <item x="49"/>
        <item x="9"/>
        <item x="197"/>
        <item x="710"/>
        <item x="445"/>
        <item x="933"/>
        <item x="688"/>
        <item x="843"/>
        <item x="722"/>
        <item x="285"/>
        <item x="469"/>
        <item x="431"/>
        <item x="168"/>
        <item x="271"/>
        <item x="562"/>
        <item x="608"/>
        <item x="170"/>
        <item x="762"/>
        <item x="440"/>
        <item x="174"/>
        <item x="674"/>
        <item x="719"/>
        <item x="415"/>
        <item x="803"/>
        <item x="725"/>
        <item x="194"/>
        <item x="641"/>
        <item x="833"/>
        <item x="448"/>
        <item x="439"/>
        <item x="575"/>
        <item x="850"/>
        <item x="718"/>
        <item x="747"/>
        <item x="270"/>
        <item x="576"/>
        <item x="233"/>
        <item x="515"/>
        <item x="761"/>
        <item x="342"/>
        <item x="945"/>
        <item x="19"/>
        <item x="829"/>
        <item x="499"/>
        <item x="291"/>
        <item x="321"/>
        <item x="463"/>
        <item x="107"/>
        <item x="81"/>
        <item x="76"/>
        <item x="293"/>
        <item x="186"/>
        <item x="616"/>
        <item x="93"/>
        <item x="51"/>
        <item x="854"/>
        <item x="636"/>
        <item x="300"/>
        <item x="83"/>
        <item x="71"/>
        <item x="622"/>
        <item x="141"/>
        <item x="491"/>
        <item x="780"/>
        <item x="841"/>
        <item x="338"/>
        <item x="328"/>
        <item x="8"/>
        <item x="703"/>
        <item x="273"/>
        <item x="592"/>
        <item x="900"/>
        <item x="298"/>
        <item x="944"/>
        <item x="393"/>
        <item x="164"/>
        <item x="855"/>
        <item x="500"/>
        <item x="412"/>
        <item x="883"/>
        <item x="187"/>
        <item x="743"/>
        <item x="907"/>
        <item x="705"/>
        <item x="305"/>
        <item x="811"/>
        <item x="564"/>
        <item x="887"/>
        <item x="554"/>
        <item x="14"/>
        <item x="946"/>
        <item x="631"/>
        <item x="941"/>
        <item x="450"/>
        <item x="37"/>
        <item x="618"/>
        <item x="538"/>
        <item x="39"/>
        <item x="1"/>
        <item x="891"/>
        <item x="604"/>
        <item x="557"/>
        <item x="529"/>
        <item x="691"/>
        <item x="458"/>
        <item x="939"/>
        <item x="812"/>
        <item x="368"/>
        <item x="923"/>
        <item x="317"/>
        <item x="196"/>
        <item x="830"/>
        <item x="922"/>
        <item x="882"/>
        <item x="713"/>
        <item x="331"/>
        <item x="114"/>
        <item x="379"/>
        <item x="41"/>
        <item x="389"/>
        <item x="860"/>
        <item x="334"/>
        <item x="661"/>
        <item x="324"/>
        <item x="307"/>
        <item x="756"/>
        <item x="503"/>
        <item x="409"/>
        <item x="263"/>
        <item x="755"/>
        <item x="423"/>
        <item x="327"/>
        <item x="245"/>
        <item x="776"/>
        <item x="129"/>
        <item x="639"/>
        <item x="698"/>
        <item x="444"/>
        <item x="611"/>
        <item x="7"/>
        <item x="501"/>
        <item x="708"/>
        <item x="537"/>
        <item x="2"/>
        <item x="10"/>
        <item x="239"/>
        <item x="306"/>
        <item x="643"/>
        <item x="253"/>
        <item x="118"/>
        <item x="430"/>
        <item x="699"/>
        <item x="31"/>
        <item x="565"/>
        <item x="453"/>
        <item x="846"/>
        <item x="397"/>
        <item x="371"/>
        <item x="908"/>
        <item x="248"/>
        <item x="692"/>
        <item x="638"/>
        <item x="383"/>
        <item x="67"/>
        <item x="526"/>
        <item x="381"/>
        <item x="497"/>
        <item x="932"/>
        <item x="163"/>
        <item x="140"/>
        <item x="525"/>
        <item x="154"/>
        <item x="764"/>
        <item x="119"/>
        <item x="356"/>
        <item x="938"/>
        <item x="369"/>
        <item x="281"/>
        <item x="795"/>
        <item x="133"/>
        <item x="75"/>
        <item x="46"/>
        <item x="432"/>
        <item x="43"/>
        <item x="417"/>
        <item x="591"/>
        <item x="807"/>
        <item x="322"/>
        <item x="301"/>
        <item x="746"/>
        <item x="278"/>
        <item x="226"/>
        <item x="517"/>
        <item x="559"/>
        <item x="136"/>
        <item x="100"/>
        <item x="872"/>
        <item x="400"/>
        <item x="156"/>
        <item x="22"/>
        <item x="90"/>
        <item x="650"/>
        <item x="399"/>
        <item x="596"/>
        <item x="15"/>
        <item x="694"/>
        <item x="739"/>
        <item x="740"/>
        <item x="825"/>
        <item x="579"/>
        <item x="220"/>
        <item x="302"/>
        <item x="0"/>
        <item x="376"/>
        <item x="768"/>
        <item x="646"/>
        <item x="714"/>
        <item x="203"/>
        <item x="316"/>
        <item x="826"/>
        <item x="948"/>
        <item x="709"/>
        <item x="21"/>
        <item x="467"/>
        <item x="459"/>
        <item x="447"/>
        <item x="418"/>
        <item x="905"/>
        <item x="770"/>
        <item x="135"/>
        <item x="12"/>
        <item x="172"/>
        <item x="18"/>
        <item x="506"/>
        <item x="184"/>
        <item x="402"/>
        <item x="668"/>
        <item x="581"/>
        <item x="809"/>
        <item x="56"/>
        <item x="895"/>
        <item x="630"/>
        <item x="318"/>
        <item x="842"/>
        <item x="169"/>
        <item x="571"/>
        <item x="766"/>
        <item x="493"/>
        <item x="403"/>
        <item x="149"/>
        <item x="158"/>
        <item x="473"/>
        <item x="686"/>
        <item x="757"/>
        <item x="304"/>
        <item x="153"/>
        <item x="779"/>
        <item x="132"/>
        <item x="732"/>
        <item x="524"/>
        <item x="147"/>
        <item x="675"/>
        <item x="336"/>
        <item x="730"/>
        <item x="244"/>
        <item x="823"/>
        <item x="265"/>
        <item x="481"/>
        <item x="312"/>
        <item x="382"/>
        <item x="452"/>
        <item x="482"/>
        <item x="934"/>
        <item x="385"/>
        <item x="283"/>
        <item x="532"/>
        <item x="788"/>
        <item x="416"/>
        <item x="862"/>
        <item x="806"/>
        <item x="870"/>
        <item x="847"/>
        <item x="567"/>
        <item x="767"/>
        <item x="315"/>
        <item x="534"/>
        <item x="330"/>
        <item x="602"/>
        <item x="917"/>
        <item x="340"/>
        <item x="695"/>
        <item x="671"/>
        <item x="489"/>
        <item x="201"/>
        <item x="134"/>
        <item x="350"/>
        <item x="906"/>
        <item x="921"/>
        <item x="476"/>
        <item x="89"/>
        <item x="176"/>
        <item x="878"/>
        <item x="816"/>
        <item x="152"/>
        <item x="673"/>
        <item x="179"/>
        <item x="314"/>
        <item x="189"/>
        <item x="550"/>
        <item x="916"/>
        <item x="590"/>
        <item x="365"/>
        <item x="792"/>
        <item x="838"/>
        <item x="64"/>
        <item x="750"/>
        <item x="292"/>
        <item x="40"/>
        <item x="745"/>
        <item x="490"/>
        <item x="433"/>
        <item x="857"/>
        <item x="835"/>
        <item x="224"/>
        <item x="527"/>
        <item x="325"/>
        <item x="881"/>
        <item x="494"/>
        <item x="541"/>
        <item x="468"/>
        <item x="681"/>
        <item x="574"/>
        <item x="91"/>
        <item x="587"/>
        <item x="411"/>
        <item x="13"/>
        <item x="623"/>
        <item x="632"/>
        <item x="269"/>
        <item x="319"/>
        <item x="894"/>
        <item x="583"/>
        <item x="198"/>
        <item x="758"/>
        <item x="362"/>
        <item x="588"/>
        <item x="392"/>
        <item x="166"/>
        <item x="94"/>
        <item x="355"/>
        <item x="378"/>
        <item x="92"/>
        <item x="237"/>
        <item x="629"/>
        <item x="390"/>
        <item x="734"/>
        <item x="84"/>
        <item x="666"/>
        <item x="454"/>
        <item x="902"/>
        <item x="597"/>
        <item x="143"/>
        <item x="600"/>
        <item x="299"/>
        <item x="462"/>
        <item x="72"/>
        <item x="904"/>
        <item x="219"/>
        <item x="78"/>
        <item x="20"/>
        <item x="44"/>
        <item x="763"/>
        <item x="456"/>
        <item x="721"/>
        <item x="704"/>
        <item x="751"/>
        <item x="679"/>
        <item x="637"/>
        <item x="775"/>
        <item x="727"/>
        <item x="428"/>
        <item x="549"/>
        <item x="684"/>
        <item x="262"/>
        <item x="888"/>
        <item x="519"/>
        <item x="918"/>
        <item x="625"/>
        <item x="859"/>
        <item x="364"/>
        <item x="610"/>
        <item x="759"/>
        <item x="195"/>
        <item x="769"/>
        <item x="33"/>
        <item x="633"/>
        <item x="26"/>
        <item x="697"/>
        <item x="617"/>
        <item x="700"/>
        <item x="343"/>
        <item x="642"/>
        <item x="48"/>
        <item x="717"/>
        <item x="272"/>
        <item x="137"/>
        <item x="736"/>
        <item x="844"/>
        <item x="791"/>
        <item x="659"/>
        <item x="27"/>
        <item x="822"/>
        <item x="425"/>
        <item x="573"/>
        <item x="665"/>
        <item x="167"/>
        <item x="86"/>
        <item x="536"/>
        <item x="442"/>
        <item x="311"/>
        <item x="749"/>
        <item x="217"/>
        <item x="492"/>
        <item x="935"/>
        <item x="910"/>
        <item x="504"/>
        <item x="446"/>
        <item x="744"/>
        <item x="66"/>
        <item x="366"/>
        <item x="234"/>
        <item x="250"/>
        <item x="578"/>
        <item x="410"/>
        <item x="344"/>
        <item x="601"/>
        <item x="339"/>
        <item x="556"/>
        <item x="95"/>
        <item x="289"/>
        <item x="839"/>
        <item x="421"/>
        <item x="70"/>
        <item x="593"/>
        <item x="789"/>
        <item x="420"/>
        <item x="303"/>
        <item x="507"/>
        <item x="130"/>
        <item x="52"/>
        <item x="609"/>
        <item x="586"/>
        <item x="836"/>
        <item x="594"/>
        <item x="360"/>
        <item x="102"/>
        <item x="329"/>
        <item x="63"/>
        <item x="413"/>
        <item x="424"/>
        <item x="337"/>
        <item x="261"/>
        <item x="357"/>
        <item x="374"/>
        <item x="748"/>
        <item x="359"/>
        <item x="533"/>
        <item x="929"/>
        <item x="32"/>
        <item x="853"/>
        <item x="240"/>
        <item x="438"/>
        <item x="505"/>
        <item x="647"/>
        <item x="333"/>
        <item x="139"/>
        <item x="47"/>
        <item x="437"/>
        <item x="434"/>
        <item x="670"/>
        <item x="899"/>
        <item x="6"/>
        <item x="113"/>
        <item x="16"/>
        <item x="465"/>
        <item x="863"/>
        <item x="225"/>
        <item x="752"/>
        <item x="657"/>
        <item x="531"/>
        <item x="607"/>
        <item x="911"/>
        <item x="563"/>
        <item x="36"/>
        <item x="59"/>
        <item x="260"/>
        <item x="351"/>
        <item x="663"/>
        <item x="28"/>
        <item x="943"/>
        <item x="79"/>
        <item x="729"/>
        <item x="947"/>
        <item x="696"/>
        <item x="539"/>
        <item x="845"/>
        <item x="106"/>
        <item x="901"/>
        <item x="735"/>
        <item x="624"/>
        <item x="441"/>
        <item x="377"/>
        <item x="799"/>
        <item x="880"/>
        <item x="394"/>
        <item x="25"/>
        <item x="645"/>
        <item x="173"/>
        <item x="88"/>
        <item x="53"/>
        <item x="614"/>
        <item x="210"/>
        <item x="852"/>
        <item x="793"/>
        <item x="461"/>
        <item x="200"/>
        <item x="546"/>
        <item x="372"/>
        <item x="566"/>
        <item x="380"/>
        <item x="388"/>
        <item x="753"/>
        <item x="264"/>
        <item x="672"/>
        <item x="720"/>
        <item x="346"/>
        <item x="821"/>
        <item x="185"/>
        <item x="555"/>
        <item x="582"/>
        <item x="786"/>
        <item x="511"/>
        <item x="924"/>
        <item x="127"/>
        <item x="373"/>
        <item x="332"/>
        <item x="214"/>
        <item x="914"/>
        <item x="267"/>
        <item x="109"/>
        <item x="942"/>
        <item x="213"/>
        <item x="726"/>
        <item x="268"/>
        <item x="232"/>
        <item x="875"/>
        <item x="818"/>
        <item x="560"/>
        <item x="502"/>
        <item x="157"/>
        <item x="535"/>
        <item x="221"/>
        <item x="124"/>
        <item x="247"/>
        <item x="856"/>
        <item x="707"/>
        <item x="819"/>
        <item x="689"/>
        <item x="38"/>
        <item x="831"/>
        <item x="274"/>
        <item x="903"/>
        <item x="17"/>
        <item x="451"/>
        <item x="255"/>
        <item x="474"/>
        <item x="628"/>
        <item x="619"/>
        <item x="580"/>
        <item x="435"/>
        <item x="24"/>
        <item x="936"/>
        <item x="931"/>
        <item x="790"/>
        <item x="209"/>
        <item x="116"/>
        <item x="287"/>
        <item x="487"/>
        <item x="693"/>
        <item x="206"/>
        <item x="335"/>
        <item x="211"/>
        <item x="827"/>
        <item x="407"/>
        <item x="54"/>
        <item x="655"/>
        <item x="35"/>
        <item x="128"/>
        <item x="874"/>
        <item x="654"/>
        <item x="246"/>
        <item x="151"/>
        <item x="765"/>
        <item x="375"/>
        <item x="82"/>
        <item x="243"/>
        <item x="229"/>
        <item x="886"/>
        <item x="125"/>
        <item x="202"/>
        <item x="612"/>
        <item x="97"/>
        <item x="547"/>
        <item x="635"/>
        <item x="543"/>
        <item x="277"/>
        <item x="785"/>
        <item x="145"/>
        <item x="101"/>
        <item x="621"/>
        <item x="873"/>
        <item x="508"/>
        <item x="159"/>
        <item x="518"/>
        <item x="848"/>
        <item x="879"/>
        <item x="175"/>
        <item x="347"/>
        <item x="251"/>
        <item x="471"/>
        <item x="115"/>
        <item x="778"/>
        <item x="771"/>
        <item x="919"/>
        <item x="398"/>
        <item x="773"/>
        <item x="814"/>
        <item x="320"/>
        <item x="235"/>
        <item x="634"/>
        <item x="867"/>
        <item x="817"/>
        <item x="460"/>
        <item x="658"/>
        <item x="236"/>
        <item x="475"/>
        <item x="868"/>
        <item x="760"/>
        <item x="920"/>
        <item x="820"/>
        <item x="606"/>
        <item x="690"/>
        <item x="55"/>
        <item x="797"/>
        <item x="241"/>
        <item x="523"/>
        <item x="577"/>
        <item x="42"/>
        <item x="148"/>
        <item x="925"/>
        <item x="155"/>
        <item x="142"/>
        <item x="29"/>
        <item x="242"/>
        <item x="864"/>
        <item x="165"/>
        <item x="256"/>
        <item x="926"/>
        <item x="30"/>
        <item x="249"/>
        <item x="486"/>
        <item x="218"/>
        <item x="98"/>
        <item x="731"/>
        <item x="893"/>
        <item x="861"/>
        <item x="615"/>
        <item x="231"/>
        <item x="485"/>
        <item x="131"/>
        <item x="4"/>
        <item x="96"/>
        <item x="58"/>
        <item x="449"/>
        <item x="345"/>
        <item x="680"/>
        <item x="877"/>
        <item x="889"/>
        <item x="930"/>
        <item x="648"/>
        <item x="5"/>
        <item x="542"/>
        <item x="834"/>
        <item x="530"/>
        <item x="282"/>
        <item x="777"/>
        <item x="561"/>
        <item x="480"/>
        <item x="358"/>
        <item x="117"/>
        <item x="828"/>
        <item x="190"/>
        <item x="121"/>
        <item x="408"/>
        <item x="457"/>
        <item x="509"/>
        <item x="111"/>
        <item x="656"/>
        <item x="927"/>
        <item x="510"/>
        <item x="216"/>
        <item x="514"/>
        <item x="701"/>
        <item x="123"/>
        <item x="309"/>
        <item x="754"/>
        <item x="422"/>
        <item x="162"/>
        <item x="207"/>
        <item x="367"/>
        <item x="205"/>
        <item x="808"/>
        <item x="108"/>
        <item x="824"/>
        <item x="427"/>
        <item x="105"/>
        <item x="466"/>
        <item x="348"/>
        <item x="161"/>
        <item x="254"/>
        <item x="800"/>
        <item x="890"/>
        <item x="110"/>
        <item x="685"/>
        <item x="199"/>
        <item x="724"/>
        <item x="65"/>
        <item x="866"/>
        <item x="406"/>
        <item x="50"/>
        <item x="784"/>
        <item x="396"/>
        <item x="146"/>
        <item x="391"/>
        <item x="313"/>
        <item x="553"/>
        <item x="455"/>
        <item x="284"/>
        <item x="258"/>
        <item x="112"/>
        <item x="73"/>
        <item x="85"/>
        <item x="230"/>
        <item x="104"/>
        <item x="682"/>
        <item x="738"/>
        <item x="589"/>
        <item x="191"/>
        <item x="598"/>
        <item x="323"/>
        <item x="915"/>
        <item x="627"/>
        <item x="160"/>
        <item x="295"/>
        <item x="741"/>
        <item x="513"/>
        <item x="802"/>
        <item x="569"/>
        <item x="585"/>
        <item x="545"/>
        <item x="61"/>
        <item x="144"/>
        <item x="341"/>
        <item x="798"/>
        <item x="584"/>
        <item x="599"/>
        <item x="774"/>
        <item x="660"/>
        <item x="182"/>
        <item x="384"/>
        <item x="772"/>
        <item x="552"/>
        <item x="464"/>
        <item x="640"/>
        <item x="429"/>
        <item x="528"/>
        <item x="884"/>
        <item x="737"/>
        <item x="662"/>
        <item x="626"/>
        <item x="495"/>
        <item x="711"/>
        <item x="60"/>
        <item x="208"/>
        <item x="252"/>
        <item x="257"/>
        <item x="361"/>
        <item x="443"/>
        <item x="352"/>
        <item x="595"/>
        <item x="62"/>
        <item x="669"/>
        <item x="664"/>
        <item x="183"/>
        <item x="395"/>
        <item x="815"/>
        <item x="290"/>
        <item x="477"/>
        <item x="832"/>
        <item x="937"/>
        <item x="794"/>
        <item x="897"/>
        <item x="296"/>
        <item x="68"/>
        <item x="192"/>
        <item x="363"/>
        <item x="349"/>
        <item x="279"/>
        <item x="212"/>
        <item x="326"/>
        <item x="810"/>
        <item x="787"/>
        <item x="715"/>
        <item x="34"/>
        <item x="405"/>
        <item x="928"/>
        <item x="912"/>
        <item x="401"/>
        <item x="77"/>
        <item x="171"/>
        <item x="644"/>
        <item x="275"/>
        <item x="69"/>
        <item x="276"/>
        <item x="520"/>
        <item x="479"/>
        <item x="280"/>
        <item x="651"/>
        <item x="178"/>
        <item x="126"/>
        <item x="354"/>
        <item x="804"/>
        <item x="851"/>
        <item x="120"/>
        <item x="11"/>
        <item x="521"/>
        <item x="45"/>
        <item x="286"/>
        <item x="177"/>
        <item x="702"/>
        <item x="548"/>
        <item x="865"/>
        <item x="180"/>
        <item x="74"/>
        <item x="540"/>
        <item x="733"/>
        <item x="512"/>
        <item x="138"/>
        <item x="122"/>
        <item x="419"/>
        <item x="522"/>
        <item x="436"/>
        <item x="667"/>
        <item x="653"/>
        <item x="858"/>
        <item x="885"/>
        <item x="414"/>
        <item x="266"/>
        <item x="716"/>
        <item x="386"/>
        <item x="222"/>
        <item x="498"/>
        <item x="837"/>
        <item x="223"/>
        <item x="742"/>
        <item x="544"/>
        <item x="603"/>
        <item x="472"/>
        <item x="605"/>
        <item x="652"/>
        <item x="796"/>
        <item x="496"/>
        <item x="297"/>
        <item x="568"/>
        <item x="620"/>
        <item x="150"/>
        <item x="238"/>
        <item x="869"/>
        <item x="683"/>
        <item x="478"/>
        <item x="370"/>
        <item x="898"/>
        <item x="649"/>
        <item x="23"/>
        <item x="259"/>
        <item x="470"/>
        <item x="483"/>
        <item x="940"/>
        <item x="849"/>
        <item x="678"/>
        <item x="310"/>
        <item x="80"/>
        <item x="572"/>
        <item x="387"/>
        <item x="613"/>
        <item x="308"/>
        <item x="288"/>
        <item x="728"/>
        <item x="712"/>
        <item x="294"/>
        <item x="783"/>
        <item x="677"/>
        <item x="813"/>
        <item x="558"/>
        <item x="228"/>
        <item x="570"/>
        <item x="909"/>
        <item x="782"/>
        <item x="353"/>
        <item x="488"/>
        <item x="687"/>
        <item x="215"/>
        <item x="805"/>
        <item x="781"/>
        <item x="913"/>
        <item x="227"/>
        <item x="181"/>
        <item x="87"/>
        <item x="193"/>
        <item x="188"/>
        <item x="426"/>
        <item t="default"/>
      </items>
    </pivotField>
    <pivotField axis="axisRow" showAll="0">
      <items count="5">
        <item x="3"/>
        <item x="0"/>
        <item x="1"/>
        <item x="2"/>
        <item t="default"/>
      </items>
    </pivotField>
    <pivotField showAll="0"/>
    <pivotField axis="axisPage" showAll="0">
      <items count="4">
        <item x="2"/>
        <item x="0"/>
        <item x="1"/>
        <item t="default"/>
      </items>
    </pivotField>
    <pivotField showAll="0"/>
    <pivotField showAll="0"/>
    <pivotField showAll="0"/>
    <pivotField showAll="0"/>
    <pivotField showAll="0"/>
    <pivotField showAll="0"/>
    <pivotField showAll="0"/>
  </pivotFields>
  <rowFields count="2">
    <field x="4"/>
    <field x="8"/>
  </rowFields>
  <rowItems count="6">
    <i>
      <x v="3"/>
    </i>
    <i>
      <x v="2"/>
    </i>
    <i>
      <x/>
    </i>
    <i>
      <x v="4"/>
    </i>
    <i>
      <x v="1"/>
    </i>
    <i t="grand">
      <x/>
    </i>
  </rowItems>
  <colItems count="1">
    <i/>
  </colItems>
  <pageFields count="1">
    <pageField fld="10" item="2" hier="-1"/>
  </pageFields>
  <dataFields count="1">
    <dataField name="Sum of Unit_Price" fld="7" baseField="0" baseItem="0"/>
  </dataFields>
  <formats count="9">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grandRow="1" outline="0" fieldPosition="0"/>
    </format>
    <format dxfId="34">
      <pivotArea dataOnly="0" labelOnly="1" outline="0" axis="axisValues" fieldPosition="0"/>
    </format>
    <format dxfId="21">
      <pivotArea outline="0" collapsedLevelsAreSubtotals="1" fieldPosition="0"/>
    </format>
    <format dxfId="20">
      <pivotArea dataOnly="0" labelOnly="1" outline="0" fieldPosition="0">
        <references count="1">
          <reference field="10" count="1">
            <x v="2"/>
          </reference>
        </references>
      </pivotArea>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4F229A-27B9-44B0-A158-E2E39474DC48}"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7:J43" firstHeaderRow="1" firstDataRow="1" firstDataCol="1"/>
  <pivotFields count="18">
    <pivotField showAll="0"/>
    <pivotField numFmtId="14" showAll="0"/>
    <pivotField showAll="0">
      <items count="3">
        <item x="0"/>
        <item x="1"/>
        <item t="default"/>
      </items>
    </pivotField>
    <pivotField showAll="0"/>
    <pivotField axis="axisRow" showAll="0" sortType="ascending">
      <items count="6">
        <item sd="0" x="0"/>
        <item sd="0" x="4"/>
        <item sd="0" x="3"/>
        <item sd="0" x="2"/>
        <item sd="0"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950">
        <item x="892"/>
        <item x="404"/>
        <item x="871"/>
        <item x="3"/>
        <item x="103"/>
        <item x="676"/>
        <item x="516"/>
        <item x="99"/>
        <item x="57"/>
        <item x="484"/>
        <item x="551"/>
        <item x="723"/>
        <item x="896"/>
        <item x="840"/>
        <item x="204"/>
        <item x="801"/>
        <item x="876"/>
        <item x="706"/>
        <item x="49"/>
        <item x="9"/>
        <item x="197"/>
        <item x="710"/>
        <item x="445"/>
        <item x="933"/>
        <item x="688"/>
        <item x="843"/>
        <item x="722"/>
        <item x="285"/>
        <item x="469"/>
        <item x="431"/>
        <item x="168"/>
        <item x="271"/>
        <item x="562"/>
        <item x="608"/>
        <item x="170"/>
        <item x="762"/>
        <item x="440"/>
        <item x="174"/>
        <item x="674"/>
        <item x="719"/>
        <item x="415"/>
        <item x="803"/>
        <item x="725"/>
        <item x="194"/>
        <item x="641"/>
        <item x="833"/>
        <item x="448"/>
        <item x="439"/>
        <item x="575"/>
        <item x="850"/>
        <item x="718"/>
        <item x="747"/>
        <item x="270"/>
        <item x="576"/>
        <item x="233"/>
        <item x="515"/>
        <item x="761"/>
        <item x="342"/>
        <item x="945"/>
        <item x="19"/>
        <item x="829"/>
        <item x="499"/>
        <item x="291"/>
        <item x="321"/>
        <item x="463"/>
        <item x="107"/>
        <item x="81"/>
        <item x="76"/>
        <item x="293"/>
        <item x="186"/>
        <item x="616"/>
        <item x="93"/>
        <item x="51"/>
        <item x="854"/>
        <item x="636"/>
        <item x="300"/>
        <item x="83"/>
        <item x="71"/>
        <item x="622"/>
        <item x="141"/>
        <item x="491"/>
        <item x="780"/>
        <item x="841"/>
        <item x="338"/>
        <item x="328"/>
        <item x="8"/>
        <item x="703"/>
        <item x="273"/>
        <item x="592"/>
        <item x="900"/>
        <item x="298"/>
        <item x="944"/>
        <item x="393"/>
        <item x="164"/>
        <item x="855"/>
        <item x="500"/>
        <item x="412"/>
        <item x="883"/>
        <item x="187"/>
        <item x="743"/>
        <item x="907"/>
        <item x="705"/>
        <item x="305"/>
        <item x="811"/>
        <item x="564"/>
        <item x="887"/>
        <item x="554"/>
        <item x="14"/>
        <item x="946"/>
        <item x="631"/>
        <item x="941"/>
        <item x="450"/>
        <item x="37"/>
        <item x="618"/>
        <item x="538"/>
        <item x="39"/>
        <item x="1"/>
        <item x="891"/>
        <item x="604"/>
        <item x="557"/>
        <item x="529"/>
        <item x="691"/>
        <item x="458"/>
        <item x="939"/>
        <item x="812"/>
        <item x="368"/>
        <item x="923"/>
        <item x="317"/>
        <item x="196"/>
        <item x="830"/>
        <item x="922"/>
        <item x="882"/>
        <item x="713"/>
        <item x="331"/>
        <item x="114"/>
        <item x="379"/>
        <item x="41"/>
        <item x="389"/>
        <item x="860"/>
        <item x="334"/>
        <item x="661"/>
        <item x="324"/>
        <item x="307"/>
        <item x="756"/>
        <item x="503"/>
        <item x="409"/>
        <item x="263"/>
        <item x="755"/>
        <item x="423"/>
        <item x="327"/>
        <item x="245"/>
        <item x="776"/>
        <item x="129"/>
        <item x="639"/>
        <item x="698"/>
        <item x="444"/>
        <item x="611"/>
        <item x="7"/>
        <item x="501"/>
        <item x="708"/>
        <item x="537"/>
        <item x="2"/>
        <item x="10"/>
        <item x="239"/>
        <item x="306"/>
        <item x="643"/>
        <item x="253"/>
        <item x="118"/>
        <item x="430"/>
        <item x="699"/>
        <item x="31"/>
        <item x="565"/>
        <item x="453"/>
        <item x="846"/>
        <item x="397"/>
        <item x="371"/>
        <item x="908"/>
        <item x="248"/>
        <item x="692"/>
        <item x="638"/>
        <item x="383"/>
        <item x="67"/>
        <item x="526"/>
        <item x="381"/>
        <item x="497"/>
        <item x="932"/>
        <item x="163"/>
        <item x="140"/>
        <item x="525"/>
        <item x="154"/>
        <item x="764"/>
        <item x="119"/>
        <item x="356"/>
        <item x="938"/>
        <item x="369"/>
        <item x="281"/>
        <item x="795"/>
        <item x="133"/>
        <item x="75"/>
        <item x="46"/>
        <item x="432"/>
        <item x="43"/>
        <item x="417"/>
        <item x="591"/>
        <item x="807"/>
        <item x="322"/>
        <item x="301"/>
        <item x="746"/>
        <item x="278"/>
        <item x="226"/>
        <item x="517"/>
        <item x="559"/>
        <item x="136"/>
        <item x="100"/>
        <item x="872"/>
        <item x="400"/>
        <item x="156"/>
        <item x="22"/>
        <item x="90"/>
        <item x="650"/>
        <item x="399"/>
        <item x="596"/>
        <item x="15"/>
        <item x="694"/>
        <item x="739"/>
        <item x="740"/>
        <item x="825"/>
        <item x="579"/>
        <item x="220"/>
        <item x="302"/>
        <item x="0"/>
        <item x="376"/>
        <item x="768"/>
        <item x="646"/>
        <item x="714"/>
        <item x="203"/>
        <item x="316"/>
        <item x="826"/>
        <item x="948"/>
        <item x="709"/>
        <item x="21"/>
        <item x="467"/>
        <item x="459"/>
        <item x="447"/>
        <item x="418"/>
        <item x="905"/>
        <item x="770"/>
        <item x="135"/>
        <item x="12"/>
        <item x="172"/>
        <item x="18"/>
        <item x="506"/>
        <item x="184"/>
        <item x="402"/>
        <item x="668"/>
        <item x="581"/>
        <item x="809"/>
        <item x="56"/>
        <item x="895"/>
        <item x="630"/>
        <item x="318"/>
        <item x="842"/>
        <item x="169"/>
        <item x="571"/>
        <item x="766"/>
        <item x="493"/>
        <item x="403"/>
        <item x="149"/>
        <item x="158"/>
        <item x="473"/>
        <item x="686"/>
        <item x="757"/>
        <item x="304"/>
        <item x="153"/>
        <item x="779"/>
        <item x="132"/>
        <item x="732"/>
        <item x="524"/>
        <item x="147"/>
        <item x="675"/>
        <item x="336"/>
        <item x="730"/>
        <item x="244"/>
        <item x="823"/>
        <item x="265"/>
        <item x="481"/>
        <item x="312"/>
        <item x="382"/>
        <item x="452"/>
        <item x="482"/>
        <item x="934"/>
        <item x="385"/>
        <item x="283"/>
        <item x="532"/>
        <item x="788"/>
        <item x="416"/>
        <item x="862"/>
        <item x="806"/>
        <item x="870"/>
        <item x="847"/>
        <item x="567"/>
        <item x="767"/>
        <item x="315"/>
        <item x="534"/>
        <item x="330"/>
        <item x="602"/>
        <item x="917"/>
        <item x="340"/>
        <item x="695"/>
        <item x="671"/>
        <item x="489"/>
        <item x="201"/>
        <item x="134"/>
        <item x="350"/>
        <item x="906"/>
        <item x="921"/>
        <item x="476"/>
        <item x="89"/>
        <item x="176"/>
        <item x="878"/>
        <item x="816"/>
        <item x="152"/>
        <item x="673"/>
        <item x="179"/>
        <item x="314"/>
        <item x="189"/>
        <item x="550"/>
        <item x="916"/>
        <item x="590"/>
        <item x="365"/>
        <item x="792"/>
        <item x="838"/>
        <item x="64"/>
        <item x="750"/>
        <item x="292"/>
        <item x="40"/>
        <item x="745"/>
        <item x="490"/>
        <item x="433"/>
        <item x="857"/>
        <item x="835"/>
        <item x="224"/>
        <item x="527"/>
        <item x="325"/>
        <item x="881"/>
        <item x="494"/>
        <item x="541"/>
        <item x="468"/>
        <item x="681"/>
        <item x="574"/>
        <item x="91"/>
        <item x="587"/>
        <item x="411"/>
        <item x="13"/>
        <item x="623"/>
        <item x="632"/>
        <item x="269"/>
        <item x="319"/>
        <item x="894"/>
        <item x="583"/>
        <item x="198"/>
        <item x="758"/>
        <item x="362"/>
        <item x="588"/>
        <item x="392"/>
        <item x="166"/>
        <item x="94"/>
        <item x="355"/>
        <item x="378"/>
        <item x="92"/>
        <item x="237"/>
        <item x="629"/>
        <item x="390"/>
        <item x="734"/>
        <item x="84"/>
        <item x="666"/>
        <item x="454"/>
        <item x="902"/>
        <item x="597"/>
        <item x="143"/>
        <item x="600"/>
        <item x="299"/>
        <item x="462"/>
        <item x="72"/>
        <item x="904"/>
        <item x="219"/>
        <item x="78"/>
        <item x="20"/>
        <item x="44"/>
        <item x="763"/>
        <item x="456"/>
        <item x="721"/>
        <item x="704"/>
        <item x="751"/>
        <item x="679"/>
        <item x="637"/>
        <item x="775"/>
        <item x="727"/>
        <item x="428"/>
        <item x="549"/>
        <item x="684"/>
        <item x="262"/>
        <item x="888"/>
        <item x="519"/>
        <item x="918"/>
        <item x="625"/>
        <item x="859"/>
        <item x="364"/>
        <item x="610"/>
        <item x="759"/>
        <item x="195"/>
        <item x="769"/>
        <item x="33"/>
        <item x="633"/>
        <item x="26"/>
        <item x="697"/>
        <item x="617"/>
        <item x="700"/>
        <item x="343"/>
        <item x="642"/>
        <item x="48"/>
        <item x="717"/>
        <item x="272"/>
        <item x="137"/>
        <item x="736"/>
        <item x="844"/>
        <item x="791"/>
        <item x="659"/>
        <item x="27"/>
        <item x="822"/>
        <item x="425"/>
        <item x="573"/>
        <item x="665"/>
        <item x="167"/>
        <item x="86"/>
        <item x="536"/>
        <item x="442"/>
        <item x="311"/>
        <item x="749"/>
        <item x="217"/>
        <item x="492"/>
        <item x="935"/>
        <item x="910"/>
        <item x="504"/>
        <item x="446"/>
        <item x="744"/>
        <item x="66"/>
        <item x="366"/>
        <item x="234"/>
        <item x="250"/>
        <item x="578"/>
        <item x="410"/>
        <item x="344"/>
        <item x="601"/>
        <item x="339"/>
        <item x="556"/>
        <item x="95"/>
        <item x="289"/>
        <item x="839"/>
        <item x="421"/>
        <item x="70"/>
        <item x="593"/>
        <item x="789"/>
        <item x="420"/>
        <item x="303"/>
        <item x="507"/>
        <item x="130"/>
        <item x="52"/>
        <item x="609"/>
        <item x="586"/>
        <item x="836"/>
        <item x="594"/>
        <item x="360"/>
        <item x="102"/>
        <item x="329"/>
        <item x="63"/>
        <item x="413"/>
        <item x="424"/>
        <item x="337"/>
        <item x="261"/>
        <item x="357"/>
        <item x="374"/>
        <item x="748"/>
        <item x="359"/>
        <item x="533"/>
        <item x="929"/>
        <item x="32"/>
        <item x="853"/>
        <item x="240"/>
        <item x="438"/>
        <item x="505"/>
        <item x="647"/>
        <item x="333"/>
        <item x="139"/>
        <item x="47"/>
        <item x="437"/>
        <item x="434"/>
        <item x="670"/>
        <item x="899"/>
        <item x="6"/>
        <item x="113"/>
        <item x="16"/>
        <item x="465"/>
        <item x="863"/>
        <item x="225"/>
        <item x="752"/>
        <item x="657"/>
        <item x="531"/>
        <item x="607"/>
        <item x="911"/>
        <item x="563"/>
        <item x="36"/>
        <item x="59"/>
        <item x="260"/>
        <item x="351"/>
        <item x="663"/>
        <item x="28"/>
        <item x="943"/>
        <item x="79"/>
        <item x="729"/>
        <item x="947"/>
        <item x="696"/>
        <item x="539"/>
        <item x="845"/>
        <item x="106"/>
        <item x="901"/>
        <item x="735"/>
        <item x="624"/>
        <item x="441"/>
        <item x="377"/>
        <item x="799"/>
        <item x="880"/>
        <item x="394"/>
        <item x="25"/>
        <item x="645"/>
        <item x="173"/>
        <item x="88"/>
        <item x="53"/>
        <item x="614"/>
        <item x="210"/>
        <item x="852"/>
        <item x="793"/>
        <item x="461"/>
        <item x="200"/>
        <item x="546"/>
        <item x="372"/>
        <item x="566"/>
        <item x="380"/>
        <item x="388"/>
        <item x="753"/>
        <item x="264"/>
        <item x="672"/>
        <item x="720"/>
        <item x="346"/>
        <item x="821"/>
        <item x="185"/>
        <item x="555"/>
        <item x="582"/>
        <item x="786"/>
        <item x="511"/>
        <item x="924"/>
        <item x="127"/>
        <item x="373"/>
        <item x="332"/>
        <item x="214"/>
        <item x="914"/>
        <item x="267"/>
        <item x="109"/>
        <item x="942"/>
        <item x="213"/>
        <item x="726"/>
        <item x="268"/>
        <item x="232"/>
        <item x="875"/>
        <item x="818"/>
        <item x="560"/>
        <item x="502"/>
        <item x="157"/>
        <item x="535"/>
        <item x="221"/>
        <item x="124"/>
        <item x="247"/>
        <item x="856"/>
        <item x="707"/>
        <item x="819"/>
        <item x="689"/>
        <item x="38"/>
        <item x="831"/>
        <item x="274"/>
        <item x="903"/>
        <item x="17"/>
        <item x="451"/>
        <item x="255"/>
        <item x="474"/>
        <item x="628"/>
        <item x="619"/>
        <item x="580"/>
        <item x="435"/>
        <item x="24"/>
        <item x="936"/>
        <item x="931"/>
        <item x="790"/>
        <item x="209"/>
        <item x="116"/>
        <item x="287"/>
        <item x="487"/>
        <item x="693"/>
        <item x="206"/>
        <item x="335"/>
        <item x="211"/>
        <item x="827"/>
        <item x="407"/>
        <item x="54"/>
        <item x="655"/>
        <item x="35"/>
        <item x="128"/>
        <item x="874"/>
        <item x="654"/>
        <item x="246"/>
        <item x="151"/>
        <item x="765"/>
        <item x="375"/>
        <item x="82"/>
        <item x="243"/>
        <item x="229"/>
        <item x="886"/>
        <item x="125"/>
        <item x="202"/>
        <item x="612"/>
        <item x="97"/>
        <item x="547"/>
        <item x="635"/>
        <item x="543"/>
        <item x="277"/>
        <item x="785"/>
        <item x="145"/>
        <item x="101"/>
        <item x="621"/>
        <item x="873"/>
        <item x="508"/>
        <item x="159"/>
        <item x="518"/>
        <item x="848"/>
        <item x="879"/>
        <item x="175"/>
        <item x="347"/>
        <item x="251"/>
        <item x="471"/>
        <item x="115"/>
        <item x="778"/>
        <item x="771"/>
        <item x="919"/>
        <item x="398"/>
        <item x="773"/>
        <item x="814"/>
        <item x="320"/>
        <item x="235"/>
        <item x="634"/>
        <item x="867"/>
        <item x="817"/>
        <item x="460"/>
        <item x="658"/>
        <item x="236"/>
        <item x="475"/>
        <item x="868"/>
        <item x="760"/>
        <item x="920"/>
        <item x="820"/>
        <item x="606"/>
        <item x="690"/>
        <item x="55"/>
        <item x="797"/>
        <item x="241"/>
        <item x="523"/>
        <item x="577"/>
        <item x="42"/>
        <item x="148"/>
        <item x="925"/>
        <item x="155"/>
        <item x="142"/>
        <item x="29"/>
        <item x="242"/>
        <item x="864"/>
        <item x="165"/>
        <item x="256"/>
        <item x="926"/>
        <item x="30"/>
        <item x="249"/>
        <item x="486"/>
        <item x="218"/>
        <item x="98"/>
        <item x="731"/>
        <item x="893"/>
        <item x="861"/>
        <item x="615"/>
        <item x="231"/>
        <item x="485"/>
        <item x="131"/>
        <item x="4"/>
        <item x="96"/>
        <item x="58"/>
        <item x="449"/>
        <item x="345"/>
        <item x="680"/>
        <item x="877"/>
        <item x="889"/>
        <item x="930"/>
        <item x="648"/>
        <item x="5"/>
        <item x="542"/>
        <item x="834"/>
        <item x="530"/>
        <item x="282"/>
        <item x="777"/>
        <item x="561"/>
        <item x="480"/>
        <item x="358"/>
        <item x="117"/>
        <item x="828"/>
        <item x="190"/>
        <item x="121"/>
        <item x="408"/>
        <item x="457"/>
        <item x="509"/>
        <item x="111"/>
        <item x="656"/>
        <item x="927"/>
        <item x="510"/>
        <item x="216"/>
        <item x="514"/>
        <item x="701"/>
        <item x="123"/>
        <item x="309"/>
        <item x="754"/>
        <item x="422"/>
        <item x="162"/>
        <item x="207"/>
        <item x="367"/>
        <item x="205"/>
        <item x="808"/>
        <item x="108"/>
        <item x="824"/>
        <item x="427"/>
        <item x="105"/>
        <item x="466"/>
        <item x="348"/>
        <item x="161"/>
        <item x="254"/>
        <item x="800"/>
        <item x="890"/>
        <item x="110"/>
        <item x="685"/>
        <item x="199"/>
        <item x="724"/>
        <item x="65"/>
        <item x="866"/>
        <item x="406"/>
        <item x="50"/>
        <item x="784"/>
        <item x="396"/>
        <item x="146"/>
        <item x="391"/>
        <item x="313"/>
        <item x="553"/>
        <item x="455"/>
        <item x="284"/>
        <item x="258"/>
        <item x="112"/>
        <item x="73"/>
        <item x="85"/>
        <item x="230"/>
        <item x="104"/>
        <item x="682"/>
        <item x="738"/>
        <item x="589"/>
        <item x="191"/>
        <item x="598"/>
        <item x="323"/>
        <item x="915"/>
        <item x="627"/>
        <item x="160"/>
        <item x="295"/>
        <item x="741"/>
        <item x="513"/>
        <item x="802"/>
        <item x="569"/>
        <item x="585"/>
        <item x="545"/>
        <item x="61"/>
        <item x="144"/>
        <item x="341"/>
        <item x="798"/>
        <item x="584"/>
        <item x="599"/>
        <item x="774"/>
        <item x="660"/>
        <item x="182"/>
        <item x="384"/>
        <item x="772"/>
        <item x="552"/>
        <item x="464"/>
        <item x="640"/>
        <item x="429"/>
        <item x="528"/>
        <item x="884"/>
        <item x="737"/>
        <item x="662"/>
        <item x="626"/>
        <item x="495"/>
        <item x="711"/>
        <item x="60"/>
        <item x="208"/>
        <item x="252"/>
        <item x="257"/>
        <item x="361"/>
        <item x="443"/>
        <item x="352"/>
        <item x="595"/>
        <item x="62"/>
        <item x="669"/>
        <item x="664"/>
        <item x="183"/>
        <item x="395"/>
        <item x="815"/>
        <item x="290"/>
        <item x="477"/>
        <item x="832"/>
        <item x="937"/>
        <item x="794"/>
        <item x="897"/>
        <item x="296"/>
        <item x="68"/>
        <item x="192"/>
        <item x="363"/>
        <item x="349"/>
        <item x="279"/>
        <item x="212"/>
        <item x="326"/>
        <item x="810"/>
        <item x="787"/>
        <item x="715"/>
        <item x="34"/>
        <item x="405"/>
        <item x="928"/>
        <item x="912"/>
        <item x="401"/>
        <item x="77"/>
        <item x="171"/>
        <item x="644"/>
        <item x="275"/>
        <item x="69"/>
        <item x="276"/>
        <item x="520"/>
        <item x="479"/>
        <item x="280"/>
        <item x="651"/>
        <item x="178"/>
        <item x="126"/>
        <item x="354"/>
        <item x="804"/>
        <item x="851"/>
        <item x="120"/>
        <item x="11"/>
        <item x="521"/>
        <item x="45"/>
        <item x="286"/>
        <item x="177"/>
        <item x="702"/>
        <item x="548"/>
        <item x="865"/>
        <item x="180"/>
        <item x="74"/>
        <item x="540"/>
        <item x="733"/>
        <item x="512"/>
        <item x="138"/>
        <item x="122"/>
        <item x="419"/>
        <item x="522"/>
        <item x="436"/>
        <item x="667"/>
        <item x="653"/>
        <item x="858"/>
        <item x="885"/>
        <item x="414"/>
        <item x="266"/>
        <item x="716"/>
        <item x="386"/>
        <item x="222"/>
        <item x="498"/>
        <item x="837"/>
        <item x="223"/>
        <item x="742"/>
        <item x="544"/>
        <item x="603"/>
        <item x="472"/>
        <item x="605"/>
        <item x="652"/>
        <item x="796"/>
        <item x="496"/>
        <item x="297"/>
        <item x="568"/>
        <item x="620"/>
        <item x="150"/>
        <item x="238"/>
        <item x="869"/>
        <item x="683"/>
        <item x="478"/>
        <item x="370"/>
        <item x="898"/>
        <item x="649"/>
        <item x="23"/>
        <item x="259"/>
        <item x="470"/>
        <item x="483"/>
        <item x="940"/>
        <item x="849"/>
        <item x="678"/>
        <item x="310"/>
        <item x="80"/>
        <item x="572"/>
        <item x="387"/>
        <item x="613"/>
        <item x="308"/>
        <item x="288"/>
        <item x="728"/>
        <item x="712"/>
        <item x="294"/>
        <item x="783"/>
        <item x="677"/>
        <item x="813"/>
        <item x="558"/>
        <item x="228"/>
        <item x="570"/>
        <item x="909"/>
        <item x="782"/>
        <item x="353"/>
        <item x="488"/>
        <item x="687"/>
        <item x="215"/>
        <item x="805"/>
        <item x="781"/>
        <item x="913"/>
        <item x="227"/>
        <item x="181"/>
        <item x="87"/>
        <item x="193"/>
        <item x="188"/>
        <item x="426"/>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s>
  <rowFields count="2">
    <field x="4"/>
    <field x="8"/>
  </rowFields>
  <rowItems count="6">
    <i>
      <x v="3"/>
    </i>
    <i>
      <x v="4"/>
    </i>
    <i>
      <x/>
    </i>
    <i>
      <x v="1"/>
    </i>
    <i>
      <x v="2"/>
    </i>
    <i t="grand">
      <x/>
    </i>
  </rowItems>
  <colItems count="1">
    <i/>
  </colItems>
  <dataFields count="1">
    <dataField name="Sum of Unit_Price" fld="7" baseField="0" baseItem="0"/>
  </dataFields>
  <formats count="6">
    <format dxfId="33">
      <pivotArea type="all" dataOnly="0" outline="0" fieldPosition="0"/>
    </format>
    <format dxfId="32">
      <pivotArea outline="0" collapsedLevelsAreSubtotals="1" fieldPosition="0"/>
    </format>
    <format dxfId="31">
      <pivotArea field="4" type="button" dataOnly="0" labelOnly="1" outline="0" axis="axisRow" fieldPosition="0"/>
    </format>
    <format dxfId="30">
      <pivotArea dataOnly="0" labelOnly="1" fieldPosition="0">
        <references count="1">
          <reference field="4"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8FA03-59E9-4F25-B4DE-B9BA4747146B}"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7:H43" firstHeaderRow="1" firstDataRow="1" firstDataCol="1"/>
  <pivotFields count="18">
    <pivotField showAll="0"/>
    <pivotField numFmtId="14" showAll="0"/>
    <pivotField showAll="0">
      <items count="3">
        <item x="0"/>
        <item x="1"/>
        <item t="default"/>
      </items>
    </pivotField>
    <pivotField showAll="0"/>
    <pivotField axis="axisRow" showAll="0" sortType="a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v="3"/>
    </i>
    <i>
      <x v="4"/>
    </i>
    <i>
      <x v="1"/>
    </i>
    <i>
      <x/>
    </i>
    <i>
      <x v="2"/>
    </i>
    <i t="grand">
      <x/>
    </i>
  </rowItems>
  <colItems count="1">
    <i/>
  </colItems>
  <dataFields count="1">
    <dataField name="total_quantity_sold_by_product" fld="6" baseField="4" baseItem="0"/>
  </dataFields>
  <formats count="8">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grandRow="1" outline="0" fieldPosition="0"/>
    </format>
    <format dxfId="22">
      <pivotArea dataOnly="0" labelOnly="1" outline="0" axis="axisValues" fieldPosition="0"/>
    </format>
    <format dxfId="18">
      <pivotArea outline="0" collapsedLevelsAreSubtotals="1" fieldPosition="0"/>
    </format>
    <format dxfId="1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0905C2-440F-4F32-94B2-5B296F17A4C3}"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4:J30" firstHeaderRow="1" firstDataRow="2" firstDataCol="1" rowPageCount="1" colPageCount="1"/>
  <pivotFields count="18">
    <pivotField showAll="0"/>
    <pivotField numFmtId="14" showAll="0"/>
    <pivotField axis="axisCol" showAll="0">
      <items count="3">
        <item x="0"/>
        <item x="1"/>
        <item t="default"/>
      </items>
    </pivotField>
    <pivotField showAll="0"/>
    <pivotField showAll="0"/>
    <pivotField showAll="0"/>
    <pivotField showAll="0"/>
    <pivotField showAll="0"/>
    <pivotField axis="axisRow" showAll="0">
      <items count="5">
        <item x="3"/>
        <item x="0"/>
        <item x="1"/>
        <item x="2"/>
        <item t="default"/>
      </items>
    </pivotField>
    <pivotField showAll="0"/>
    <pivotField axis="axisPage" showAll="0">
      <items count="4">
        <item x="2"/>
        <item x="0"/>
        <item x="1"/>
        <item t="default"/>
      </items>
    </pivotField>
    <pivotField showAll="0"/>
    <pivotField showAll="0">
      <items count="747">
        <item x="13"/>
        <item x="367"/>
        <item x="3"/>
        <item x="663"/>
        <item x="222"/>
        <item x="129"/>
        <item x="379"/>
        <item x="552"/>
        <item x="706"/>
        <item x="728"/>
        <item x="688"/>
        <item x="39"/>
        <item x="675"/>
        <item x="340"/>
        <item x="9"/>
        <item x="316"/>
        <item x="190"/>
        <item x="266"/>
        <item x="406"/>
        <item x="345"/>
        <item x="440"/>
        <item x="553"/>
        <item x="63"/>
        <item x="311"/>
        <item x="490"/>
        <item x="233"/>
        <item x="391"/>
        <item x="80"/>
        <item x="556"/>
        <item x="294"/>
        <item x="153"/>
        <item x="574"/>
        <item x="541"/>
        <item x="310"/>
        <item x="405"/>
        <item x="741"/>
        <item x="738"/>
        <item x="438"/>
        <item x="77"/>
        <item x="100"/>
        <item x="393"/>
        <item x="476"/>
        <item x="45"/>
        <item x="418"/>
        <item x="246"/>
        <item x="159"/>
        <item x="152"/>
        <item x="547"/>
        <item x="135"/>
        <item x="448"/>
        <item x="226"/>
        <item x="210"/>
        <item x="335"/>
        <item x="204"/>
        <item x="670"/>
        <item x="683"/>
        <item x="545"/>
        <item x="154"/>
        <item x="344"/>
        <item x="585"/>
        <item x="565"/>
        <item x="91"/>
        <item x="232"/>
        <item x="594"/>
        <item x="436"/>
        <item x="479"/>
        <item x="469"/>
        <item x="486"/>
        <item x="593"/>
        <item x="284"/>
        <item x="169"/>
        <item x="631"/>
        <item x="736"/>
        <item x="216"/>
        <item x="103"/>
        <item x="657"/>
        <item x="289"/>
        <item x="158"/>
        <item x="89"/>
        <item x="649"/>
        <item x="714"/>
        <item x="72"/>
        <item x="262"/>
        <item x="666"/>
        <item x="567"/>
        <item x="580"/>
        <item x="678"/>
        <item x="12"/>
        <item x="420"/>
        <item x="237"/>
        <item x="334"/>
        <item x="664"/>
        <item x="491"/>
        <item x="156"/>
        <item x="534"/>
        <item x="121"/>
        <item x="543"/>
        <item x="590"/>
        <item x="341"/>
        <item x="10"/>
        <item x="563"/>
        <item x="412"/>
        <item x="167"/>
        <item x="209"/>
        <item x="437"/>
        <item x="95"/>
        <item x="376"/>
        <item x="362"/>
        <item x="59"/>
        <item x="164"/>
        <item x="314"/>
        <item x="53"/>
        <item x="423"/>
        <item x="733"/>
        <item x="75"/>
        <item x="716"/>
        <item x="488"/>
        <item x="134"/>
        <item x="181"/>
        <item x="487"/>
        <item x="107"/>
        <item x="690"/>
        <item x="625"/>
        <item x="115"/>
        <item x="291"/>
        <item x="133"/>
        <item x="14"/>
        <item x="742"/>
        <item x="517"/>
        <item x="661"/>
        <item x="380"/>
        <item x="35"/>
        <item x="4"/>
        <item x="493"/>
        <item x="589"/>
        <item x="415"/>
        <item x="254"/>
        <item x="21"/>
        <item x="308"/>
        <item x="607"/>
        <item x="1"/>
        <item x="162"/>
        <item x="634"/>
        <item x="647"/>
        <item x="319"/>
        <item x="127"/>
        <item x="163"/>
        <item x="496"/>
        <item x="525"/>
        <item x="351"/>
        <item x="551"/>
        <item x="569"/>
        <item x="630"/>
        <item x="57"/>
        <item x="628"/>
        <item x="480"/>
        <item x="637"/>
        <item x="343"/>
        <item x="50"/>
        <item x="433"/>
        <item x="624"/>
        <item x="674"/>
        <item x="620"/>
        <item x="387"/>
        <item x="524"/>
        <item x="104"/>
        <item x="621"/>
        <item x="644"/>
        <item x="510"/>
        <item x="128"/>
        <item x="239"/>
        <item x="276"/>
        <item x="243"/>
        <item x="84"/>
        <item x="326"/>
        <item x="515"/>
        <item x="463"/>
        <item x="474"/>
        <item x="519"/>
        <item x="633"/>
        <item x="251"/>
        <item x="638"/>
        <item x="234"/>
        <item x="435"/>
        <item x="211"/>
        <item x="273"/>
        <item x="41"/>
        <item x="612"/>
        <item x="455"/>
        <item x="652"/>
        <item x="119"/>
        <item x="461"/>
        <item x="726"/>
        <item x="694"/>
        <item x="570"/>
        <item x="451"/>
        <item x="171"/>
        <item x="396"/>
        <item x="0"/>
        <item x="602"/>
        <item x="513"/>
        <item x="347"/>
        <item x="151"/>
        <item x="253"/>
        <item x="468"/>
        <item x="131"/>
        <item x="521"/>
        <item x="142"/>
        <item x="303"/>
        <item x="532"/>
        <item x="635"/>
        <item x="478"/>
        <item x="613"/>
        <item x="304"/>
        <item x="24"/>
        <item x="495"/>
        <item x="592"/>
        <item x="598"/>
        <item x="18"/>
        <item x="470"/>
        <item x="292"/>
        <item x="73"/>
        <item x="482"/>
        <item x="184"/>
        <item x="34"/>
        <item x="250"/>
        <item x="179"/>
        <item x="561"/>
        <item x="329"/>
        <item x="231"/>
        <item x="535"/>
        <item x="293"/>
        <item x="361"/>
        <item x="703"/>
        <item x="60"/>
        <item x="16"/>
        <item x="665"/>
        <item x="520"/>
        <item x="221"/>
        <item x="699"/>
        <item x="144"/>
        <item x="686"/>
        <item x="295"/>
        <item x="603"/>
        <item x="30"/>
        <item x="414"/>
        <item x="695"/>
        <item x="544"/>
        <item x="427"/>
        <item x="399"/>
        <item x="713"/>
        <item x="416"/>
        <item x="643"/>
        <item x="372"/>
        <item x="717"/>
        <item x="679"/>
        <item x="484"/>
        <item x="611"/>
        <item x="268"/>
        <item x="178"/>
        <item x="578"/>
        <item x="539"/>
        <item x="74"/>
        <item x="323"/>
        <item x="693"/>
        <item x="701"/>
        <item x="732"/>
        <item x="505"/>
        <item x="419"/>
        <item x="739"/>
        <item x="78"/>
        <item x="684"/>
        <item x="610"/>
        <item x="459"/>
        <item x="456"/>
        <item x="651"/>
        <item x="256"/>
        <item x="503"/>
        <item x="327"/>
        <item x="730"/>
        <item x="704"/>
        <item x="587"/>
        <item x="282"/>
        <item x="571"/>
        <item x="356"/>
        <item x="155"/>
        <item x="554"/>
        <item x="617"/>
        <item x="615"/>
        <item x="357"/>
        <item x="346"/>
        <item x="40"/>
        <item x="355"/>
        <item x="352"/>
        <item x="88"/>
        <item x="522"/>
        <item x="149"/>
        <item x="196"/>
        <item x="506"/>
        <item x="102"/>
        <item x="712"/>
        <item x="605"/>
        <item x="432"/>
        <item x="61"/>
        <item x="48"/>
        <item x="200"/>
        <item x="65"/>
        <item x="83"/>
        <item x="141"/>
        <item x="566"/>
        <item x="700"/>
        <item x="483"/>
        <item x="725"/>
        <item x="548"/>
        <item x="709"/>
        <item x="441"/>
        <item x="475"/>
        <item x="205"/>
        <item x="38"/>
        <item x="214"/>
        <item x="375"/>
        <item x="92"/>
        <item x="117"/>
        <item x="116"/>
        <item x="516"/>
        <item x="328"/>
        <item x="596"/>
        <item x="8"/>
        <item x="687"/>
        <item x="333"/>
        <item x="711"/>
        <item x="192"/>
        <item x="321"/>
        <item x="207"/>
        <item x="242"/>
        <item x="28"/>
        <item x="658"/>
        <item x="386"/>
        <item x="349"/>
        <item x="377"/>
        <item x="477"/>
        <item x="125"/>
        <item x="682"/>
        <item x="734"/>
        <item x="421"/>
        <item x="281"/>
        <item x="62"/>
        <item x="32"/>
        <item x="283"/>
        <item x="546"/>
        <item x="114"/>
        <item x="407"/>
        <item x="7"/>
        <item x="444"/>
        <item x="398"/>
        <item x="614"/>
        <item x="64"/>
        <item x="145"/>
        <item x="720"/>
        <item x="2"/>
        <item x="413"/>
        <item x="215"/>
        <item x="238"/>
        <item x="109"/>
        <item x="194"/>
        <item x="307"/>
        <item x="249"/>
        <item x="350"/>
        <item x="29"/>
        <item x="339"/>
        <item x="497"/>
        <item x="449"/>
        <item x="245"/>
        <item x="6"/>
        <item x="76"/>
        <item x="582"/>
        <item x="473"/>
        <item x="99"/>
        <item x="576"/>
        <item x="584"/>
        <item x="718"/>
        <item x="533"/>
        <item x="672"/>
        <item x="202"/>
        <item x="426"/>
        <item x="508"/>
        <item x="608"/>
        <item x="90"/>
        <item x="588"/>
        <item x="148"/>
        <item x="354"/>
        <item x="579"/>
        <item x="15"/>
        <item x="248"/>
        <item x="692"/>
        <item x="342"/>
        <item x="69"/>
        <item x="160"/>
        <item x="591"/>
        <item x="279"/>
        <item x="623"/>
        <item x="330"/>
        <item x="302"/>
        <item x="514"/>
        <item x="575"/>
        <item x="143"/>
        <item x="286"/>
        <item x="290"/>
        <item x="183"/>
        <item x="208"/>
        <item x="244"/>
        <item x="201"/>
        <item x="457"/>
        <item x="324"/>
        <item x="172"/>
        <item x="170"/>
        <item x="454"/>
        <item x="212"/>
        <item x="296"/>
        <item x="397"/>
        <item x="370"/>
        <item x="306"/>
        <item x="583"/>
        <item x="606"/>
        <item x="511"/>
        <item x="264"/>
        <item x="223"/>
        <item x="641"/>
        <item x="166"/>
        <item x="502"/>
        <item x="229"/>
        <item x="529"/>
        <item x="260"/>
        <item x="185"/>
        <item x="288"/>
        <item x="112"/>
        <item x="698"/>
        <item x="213"/>
        <item x="710"/>
        <item x="97"/>
        <item x="555"/>
        <item x="439"/>
        <item x="136"/>
        <item x="58"/>
        <item x="175"/>
        <item x="604"/>
        <item x="645"/>
        <item x="47"/>
        <item x="744"/>
        <item x="395"/>
        <item x="101"/>
        <item x="108"/>
        <item x="722"/>
        <item x="52"/>
        <item x="193"/>
        <item x="98"/>
        <item x="247"/>
        <item x="708"/>
        <item x="317"/>
        <item x="51"/>
        <item x="662"/>
        <item x="130"/>
        <item x="677"/>
        <item x="394"/>
        <item x="559"/>
        <item x="660"/>
        <item x="46"/>
        <item x="689"/>
        <item x="369"/>
        <item x="168"/>
        <item x="729"/>
        <item x="176"/>
        <item x="236"/>
        <item x="68"/>
        <item x="723"/>
        <item x="531"/>
        <item x="557"/>
        <item x="400"/>
        <item x="189"/>
        <item x="424"/>
        <item x="287"/>
        <item x="94"/>
        <item x="715"/>
        <item x="85"/>
        <item x="731"/>
        <item x="365"/>
        <item x="285"/>
        <item x="629"/>
        <item x="297"/>
        <item x="261"/>
        <item x="338"/>
        <item x="745"/>
        <item x="71"/>
        <item x="20"/>
        <item x="300"/>
        <item x="66"/>
        <item x="252"/>
        <item x="122"/>
        <item x="443"/>
        <item x="33"/>
        <item x="464"/>
        <item x="140"/>
        <item x="388"/>
        <item x="332"/>
        <item x="157"/>
        <item x="696"/>
        <item x="568"/>
        <item x="507"/>
        <item x="740"/>
        <item x="389"/>
        <item x="558"/>
        <item x="512"/>
        <item x="318"/>
        <item x="270"/>
        <item x="384"/>
        <item x="705"/>
        <item x="219"/>
        <item x="724"/>
        <item x="467"/>
        <item x="359"/>
        <item x="186"/>
        <item x="25"/>
        <item x="642"/>
        <item x="267"/>
        <item x="408"/>
        <item x="137"/>
        <item x="616"/>
        <item x="275"/>
        <item x="622"/>
        <item x="37"/>
        <item x="409"/>
        <item x="538"/>
        <item x="564"/>
        <item x="447"/>
        <item x="105"/>
        <item x="425"/>
        <item x="120"/>
        <item x="269"/>
        <item x="206"/>
        <item x="5"/>
        <item x="549"/>
        <item x="174"/>
        <item x="573"/>
        <item x="368"/>
        <item x="353"/>
        <item x="528"/>
        <item x="113"/>
        <item x="485"/>
        <item x="161"/>
        <item x="203"/>
        <item x="650"/>
        <item x="446"/>
        <item x="56"/>
        <item x="82"/>
        <item x="235"/>
        <item x="702"/>
        <item x="86"/>
        <item x="536"/>
        <item x="139"/>
        <item x="150"/>
        <item x="366"/>
        <item x="146"/>
        <item x="257"/>
        <item x="17"/>
        <item x="19"/>
        <item x="527"/>
        <item x="331"/>
        <item x="430"/>
        <item x="336"/>
        <item x="187"/>
        <item x="280"/>
        <item x="445"/>
        <item x="31"/>
        <item x="719"/>
        <item x="618"/>
        <item x="656"/>
        <item x="26"/>
        <item x="111"/>
        <item x="403"/>
        <item x="263"/>
        <item x="277"/>
        <item x="537"/>
        <item x="609"/>
        <item x="392"/>
        <item x="646"/>
        <item x="499"/>
        <item x="669"/>
        <item x="123"/>
        <item x="197"/>
        <item x="106"/>
        <item x="180"/>
        <item x="450"/>
        <item x="737"/>
        <item x="632"/>
        <item x="471"/>
        <item x="259"/>
        <item x="81"/>
        <item x="586"/>
        <item x="601"/>
        <item x="653"/>
        <item x="363"/>
        <item x="492"/>
        <item x="272"/>
        <item x="540"/>
        <item x="707"/>
        <item x="489"/>
        <item x="320"/>
        <item x="619"/>
        <item x="460"/>
        <item x="54"/>
        <item x="727"/>
        <item x="42"/>
        <item x="636"/>
        <item x="70"/>
        <item x="577"/>
        <item x="309"/>
        <item x="147"/>
        <item x="431"/>
        <item x="659"/>
        <item x="600"/>
        <item x="542"/>
        <item x="691"/>
        <item x="67"/>
        <item x="385"/>
        <item x="673"/>
        <item x="697"/>
        <item x="371"/>
        <item x="671"/>
        <item x="526"/>
        <item x="581"/>
        <item x="627"/>
        <item x="466"/>
        <item x="390"/>
        <item x="560"/>
        <item x="230"/>
        <item x="118"/>
        <item x="23"/>
        <item x="382"/>
        <item x="132"/>
        <item x="165"/>
        <item x="668"/>
        <item x="299"/>
        <item x="240"/>
        <item x="458"/>
        <item x="518"/>
        <item x="597"/>
        <item x="743"/>
        <item x="87"/>
        <item x="325"/>
        <item x="348"/>
        <item x="313"/>
        <item x="43"/>
        <item x="364"/>
        <item x="721"/>
        <item x="228"/>
        <item x="188"/>
        <item x="265"/>
        <item x="550"/>
        <item x="498"/>
        <item x="96"/>
        <item x="685"/>
        <item x="509"/>
        <item x="93"/>
        <item x="315"/>
        <item x="358"/>
        <item x="681"/>
        <item x="124"/>
        <item x="258"/>
        <item x="55"/>
        <item x="126"/>
        <item x="199"/>
        <item x="402"/>
        <item x="667"/>
        <item x="562"/>
        <item x="676"/>
        <item x="434"/>
        <item x="337"/>
        <item x="173"/>
        <item x="655"/>
        <item x="429"/>
        <item x="220"/>
        <item x="198"/>
        <item x="79"/>
        <item x="401"/>
        <item x="530"/>
        <item x="404"/>
        <item x="373"/>
        <item x="22"/>
        <item x="422"/>
        <item x="241"/>
        <item x="191"/>
        <item x="177"/>
        <item x="599"/>
        <item x="110"/>
        <item x="11"/>
        <item x="640"/>
        <item x="572"/>
        <item x="504"/>
        <item x="182"/>
        <item x="298"/>
        <item x="417"/>
        <item x="428"/>
        <item x="44"/>
        <item x="195"/>
        <item x="411"/>
        <item x="648"/>
        <item x="595"/>
        <item x="225"/>
        <item x="654"/>
        <item x="735"/>
        <item x="472"/>
        <item x="639"/>
        <item x="494"/>
        <item x="453"/>
        <item x="274"/>
        <item x="410"/>
        <item x="465"/>
        <item x="626"/>
        <item x="442"/>
        <item x="271"/>
        <item x="452"/>
        <item x="523"/>
        <item x="305"/>
        <item x="301"/>
        <item x="501"/>
        <item x="462"/>
        <item x="481"/>
        <item x="49"/>
        <item x="217"/>
        <item x="255"/>
        <item x="312"/>
        <item x="36"/>
        <item x="27"/>
        <item x="381"/>
        <item x="680"/>
        <item x="138"/>
        <item x="500"/>
        <item x="360"/>
        <item x="278"/>
        <item x="224"/>
        <item x="383"/>
        <item x="218"/>
        <item x="322"/>
        <item x="374"/>
        <item x="378"/>
        <item x="227"/>
        <item t="default"/>
      </items>
    </pivotField>
    <pivotField showAll="0"/>
    <pivotField showAll="0"/>
    <pivotField showAll="0"/>
    <pivotField dataField="1" showAll="0"/>
    <pivotField showAll="0"/>
  </pivotFields>
  <rowFields count="1">
    <field x="8"/>
  </rowFields>
  <rowItems count="5">
    <i>
      <x/>
    </i>
    <i>
      <x v="1"/>
    </i>
    <i>
      <x v="2"/>
    </i>
    <i>
      <x v="3"/>
    </i>
    <i t="grand">
      <x/>
    </i>
  </rowItems>
  <colFields count="1">
    <field x="2"/>
  </colFields>
  <colItems count="3">
    <i>
      <x/>
    </i>
    <i>
      <x v="1"/>
    </i>
    <i t="grand">
      <x/>
    </i>
  </colItems>
  <pageFields count="1">
    <pageField fld="10" item="2" hier="-1"/>
  </pageFields>
  <dataFields count="1">
    <dataField name="Sum of Final_sales" fld="16" baseField="0" baseItem="0"/>
  </dataFields>
  <formats count="10">
    <format dxfId="59">
      <pivotArea type="all" dataOnly="0" outline="0" fieldPosition="0"/>
    </format>
    <format dxfId="58">
      <pivotArea outline="0" collapsedLevelsAreSubtotals="1" fieldPosition="0"/>
    </format>
    <format dxfId="57">
      <pivotArea type="origin" dataOnly="0" labelOnly="1" outline="0" fieldPosition="0"/>
    </format>
    <format dxfId="56">
      <pivotArea field="2" type="button" dataOnly="0" labelOnly="1" outline="0" axis="axisCol" fieldPosition="0"/>
    </format>
    <format dxfId="55">
      <pivotArea type="topRight" dataOnly="0" labelOnly="1" outline="0" fieldPosition="0"/>
    </format>
    <format dxfId="54">
      <pivotArea field="8" type="button" dataOnly="0" labelOnly="1" outline="0" axis="axisRow" fieldPosition="0"/>
    </format>
    <format dxfId="53">
      <pivotArea dataOnly="0" labelOnly="1" fieldPosition="0">
        <references count="1">
          <reference field="8" count="0"/>
        </references>
      </pivotArea>
    </format>
    <format dxfId="52">
      <pivotArea dataOnly="0" labelOnly="1" grandRow="1" outline="0" fieldPosition="0"/>
    </format>
    <format dxfId="51">
      <pivotArea dataOnly="0" labelOnly="1" fieldPosition="0">
        <references count="1">
          <reference field="2" count="0"/>
        </references>
      </pivotArea>
    </format>
    <format dxfId="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869362-732B-4213-88C6-349A0C56721A}"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3:J19" firstHeaderRow="1" firstDataRow="2" firstDataCol="1" rowPageCount="1" colPageCount="1"/>
  <pivotFields count="18">
    <pivotField showAll="0"/>
    <pivotField numFmtId="14" showAll="0"/>
    <pivotField axis="axisCol" dataField="1" showAll="0">
      <items count="3">
        <item x="0"/>
        <item x="1"/>
        <item t="default"/>
      </items>
    </pivotField>
    <pivotField showAll="0"/>
    <pivotField showAll="0"/>
    <pivotField showAll="0"/>
    <pivotField showAll="0"/>
    <pivotField showAll="0"/>
    <pivotField axis="axisRow" showAll="0">
      <items count="5">
        <item x="3"/>
        <item x="0"/>
        <item x="1"/>
        <item x="2"/>
        <item t="default"/>
      </items>
    </pivotField>
    <pivotField showAll="0"/>
    <pivotField axis="axisPage" showAll="0">
      <items count="4">
        <item x="2"/>
        <item x="0"/>
        <item x="1"/>
        <item t="default"/>
      </items>
    </pivotField>
    <pivotField showAll="0"/>
    <pivotField showAll="0">
      <items count="747">
        <item x="13"/>
        <item x="367"/>
        <item x="3"/>
        <item x="663"/>
        <item x="222"/>
        <item x="129"/>
        <item x="379"/>
        <item x="552"/>
        <item x="706"/>
        <item x="728"/>
        <item x="688"/>
        <item x="39"/>
        <item x="675"/>
        <item x="340"/>
        <item x="9"/>
        <item x="316"/>
        <item x="190"/>
        <item x="266"/>
        <item x="406"/>
        <item x="345"/>
        <item x="440"/>
        <item x="553"/>
        <item x="63"/>
        <item x="311"/>
        <item x="490"/>
        <item x="233"/>
        <item x="391"/>
        <item x="80"/>
        <item x="556"/>
        <item x="294"/>
        <item x="153"/>
        <item x="574"/>
        <item x="541"/>
        <item x="310"/>
        <item x="405"/>
        <item x="741"/>
        <item x="738"/>
        <item x="438"/>
        <item x="77"/>
        <item x="100"/>
        <item x="393"/>
        <item x="476"/>
        <item x="45"/>
        <item x="418"/>
        <item x="246"/>
        <item x="159"/>
        <item x="152"/>
        <item x="547"/>
        <item x="135"/>
        <item x="448"/>
        <item x="226"/>
        <item x="210"/>
        <item x="335"/>
        <item x="204"/>
        <item x="670"/>
        <item x="683"/>
        <item x="545"/>
        <item x="154"/>
        <item x="344"/>
        <item x="585"/>
        <item x="565"/>
        <item x="91"/>
        <item x="232"/>
        <item x="594"/>
        <item x="436"/>
        <item x="479"/>
        <item x="469"/>
        <item x="486"/>
        <item x="593"/>
        <item x="284"/>
        <item x="169"/>
        <item x="631"/>
        <item x="736"/>
        <item x="216"/>
        <item x="103"/>
        <item x="657"/>
        <item x="289"/>
        <item x="158"/>
        <item x="89"/>
        <item x="649"/>
        <item x="714"/>
        <item x="72"/>
        <item x="262"/>
        <item x="666"/>
        <item x="567"/>
        <item x="580"/>
        <item x="678"/>
        <item x="12"/>
        <item x="420"/>
        <item x="237"/>
        <item x="334"/>
        <item x="664"/>
        <item x="491"/>
        <item x="156"/>
        <item x="534"/>
        <item x="121"/>
        <item x="543"/>
        <item x="590"/>
        <item x="341"/>
        <item x="10"/>
        <item x="563"/>
        <item x="412"/>
        <item x="167"/>
        <item x="209"/>
        <item x="437"/>
        <item x="95"/>
        <item x="376"/>
        <item x="362"/>
        <item x="59"/>
        <item x="164"/>
        <item x="314"/>
        <item x="53"/>
        <item x="423"/>
        <item x="733"/>
        <item x="75"/>
        <item x="716"/>
        <item x="488"/>
        <item x="134"/>
        <item x="181"/>
        <item x="487"/>
        <item x="107"/>
        <item x="690"/>
        <item x="625"/>
        <item x="115"/>
        <item x="291"/>
        <item x="133"/>
        <item x="14"/>
        <item x="742"/>
        <item x="517"/>
        <item x="661"/>
        <item x="380"/>
        <item x="35"/>
        <item x="4"/>
        <item x="493"/>
        <item x="589"/>
        <item x="415"/>
        <item x="254"/>
        <item x="21"/>
        <item x="308"/>
        <item x="607"/>
        <item x="1"/>
        <item x="162"/>
        <item x="634"/>
        <item x="647"/>
        <item x="319"/>
        <item x="127"/>
        <item x="163"/>
        <item x="496"/>
        <item x="525"/>
        <item x="351"/>
        <item x="551"/>
        <item x="569"/>
        <item x="630"/>
        <item x="57"/>
        <item x="628"/>
        <item x="480"/>
        <item x="637"/>
        <item x="343"/>
        <item x="50"/>
        <item x="433"/>
        <item x="624"/>
        <item x="674"/>
        <item x="620"/>
        <item x="387"/>
        <item x="524"/>
        <item x="104"/>
        <item x="621"/>
        <item x="644"/>
        <item x="510"/>
        <item x="128"/>
        <item x="239"/>
        <item x="276"/>
        <item x="243"/>
        <item x="84"/>
        <item x="326"/>
        <item x="515"/>
        <item x="463"/>
        <item x="474"/>
        <item x="519"/>
        <item x="633"/>
        <item x="251"/>
        <item x="638"/>
        <item x="234"/>
        <item x="435"/>
        <item x="211"/>
        <item x="273"/>
        <item x="41"/>
        <item x="612"/>
        <item x="455"/>
        <item x="652"/>
        <item x="119"/>
        <item x="461"/>
        <item x="726"/>
        <item x="694"/>
        <item x="570"/>
        <item x="451"/>
        <item x="171"/>
        <item x="396"/>
        <item x="0"/>
        <item x="602"/>
        <item x="513"/>
        <item x="347"/>
        <item x="151"/>
        <item x="253"/>
        <item x="468"/>
        <item x="131"/>
        <item x="521"/>
        <item x="142"/>
        <item x="303"/>
        <item x="532"/>
        <item x="635"/>
        <item x="478"/>
        <item x="613"/>
        <item x="304"/>
        <item x="24"/>
        <item x="495"/>
        <item x="592"/>
        <item x="598"/>
        <item x="18"/>
        <item x="470"/>
        <item x="292"/>
        <item x="73"/>
        <item x="482"/>
        <item x="184"/>
        <item x="34"/>
        <item x="250"/>
        <item x="179"/>
        <item x="561"/>
        <item x="329"/>
        <item x="231"/>
        <item x="535"/>
        <item x="293"/>
        <item x="361"/>
        <item x="703"/>
        <item x="60"/>
        <item x="16"/>
        <item x="665"/>
        <item x="520"/>
        <item x="221"/>
        <item x="699"/>
        <item x="144"/>
        <item x="686"/>
        <item x="295"/>
        <item x="603"/>
        <item x="30"/>
        <item x="414"/>
        <item x="695"/>
        <item x="544"/>
        <item x="427"/>
        <item x="399"/>
        <item x="713"/>
        <item x="416"/>
        <item x="643"/>
        <item x="372"/>
        <item x="717"/>
        <item x="679"/>
        <item x="484"/>
        <item x="611"/>
        <item x="268"/>
        <item x="178"/>
        <item x="578"/>
        <item x="539"/>
        <item x="74"/>
        <item x="323"/>
        <item x="693"/>
        <item x="701"/>
        <item x="732"/>
        <item x="505"/>
        <item x="419"/>
        <item x="739"/>
        <item x="78"/>
        <item x="684"/>
        <item x="610"/>
        <item x="459"/>
        <item x="456"/>
        <item x="651"/>
        <item x="256"/>
        <item x="503"/>
        <item x="327"/>
        <item x="730"/>
        <item x="704"/>
        <item x="587"/>
        <item x="282"/>
        <item x="571"/>
        <item x="356"/>
        <item x="155"/>
        <item x="554"/>
        <item x="617"/>
        <item x="615"/>
        <item x="357"/>
        <item x="346"/>
        <item x="40"/>
        <item x="355"/>
        <item x="352"/>
        <item x="88"/>
        <item x="522"/>
        <item x="149"/>
        <item x="196"/>
        <item x="506"/>
        <item x="102"/>
        <item x="712"/>
        <item x="605"/>
        <item x="432"/>
        <item x="61"/>
        <item x="48"/>
        <item x="200"/>
        <item x="65"/>
        <item x="83"/>
        <item x="141"/>
        <item x="566"/>
        <item x="700"/>
        <item x="483"/>
        <item x="725"/>
        <item x="548"/>
        <item x="709"/>
        <item x="441"/>
        <item x="475"/>
        <item x="205"/>
        <item x="38"/>
        <item x="214"/>
        <item x="375"/>
        <item x="92"/>
        <item x="117"/>
        <item x="116"/>
        <item x="516"/>
        <item x="328"/>
        <item x="596"/>
        <item x="8"/>
        <item x="687"/>
        <item x="333"/>
        <item x="711"/>
        <item x="192"/>
        <item x="321"/>
        <item x="207"/>
        <item x="242"/>
        <item x="28"/>
        <item x="658"/>
        <item x="386"/>
        <item x="349"/>
        <item x="377"/>
        <item x="477"/>
        <item x="125"/>
        <item x="682"/>
        <item x="734"/>
        <item x="421"/>
        <item x="281"/>
        <item x="62"/>
        <item x="32"/>
        <item x="283"/>
        <item x="546"/>
        <item x="114"/>
        <item x="407"/>
        <item x="7"/>
        <item x="444"/>
        <item x="398"/>
        <item x="614"/>
        <item x="64"/>
        <item x="145"/>
        <item x="720"/>
        <item x="2"/>
        <item x="413"/>
        <item x="215"/>
        <item x="238"/>
        <item x="109"/>
        <item x="194"/>
        <item x="307"/>
        <item x="249"/>
        <item x="350"/>
        <item x="29"/>
        <item x="339"/>
        <item x="497"/>
        <item x="449"/>
        <item x="245"/>
        <item x="6"/>
        <item x="76"/>
        <item x="582"/>
        <item x="473"/>
        <item x="99"/>
        <item x="576"/>
        <item x="584"/>
        <item x="718"/>
        <item x="533"/>
        <item x="672"/>
        <item x="202"/>
        <item x="426"/>
        <item x="508"/>
        <item x="608"/>
        <item x="90"/>
        <item x="588"/>
        <item x="148"/>
        <item x="354"/>
        <item x="579"/>
        <item x="15"/>
        <item x="248"/>
        <item x="692"/>
        <item x="342"/>
        <item x="69"/>
        <item x="160"/>
        <item x="591"/>
        <item x="279"/>
        <item x="623"/>
        <item x="330"/>
        <item x="302"/>
        <item x="514"/>
        <item x="575"/>
        <item x="143"/>
        <item x="286"/>
        <item x="290"/>
        <item x="183"/>
        <item x="208"/>
        <item x="244"/>
        <item x="201"/>
        <item x="457"/>
        <item x="324"/>
        <item x="172"/>
        <item x="170"/>
        <item x="454"/>
        <item x="212"/>
        <item x="296"/>
        <item x="397"/>
        <item x="370"/>
        <item x="306"/>
        <item x="583"/>
        <item x="606"/>
        <item x="511"/>
        <item x="264"/>
        <item x="223"/>
        <item x="641"/>
        <item x="166"/>
        <item x="502"/>
        <item x="229"/>
        <item x="529"/>
        <item x="260"/>
        <item x="185"/>
        <item x="288"/>
        <item x="112"/>
        <item x="698"/>
        <item x="213"/>
        <item x="710"/>
        <item x="97"/>
        <item x="555"/>
        <item x="439"/>
        <item x="136"/>
        <item x="58"/>
        <item x="175"/>
        <item x="604"/>
        <item x="645"/>
        <item x="47"/>
        <item x="744"/>
        <item x="395"/>
        <item x="101"/>
        <item x="108"/>
        <item x="722"/>
        <item x="52"/>
        <item x="193"/>
        <item x="98"/>
        <item x="247"/>
        <item x="708"/>
        <item x="317"/>
        <item x="51"/>
        <item x="662"/>
        <item x="130"/>
        <item x="677"/>
        <item x="394"/>
        <item x="559"/>
        <item x="660"/>
        <item x="46"/>
        <item x="689"/>
        <item x="369"/>
        <item x="168"/>
        <item x="729"/>
        <item x="176"/>
        <item x="236"/>
        <item x="68"/>
        <item x="723"/>
        <item x="531"/>
        <item x="557"/>
        <item x="400"/>
        <item x="189"/>
        <item x="424"/>
        <item x="287"/>
        <item x="94"/>
        <item x="715"/>
        <item x="85"/>
        <item x="731"/>
        <item x="365"/>
        <item x="285"/>
        <item x="629"/>
        <item x="297"/>
        <item x="261"/>
        <item x="338"/>
        <item x="745"/>
        <item x="71"/>
        <item x="20"/>
        <item x="300"/>
        <item x="66"/>
        <item x="252"/>
        <item x="122"/>
        <item x="443"/>
        <item x="33"/>
        <item x="464"/>
        <item x="140"/>
        <item x="388"/>
        <item x="332"/>
        <item x="157"/>
        <item x="696"/>
        <item x="568"/>
        <item x="507"/>
        <item x="740"/>
        <item x="389"/>
        <item x="558"/>
        <item x="512"/>
        <item x="318"/>
        <item x="270"/>
        <item x="384"/>
        <item x="705"/>
        <item x="219"/>
        <item x="724"/>
        <item x="467"/>
        <item x="359"/>
        <item x="186"/>
        <item x="25"/>
        <item x="642"/>
        <item x="267"/>
        <item x="408"/>
        <item x="137"/>
        <item x="616"/>
        <item x="275"/>
        <item x="622"/>
        <item x="37"/>
        <item x="409"/>
        <item x="538"/>
        <item x="564"/>
        <item x="447"/>
        <item x="105"/>
        <item x="425"/>
        <item x="120"/>
        <item x="269"/>
        <item x="206"/>
        <item x="5"/>
        <item x="549"/>
        <item x="174"/>
        <item x="573"/>
        <item x="368"/>
        <item x="353"/>
        <item x="528"/>
        <item x="113"/>
        <item x="485"/>
        <item x="161"/>
        <item x="203"/>
        <item x="650"/>
        <item x="446"/>
        <item x="56"/>
        <item x="82"/>
        <item x="235"/>
        <item x="702"/>
        <item x="86"/>
        <item x="536"/>
        <item x="139"/>
        <item x="150"/>
        <item x="366"/>
        <item x="146"/>
        <item x="257"/>
        <item x="17"/>
        <item x="19"/>
        <item x="527"/>
        <item x="331"/>
        <item x="430"/>
        <item x="336"/>
        <item x="187"/>
        <item x="280"/>
        <item x="445"/>
        <item x="31"/>
        <item x="719"/>
        <item x="618"/>
        <item x="656"/>
        <item x="26"/>
        <item x="111"/>
        <item x="403"/>
        <item x="263"/>
        <item x="277"/>
        <item x="537"/>
        <item x="609"/>
        <item x="392"/>
        <item x="646"/>
        <item x="499"/>
        <item x="669"/>
        <item x="123"/>
        <item x="197"/>
        <item x="106"/>
        <item x="180"/>
        <item x="450"/>
        <item x="737"/>
        <item x="632"/>
        <item x="471"/>
        <item x="259"/>
        <item x="81"/>
        <item x="586"/>
        <item x="601"/>
        <item x="653"/>
        <item x="363"/>
        <item x="492"/>
        <item x="272"/>
        <item x="540"/>
        <item x="707"/>
        <item x="489"/>
        <item x="320"/>
        <item x="619"/>
        <item x="460"/>
        <item x="54"/>
        <item x="727"/>
        <item x="42"/>
        <item x="636"/>
        <item x="70"/>
        <item x="577"/>
        <item x="309"/>
        <item x="147"/>
        <item x="431"/>
        <item x="659"/>
        <item x="600"/>
        <item x="542"/>
        <item x="691"/>
        <item x="67"/>
        <item x="385"/>
        <item x="673"/>
        <item x="697"/>
        <item x="371"/>
        <item x="671"/>
        <item x="526"/>
        <item x="581"/>
        <item x="627"/>
        <item x="466"/>
        <item x="390"/>
        <item x="560"/>
        <item x="230"/>
        <item x="118"/>
        <item x="23"/>
        <item x="382"/>
        <item x="132"/>
        <item x="165"/>
        <item x="668"/>
        <item x="299"/>
        <item x="240"/>
        <item x="458"/>
        <item x="518"/>
        <item x="597"/>
        <item x="743"/>
        <item x="87"/>
        <item x="325"/>
        <item x="348"/>
        <item x="313"/>
        <item x="43"/>
        <item x="364"/>
        <item x="721"/>
        <item x="228"/>
        <item x="188"/>
        <item x="265"/>
        <item x="550"/>
        <item x="498"/>
        <item x="96"/>
        <item x="685"/>
        <item x="509"/>
        <item x="93"/>
        <item x="315"/>
        <item x="358"/>
        <item x="681"/>
        <item x="124"/>
        <item x="258"/>
        <item x="55"/>
        <item x="126"/>
        <item x="199"/>
        <item x="402"/>
        <item x="667"/>
        <item x="562"/>
        <item x="676"/>
        <item x="434"/>
        <item x="337"/>
        <item x="173"/>
        <item x="655"/>
        <item x="429"/>
        <item x="220"/>
        <item x="198"/>
        <item x="79"/>
        <item x="401"/>
        <item x="530"/>
        <item x="404"/>
        <item x="373"/>
        <item x="22"/>
        <item x="422"/>
        <item x="241"/>
        <item x="191"/>
        <item x="177"/>
        <item x="599"/>
        <item x="110"/>
        <item x="11"/>
        <item x="640"/>
        <item x="572"/>
        <item x="504"/>
        <item x="182"/>
        <item x="298"/>
        <item x="417"/>
        <item x="428"/>
        <item x="44"/>
        <item x="195"/>
        <item x="411"/>
        <item x="648"/>
        <item x="595"/>
        <item x="225"/>
        <item x="654"/>
        <item x="735"/>
        <item x="472"/>
        <item x="639"/>
        <item x="494"/>
        <item x="453"/>
        <item x="274"/>
        <item x="410"/>
        <item x="465"/>
        <item x="626"/>
        <item x="442"/>
        <item x="271"/>
        <item x="452"/>
        <item x="523"/>
        <item x="305"/>
        <item x="301"/>
        <item x="501"/>
        <item x="462"/>
        <item x="481"/>
        <item x="49"/>
        <item x="217"/>
        <item x="255"/>
        <item x="312"/>
        <item x="36"/>
        <item x="27"/>
        <item x="381"/>
        <item x="680"/>
        <item x="138"/>
        <item x="500"/>
        <item x="360"/>
        <item x="278"/>
        <item x="224"/>
        <item x="383"/>
        <item x="218"/>
        <item x="322"/>
        <item x="374"/>
        <item x="378"/>
        <item x="227"/>
        <item t="default"/>
      </items>
    </pivotField>
    <pivotField showAll="0"/>
    <pivotField showAll="0"/>
    <pivotField showAll="0"/>
    <pivotField showAll="0"/>
    <pivotField showAll="0"/>
  </pivotFields>
  <rowFields count="1">
    <field x="8"/>
  </rowFields>
  <rowItems count="5">
    <i>
      <x/>
    </i>
    <i>
      <x v="1"/>
    </i>
    <i>
      <x v="2"/>
    </i>
    <i>
      <x v="3"/>
    </i>
    <i t="grand">
      <x/>
    </i>
  </rowItems>
  <colFields count="1">
    <field x="2"/>
  </colFields>
  <colItems count="3">
    <i>
      <x/>
    </i>
    <i>
      <x v="1"/>
    </i>
    <i t="grand">
      <x/>
    </i>
  </colItems>
  <pageFields count="1">
    <pageField fld="10" item="2" hier="-1"/>
  </pageFields>
  <dataFields count="1">
    <dataField name="Count of Platform" fld="2" subtotal="count" baseField="0" baseItem="0"/>
  </dataFields>
  <formats count="10">
    <format dxfId="49">
      <pivotArea type="all" dataOnly="0" outline="0" fieldPosition="0"/>
    </format>
    <format dxfId="48">
      <pivotArea outline="0" collapsedLevelsAreSubtotals="1" fieldPosition="0"/>
    </format>
    <format dxfId="47">
      <pivotArea type="origin" dataOnly="0" labelOnly="1" outline="0" fieldPosition="0"/>
    </format>
    <format dxfId="46">
      <pivotArea field="2" type="button" dataOnly="0" labelOnly="1" outline="0" axis="axisCol" fieldPosition="0"/>
    </format>
    <format dxfId="45">
      <pivotArea type="topRight" dataOnly="0" labelOnly="1" outline="0" fieldPosition="0"/>
    </format>
    <format dxfId="44">
      <pivotArea field="8" type="button" dataOnly="0" labelOnly="1" outline="0" axis="axisRow" fieldPosition="0"/>
    </format>
    <format dxfId="43">
      <pivotArea dataOnly="0" labelOnly="1" fieldPosition="0">
        <references count="1">
          <reference field="8" count="0"/>
        </references>
      </pivotArea>
    </format>
    <format dxfId="42">
      <pivotArea dataOnly="0" labelOnly="1" grandRow="1" outline="0" fieldPosition="0"/>
    </format>
    <format dxfId="41">
      <pivotArea dataOnly="0" labelOnly="1" fieldPosition="0">
        <references count="1">
          <reference field="2" count="0"/>
        </references>
      </pivotArea>
    </format>
    <format dxfId="4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79646-9E4E-4E9C-8E64-6F24D73DE7D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6:H9" firstHeaderRow="1" firstDataRow="1" firstDataCol="1" rowPageCount="1" colPageCount="1"/>
  <pivotFields count="18">
    <pivotField showAll="0"/>
    <pivotField numFmtId="14" showAll="0"/>
    <pivotField axis="axisRow" showAll="0">
      <items count="3">
        <item x="0"/>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showAll="0"/>
    <pivotField showAll="0"/>
    <pivotField showAll="0"/>
    <pivotField showAll="0"/>
    <pivotField showAll="0"/>
    <pivotField dataField="1" showAll="0"/>
    <pivotField showAll="0"/>
  </pivotFields>
  <rowFields count="1">
    <field x="2"/>
  </rowFields>
  <rowItems count="3">
    <i>
      <x/>
    </i>
    <i>
      <x v="1"/>
    </i>
    <i t="grand">
      <x/>
    </i>
  </rowItems>
  <colItems count="1">
    <i/>
  </colItems>
  <pageFields count="1">
    <pageField fld="10" item="2" hier="-1"/>
  </pageFields>
  <dataFields count="1">
    <dataField name="total_final_sales_by_platform" fld="16" baseField="2" baseItem="0" numFmtId="4"/>
  </dataFields>
  <formats count="6">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8C9A9B-B23A-4616-8746-59D46804C7B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3" firstHeaderRow="1" firstDataRow="1" firstDataCol="1" rowPageCount="1" colPageCount="1"/>
  <pivotFields count="18">
    <pivotField showAll="0"/>
    <pivotField numFmtId="14" showAll="0"/>
    <pivotField showAll="0">
      <items count="3">
        <item x="0"/>
        <item x="1"/>
        <item t="default"/>
      </items>
    </pivotField>
    <pivotField showAll="0"/>
    <pivotField showAll="0">
      <items count="6">
        <item x="0"/>
        <item x="4"/>
        <item x="3"/>
        <item x="2"/>
        <item x="1"/>
        <item t="default"/>
      </items>
    </pivotField>
    <pivotField showAll="0"/>
    <pivotField showAll="0"/>
    <pivotField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axis="axisPage" showAll="0">
      <items count="4">
        <item x="2"/>
        <item x="0"/>
        <item x="1"/>
        <item t="default"/>
      </items>
    </pivotField>
    <pivotField showAll="0"/>
    <pivotField showAll="0"/>
    <pivotField showAll="0"/>
    <pivotField showAll="0"/>
    <pivotField showAll="0"/>
    <pivotField dataField="1" showAll="0"/>
    <pivotField showAll="0"/>
  </pivotFields>
  <rowFields count="1">
    <field x="9"/>
  </rowFields>
  <rowItems count="5">
    <i>
      <x v="1"/>
    </i>
    <i>
      <x v="2"/>
    </i>
    <i>
      <x v="3"/>
    </i>
    <i>
      <x/>
    </i>
    <i t="grand">
      <x/>
    </i>
  </rowItems>
  <colItems count="1">
    <i/>
  </colItems>
  <pageFields count="1">
    <pageField fld="10" item="2" hier="-1"/>
  </pageFields>
  <dataFields count="1">
    <dataField name="Sum of Final_sales" fld="16"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9386E3-321F-46DB-A7E8-82A3A0AC5A4A}"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9" firstHeaderRow="1" firstDataRow="1" firstDataCol="1"/>
  <pivotFields count="18">
    <pivotField showAll="0"/>
    <pivotField numFmtId="14" showAll="0"/>
    <pivotField showAll="0">
      <items count="3">
        <item x="0"/>
        <item x="1"/>
        <item t="default"/>
      </items>
    </pivotField>
    <pivotField showAll="0"/>
    <pivotField axis="axisRow" showAll="0" sortType="a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3"/>
    </i>
    <i>
      <x v="4"/>
    </i>
    <i>
      <x v="1"/>
    </i>
    <i>
      <x/>
    </i>
    <i>
      <x v="2"/>
    </i>
    <i t="grand">
      <x/>
    </i>
  </rowItems>
  <colItems count="1">
    <i/>
  </colItems>
  <dataFields count="1">
    <dataField name="total_quantity_sold_by_product" fld="6"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C2BFE8-25C1-4EC5-A0CC-29EC3C7EF2DC}"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8" firstHeaderRow="1" firstDataRow="1" firstDataCol="1"/>
  <pivotFields count="18">
    <pivotField showAll="0"/>
    <pivotField numFmtId="14"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3">
    <i>
      <x/>
    </i>
    <i>
      <x v="1"/>
    </i>
    <i t="grand">
      <x/>
    </i>
  </rowItems>
  <colItems count="1">
    <i/>
  </colItems>
  <dataFields count="1">
    <dataField name="total_final_sales_by_platform" fld="16" baseField="2" baseItem="0" numFmtId="4"/>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67A43F-B558-4437-BAB9-07B64BEBC4EB}" name="Table1" displayName="Table1" ref="A5:P1005" totalsRowShown="0" headerRowDxfId="77" headerRowBorderDxfId="78" tableBorderDxfId="79">
  <autoFilter ref="A5:P1005" xr:uid="{0E67A43F-B558-4437-BAB9-07B64BEBC4EB}"/>
  <tableColumns count="16">
    <tableColumn id="1" xr3:uid="{1E380919-9098-499F-8B83-3ED6F6C39D4F}" name="Order_ID"/>
    <tableColumn id="2" xr3:uid="{D3770394-56AF-432E-96CD-96082E1BB115}" name="Order_Date" dataDxfId="75"/>
    <tableColumn id="3" xr3:uid="{C6C71526-53F8-479E-ADAE-286543E02F09}" name="Platform"/>
    <tableColumn id="4" xr3:uid="{70ADC306-AD03-482A-A7B4-287D43261718}" name="Product_SKU"/>
    <tableColumn id="5" xr3:uid="{217F62B9-4F63-4E07-98DB-6C930400FAFB}" name="Product_Name"/>
    <tableColumn id="6" xr3:uid="{FB09614B-F9D1-4827-82D5-6577CF00DF0D}" name="Category"/>
    <tableColumn id="7" xr3:uid="{2D389961-FE4F-4487-9442-7618C2118CCE}" name="Quantity"/>
    <tableColumn id="8" xr3:uid="{D6D73CCC-1B50-47ED-963D-FD672360D125}" name="Unit_Price"/>
    <tableColumn id="9" xr3:uid="{7299937B-0368-4371-AFC8-D1AECCDCA679}" name="Discount_%"/>
    <tableColumn id="10" xr3:uid="{F2077F9E-B752-43DD-AEAC-B74554A90917}" name="Country"/>
    <tableColumn id="11" xr3:uid="{8EA3C426-7C90-4836-9804-3242E1800F6F}" name="Order_Status"/>
    <tableColumn id="12" xr3:uid="{03702371-4C73-4FCE-82F7-D1998E12AB66}" name="Gross_Sales"/>
    <tableColumn id="13" xr3:uid="{547CFBA0-C534-4E68-877F-578D187AA34F}" name="Discount_Amount"/>
    <tableColumn id="14" xr3:uid="{D2BD513B-6A3B-43A5-B0DC-A9ECD916ECB0}" name="Net_Sales"/>
    <tableColumn id="15" xr3:uid="{B795C29D-AFB2-4183-BBCA-6B078169AC79}" name="Date_issue_flag" dataDxfId="76">
      <calculatedColumnFormula>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calculatedColumnFormula>
    </tableColumn>
    <tableColumn id="17" xr3:uid="{C7D8AED2-C81D-4F00-8BB1-0F45C17EC96F}" name="Date_problem" dataDxfId="74">
      <calculatedColumnFormula>IF(OR(ISNUMBER(Table1[[#This Row],[Order_Date]])=FALSE,Table1[[#This Row],[Order_Date]]&lt;DATE(2000,1,1),Table1[[#This Row],[Order_Date]]&gt;TODAY()),"YES","NO")</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6B66DA-DBE6-4A59-ACDF-C7B52D73D2FD}" name="Table13" displayName="Table13" ref="A5:R1005" totalsRowShown="0" headerRowDxfId="73" headerRowBorderDxfId="71" tableBorderDxfId="72">
  <autoFilter ref="A5:R1005" xr:uid="{A06B66DA-DBE6-4A59-ACDF-C7B52D73D2FD}"/>
  <tableColumns count="18">
    <tableColumn id="1" xr3:uid="{EE507E4D-E204-4E12-B100-4752B1E15C12}" name="Order_ID"/>
    <tableColumn id="2" xr3:uid="{354E71E6-D907-493F-8ECE-64B9F6962D47}" name="Order_Date" dataDxfId="70"/>
    <tableColumn id="3" xr3:uid="{0660A79B-4A96-4F9C-A230-A7D4860FCB9C}" name="Platform"/>
    <tableColumn id="4" xr3:uid="{54632FD7-8EB2-4A2A-A013-315E584E4A9D}" name="Product_SKU"/>
    <tableColumn id="5" xr3:uid="{388FAB9B-6DDA-4693-9BA8-AEC76836B22E}" name="Product_Name"/>
    <tableColumn id="6" xr3:uid="{62F13EBA-5921-4C49-9EB5-CF6B3875D792}" name="Category"/>
    <tableColumn id="7" xr3:uid="{E8B84F66-0A6F-46F2-B48D-78BADBBA4D96}" name="Quantity"/>
    <tableColumn id="8" xr3:uid="{5C16822D-27BE-406C-BB56-1D01F2D707D3}" name="Unit_Price"/>
    <tableColumn id="9" xr3:uid="{677BAA22-BD9B-435B-BE44-23C20CBFDD45}" name="Discount_%"/>
    <tableColumn id="10" xr3:uid="{5A829C9C-18A8-469F-BB9E-0FDA23765134}" name="Country"/>
    <tableColumn id="11" xr3:uid="{455F1C47-6A1E-40D3-9FAF-3617719B3620}" name="Order_Status"/>
    <tableColumn id="12" xr3:uid="{F036605C-A58B-481C-9F1F-D5A32E3F2737}" name="Gross_Sales"/>
    <tableColumn id="13" xr3:uid="{C5313211-FC12-41AE-AE2F-F358D7342E6C}" name="Discount_Amount"/>
    <tableColumn id="14" xr3:uid="{2D82D314-76C7-477C-8FB6-3107F5528F74}" name="Net_Sales"/>
    <tableColumn id="15" xr3:uid="{86D340A7-D1DA-452A-BE17-6B3C5B093920}" name="Date_issue_flag" dataDxfId="69">
      <calculatedColumnFormula>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calculatedColumnFormula>
    </tableColumn>
    <tableColumn id="17" xr3:uid="{C7D74DE3-1F76-4868-A0AC-90CCB0F86E3E}" name="Date_problem" dataDxfId="68">
      <calculatedColumnFormula>IF(OR(ISNUMBER(Table13[[#This Row],[Order_Date]])=FALSE,Table13[[#This Row],[Order_Date]]&lt;DATE(2000,1,1),Table13[[#This Row],[Order_Date]]&gt;TODAY()),"YES","NO")</calculatedColumnFormula>
    </tableColumn>
    <tableColumn id="19" xr3:uid="{29E1E0D4-76DA-49F9-B52B-612F94458920}" name="Final_sales" dataDxfId="67">
      <calculatedColumnFormula>IF(Table13[[#This Row],[Order_Status]] = "Cancelled",0,IF(Table13[[#This Row],[Order_Status]] = "Returned",Table13[[#This Row],[Net_Sales]] * -1,Table13[[#This Row],[Net_Sales]]))</calculatedColumnFormula>
    </tableColumn>
    <tableColumn id="20" xr3:uid="{CD8763ED-8070-4219-8B96-A78C3D5FEE06}" name="High_value_orders" dataDxfId="66">
      <calculatedColumnFormula>IF(Table13[[#This Row],[Gross_Sales]]&gt;=500, "YES","NO")</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FD25F5-38C1-4BB9-9E30-2C141D379DAC}" name="Table6" displayName="Table6" ref="A2:C102" totalsRowShown="0" headerRowDxfId="12" dataDxfId="13">
  <autoFilter ref="A2:C102" xr:uid="{35FD25F5-38C1-4BB9-9E30-2C141D379DAC}"/>
  <tableColumns count="3">
    <tableColumn id="1" xr3:uid="{584B7B67-91A4-4E18-B539-CDA28CE08BD3}" name="Product_Name" dataDxfId="16"/>
    <tableColumn id="2" xr3:uid="{2E1BD5A7-CF18-4D82-9920-BA2D834026D9}" name="Category" dataDxfId="15"/>
    <tableColumn id="3" xr3:uid="{4FD420B1-3C9A-4377-8BFB-F1CDC4FC3F18}" name="Standard_Price" dataDxfId="1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M2" sqref="M2"/>
    </sheetView>
  </sheetViews>
  <sheetFormatPr defaultRowHeight="14.4" x14ac:dyDescent="0.3"/>
  <cols>
    <col min="1" max="1" width="12.109375" customWidth="1"/>
    <col min="2" max="2" width="22.77734375" customWidth="1"/>
    <col min="4" max="4" width="13.21875" customWidth="1"/>
    <col min="5" max="5" width="11.77734375" customWidth="1"/>
    <col min="6" max="6" width="11.44140625" customWidth="1"/>
    <col min="8" max="8" width="11.88671875" customWidth="1"/>
    <col min="9" max="9" width="11.77734375" customWidth="1"/>
    <col min="10" max="10" width="11.6640625" customWidth="1"/>
    <col min="11" max="11" width="12.6640625" customWidth="1"/>
    <col min="12" max="12" width="12.77734375" customWidth="1"/>
    <col min="13" max="13" width="16.5546875" customWidth="1"/>
    <col min="14" max="14" width="13.88671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100001</v>
      </c>
      <c r="B2" s="2">
        <v>45292</v>
      </c>
      <c r="C2" t="s">
        <v>14</v>
      </c>
      <c r="D2" t="s">
        <v>16</v>
      </c>
      <c r="E2" t="s">
        <v>66</v>
      </c>
      <c r="F2" t="s">
        <v>71</v>
      </c>
      <c r="G2">
        <v>4</v>
      </c>
      <c r="H2">
        <v>31.4</v>
      </c>
      <c r="I2">
        <v>5</v>
      </c>
      <c r="J2" t="s">
        <v>73</v>
      </c>
      <c r="K2" t="s">
        <v>77</v>
      </c>
      <c r="L2">
        <v>125.6</v>
      </c>
      <c r="M2">
        <v>6.28</v>
      </c>
      <c r="N2">
        <v>119.32</v>
      </c>
    </row>
    <row r="3" spans="1:14" x14ac:dyDescent="0.3">
      <c r="A3">
        <v>100002</v>
      </c>
      <c r="B3" s="2">
        <v>45292.041666666657</v>
      </c>
      <c r="C3" t="s">
        <v>15</v>
      </c>
      <c r="D3" t="s">
        <v>17</v>
      </c>
      <c r="E3" t="s">
        <v>67</v>
      </c>
      <c r="F3" t="s">
        <v>71</v>
      </c>
      <c r="G3">
        <v>5</v>
      </c>
      <c r="H3">
        <v>18.52</v>
      </c>
      <c r="I3">
        <v>5</v>
      </c>
      <c r="J3" t="s">
        <v>74</v>
      </c>
      <c r="K3" t="s">
        <v>77</v>
      </c>
      <c r="L3">
        <v>92.6</v>
      </c>
      <c r="M3">
        <v>4.63</v>
      </c>
      <c r="N3">
        <v>87.97</v>
      </c>
    </row>
    <row r="4" spans="1:14" x14ac:dyDescent="0.3">
      <c r="A4">
        <v>100003</v>
      </c>
      <c r="B4" s="2">
        <v>45292.083333333343</v>
      </c>
      <c r="C4" t="s">
        <v>14</v>
      </c>
      <c r="D4" t="s">
        <v>18</v>
      </c>
      <c r="E4" t="s">
        <v>68</v>
      </c>
      <c r="F4" t="s">
        <v>72</v>
      </c>
      <c r="G4">
        <v>5</v>
      </c>
      <c r="H4">
        <v>24.01</v>
      </c>
      <c r="I4">
        <v>10</v>
      </c>
      <c r="J4" t="s">
        <v>75</v>
      </c>
      <c r="K4" t="s">
        <v>77</v>
      </c>
      <c r="L4">
        <v>120.05</v>
      </c>
      <c r="M4">
        <v>12.005000000000001</v>
      </c>
      <c r="N4">
        <v>108.045</v>
      </c>
    </row>
    <row r="5" spans="1:14" x14ac:dyDescent="0.3">
      <c r="A5">
        <v>100004</v>
      </c>
      <c r="B5" s="2">
        <v>45292.125</v>
      </c>
      <c r="C5" t="s">
        <v>14</v>
      </c>
      <c r="D5" t="s">
        <v>19</v>
      </c>
      <c r="E5" t="s">
        <v>69</v>
      </c>
      <c r="F5" t="s">
        <v>71</v>
      </c>
      <c r="G5">
        <v>1</v>
      </c>
      <c r="H5">
        <v>5.23</v>
      </c>
      <c r="I5">
        <v>10</v>
      </c>
      <c r="J5" t="s">
        <v>75</v>
      </c>
      <c r="K5" t="s">
        <v>77</v>
      </c>
      <c r="L5">
        <v>5.23</v>
      </c>
      <c r="M5">
        <v>0.52300000000000002</v>
      </c>
      <c r="N5">
        <v>4.7070000000000007</v>
      </c>
    </row>
    <row r="6" spans="1:14" x14ac:dyDescent="0.3">
      <c r="A6">
        <v>100005</v>
      </c>
      <c r="B6" s="2">
        <v>45292.166666666657</v>
      </c>
      <c r="C6" t="s">
        <v>14</v>
      </c>
      <c r="D6" t="s">
        <v>20</v>
      </c>
      <c r="E6" t="s">
        <v>67</v>
      </c>
      <c r="F6" t="s">
        <v>72</v>
      </c>
      <c r="G6">
        <v>1</v>
      </c>
      <c r="H6">
        <v>87.66</v>
      </c>
      <c r="I6">
        <v>5</v>
      </c>
      <c r="J6" t="s">
        <v>75</v>
      </c>
      <c r="K6" t="s">
        <v>77</v>
      </c>
      <c r="L6">
        <v>87.66</v>
      </c>
      <c r="M6">
        <v>4.383</v>
      </c>
      <c r="N6">
        <v>83.277000000000001</v>
      </c>
    </row>
    <row r="7" spans="1:14" x14ac:dyDescent="0.3">
      <c r="A7">
        <v>100006</v>
      </c>
      <c r="B7" s="2">
        <v>45292.208333333343</v>
      </c>
      <c r="C7" t="s">
        <v>15</v>
      </c>
      <c r="D7" t="s">
        <v>21</v>
      </c>
      <c r="E7" t="s">
        <v>68</v>
      </c>
      <c r="F7" t="s">
        <v>72</v>
      </c>
      <c r="G7">
        <v>5</v>
      </c>
      <c r="H7">
        <v>89.23</v>
      </c>
      <c r="I7">
        <v>5</v>
      </c>
      <c r="J7" t="s">
        <v>73</v>
      </c>
      <c r="K7" t="s">
        <v>77</v>
      </c>
      <c r="L7">
        <v>446.15</v>
      </c>
      <c r="M7">
        <v>22.307500000000001</v>
      </c>
      <c r="N7">
        <v>423.84249999999997</v>
      </c>
    </row>
    <row r="8" spans="1:14" x14ac:dyDescent="0.3">
      <c r="A8">
        <v>100007</v>
      </c>
      <c r="B8" s="2">
        <v>45292.25</v>
      </c>
      <c r="C8" t="s">
        <v>14</v>
      </c>
      <c r="D8" t="s">
        <v>22</v>
      </c>
      <c r="E8" t="s">
        <v>68</v>
      </c>
      <c r="F8" t="s">
        <v>71</v>
      </c>
      <c r="G8">
        <v>2</v>
      </c>
      <c r="H8">
        <v>64.22</v>
      </c>
      <c r="I8">
        <v>10</v>
      </c>
      <c r="J8" t="s">
        <v>74</v>
      </c>
      <c r="K8" t="s">
        <v>77</v>
      </c>
      <c r="L8">
        <v>128.44</v>
      </c>
      <c r="M8">
        <v>12.843999999999999</v>
      </c>
      <c r="N8">
        <v>115.596</v>
      </c>
    </row>
    <row r="9" spans="1:14" x14ac:dyDescent="0.3">
      <c r="A9">
        <v>100008</v>
      </c>
      <c r="B9" s="2">
        <v>45292.291666666657</v>
      </c>
      <c r="C9" t="s">
        <v>14</v>
      </c>
      <c r="D9" t="s">
        <v>23</v>
      </c>
      <c r="E9" t="s">
        <v>67</v>
      </c>
      <c r="F9" t="s">
        <v>72</v>
      </c>
      <c r="G9">
        <v>5</v>
      </c>
      <c r="H9">
        <v>23.56</v>
      </c>
      <c r="I9">
        <v>10</v>
      </c>
      <c r="J9" t="s">
        <v>73</v>
      </c>
      <c r="K9" t="s">
        <v>77</v>
      </c>
      <c r="L9">
        <v>117.8</v>
      </c>
      <c r="M9">
        <v>11.78</v>
      </c>
      <c r="N9">
        <v>106.02</v>
      </c>
    </row>
    <row r="10" spans="1:14" x14ac:dyDescent="0.3">
      <c r="A10">
        <v>100009</v>
      </c>
      <c r="B10" s="2">
        <v>45292.333333333343</v>
      </c>
      <c r="C10" t="s">
        <v>14</v>
      </c>
      <c r="D10" t="s">
        <v>20</v>
      </c>
      <c r="E10" t="s">
        <v>66</v>
      </c>
      <c r="F10" t="s">
        <v>72</v>
      </c>
      <c r="G10">
        <v>5</v>
      </c>
      <c r="H10">
        <v>14.61</v>
      </c>
      <c r="I10">
        <v>15</v>
      </c>
      <c r="J10" t="s">
        <v>73</v>
      </c>
      <c r="K10" t="s">
        <v>77</v>
      </c>
      <c r="L10">
        <v>73.05</v>
      </c>
      <c r="M10">
        <v>10.9575</v>
      </c>
      <c r="N10">
        <v>62.092500000000001</v>
      </c>
    </row>
    <row r="11" spans="1:14" x14ac:dyDescent="0.3">
      <c r="A11">
        <v>100010</v>
      </c>
      <c r="B11" s="2">
        <v>45292.375</v>
      </c>
      <c r="C11" t="s">
        <v>15</v>
      </c>
      <c r="D11" t="s">
        <v>24</v>
      </c>
      <c r="E11" t="s">
        <v>68</v>
      </c>
      <c r="F11" t="s">
        <v>72</v>
      </c>
      <c r="G11">
        <v>3</v>
      </c>
      <c r="H11">
        <v>7.2</v>
      </c>
      <c r="I11">
        <v>5</v>
      </c>
      <c r="J11" t="s">
        <v>73</v>
      </c>
      <c r="K11" t="s">
        <v>77</v>
      </c>
      <c r="L11">
        <v>21.6</v>
      </c>
      <c r="M11">
        <v>1.08</v>
      </c>
      <c r="N11">
        <v>20.52</v>
      </c>
    </row>
    <row r="12" spans="1:14" x14ac:dyDescent="0.3">
      <c r="A12">
        <v>100011</v>
      </c>
      <c r="B12" s="2">
        <v>45292.416666666657</v>
      </c>
      <c r="C12" t="s">
        <v>14</v>
      </c>
      <c r="D12" t="s">
        <v>25</v>
      </c>
      <c r="E12" t="s">
        <v>66</v>
      </c>
      <c r="F12" t="s">
        <v>72</v>
      </c>
      <c r="G12">
        <v>3</v>
      </c>
      <c r="H12">
        <v>24.06</v>
      </c>
      <c r="I12">
        <v>5</v>
      </c>
      <c r="J12" t="s">
        <v>76</v>
      </c>
      <c r="K12" t="s">
        <v>77</v>
      </c>
      <c r="L12">
        <v>72.179999999999993</v>
      </c>
      <c r="M12">
        <v>3.609</v>
      </c>
      <c r="N12">
        <v>68.570999999999998</v>
      </c>
    </row>
    <row r="13" spans="1:14" x14ac:dyDescent="0.3">
      <c r="A13">
        <v>100012</v>
      </c>
      <c r="B13" s="2">
        <v>45292.458333333343</v>
      </c>
      <c r="C13" t="s">
        <v>14</v>
      </c>
      <c r="D13" t="s">
        <v>26</v>
      </c>
      <c r="E13" t="s">
        <v>67</v>
      </c>
      <c r="F13" t="s">
        <v>71</v>
      </c>
      <c r="G13">
        <v>3</v>
      </c>
      <c r="H13">
        <v>107.45</v>
      </c>
      <c r="I13">
        <v>15</v>
      </c>
      <c r="J13" t="s">
        <v>76</v>
      </c>
      <c r="K13" t="s">
        <v>77</v>
      </c>
      <c r="L13">
        <v>322.35000000000002</v>
      </c>
      <c r="M13">
        <v>48.352499999999999</v>
      </c>
      <c r="N13">
        <v>273.9975</v>
      </c>
    </row>
    <row r="14" spans="1:14" x14ac:dyDescent="0.3">
      <c r="A14">
        <v>100013</v>
      </c>
      <c r="B14" s="2">
        <v>45292.5</v>
      </c>
      <c r="C14" t="s">
        <v>14</v>
      </c>
      <c r="D14" t="s">
        <v>27</v>
      </c>
      <c r="E14" t="s">
        <v>66</v>
      </c>
      <c r="F14" t="s">
        <v>71</v>
      </c>
      <c r="G14">
        <v>2</v>
      </c>
      <c r="H14">
        <v>32.78</v>
      </c>
      <c r="I14">
        <v>5</v>
      </c>
      <c r="J14" t="s">
        <v>76</v>
      </c>
      <c r="K14" t="s">
        <v>77</v>
      </c>
      <c r="L14">
        <v>65.56</v>
      </c>
      <c r="M14">
        <v>3.278</v>
      </c>
      <c r="N14">
        <v>62.281999999999996</v>
      </c>
    </row>
    <row r="15" spans="1:14" x14ac:dyDescent="0.3">
      <c r="A15">
        <v>100014</v>
      </c>
      <c r="B15" s="2">
        <v>45292.541666666657</v>
      </c>
      <c r="C15" t="s">
        <v>14</v>
      </c>
      <c r="D15" t="s">
        <v>28</v>
      </c>
      <c r="E15" t="s">
        <v>70</v>
      </c>
      <c r="F15" t="s">
        <v>72</v>
      </c>
      <c r="G15">
        <v>2</v>
      </c>
      <c r="H15">
        <v>45.74</v>
      </c>
      <c r="I15">
        <v>0</v>
      </c>
      <c r="J15" t="s">
        <v>74</v>
      </c>
      <c r="K15" t="s">
        <v>78</v>
      </c>
      <c r="L15">
        <v>91.48</v>
      </c>
      <c r="M15">
        <v>0</v>
      </c>
      <c r="N15">
        <v>91.48</v>
      </c>
    </row>
    <row r="16" spans="1:14" x14ac:dyDescent="0.3">
      <c r="A16">
        <v>100015</v>
      </c>
      <c r="B16" s="2">
        <v>45292.583333333343</v>
      </c>
      <c r="C16" t="s">
        <v>15</v>
      </c>
      <c r="D16" t="s">
        <v>29</v>
      </c>
      <c r="E16" t="s">
        <v>69</v>
      </c>
      <c r="F16" t="s">
        <v>72</v>
      </c>
      <c r="G16">
        <v>5</v>
      </c>
      <c r="H16">
        <v>17.11</v>
      </c>
      <c r="I16">
        <v>5</v>
      </c>
      <c r="J16" t="s">
        <v>73</v>
      </c>
      <c r="K16" t="s">
        <v>77</v>
      </c>
      <c r="L16">
        <v>85.55</v>
      </c>
      <c r="M16">
        <v>4.2774999999999999</v>
      </c>
      <c r="N16">
        <v>81.272499999999994</v>
      </c>
    </row>
    <row r="17" spans="1:14" x14ac:dyDescent="0.3">
      <c r="A17">
        <v>100016</v>
      </c>
      <c r="B17" s="2">
        <v>45292.625</v>
      </c>
      <c r="C17" t="s">
        <v>14</v>
      </c>
      <c r="D17" t="s">
        <v>30</v>
      </c>
      <c r="E17" t="s">
        <v>68</v>
      </c>
      <c r="F17" t="s">
        <v>71</v>
      </c>
      <c r="G17">
        <v>3</v>
      </c>
      <c r="H17">
        <v>30.57</v>
      </c>
      <c r="I17">
        <v>15</v>
      </c>
      <c r="J17" t="s">
        <v>73</v>
      </c>
      <c r="K17" t="s">
        <v>77</v>
      </c>
      <c r="L17">
        <v>91.710000000000008</v>
      </c>
      <c r="M17">
        <v>13.756500000000001</v>
      </c>
      <c r="N17">
        <v>77.953500000000005</v>
      </c>
    </row>
    <row r="18" spans="1:14" x14ac:dyDescent="0.3">
      <c r="A18">
        <v>100017</v>
      </c>
      <c r="B18" s="2">
        <v>45292.666666666657</v>
      </c>
      <c r="C18" t="s">
        <v>15</v>
      </c>
      <c r="D18" t="s">
        <v>31</v>
      </c>
      <c r="E18" t="s">
        <v>69</v>
      </c>
      <c r="F18" t="s">
        <v>72</v>
      </c>
      <c r="G18">
        <v>2</v>
      </c>
      <c r="H18">
        <v>64.709999999999994</v>
      </c>
      <c r="I18">
        <v>0</v>
      </c>
      <c r="J18" t="s">
        <v>76</v>
      </c>
      <c r="K18" t="s">
        <v>77</v>
      </c>
      <c r="L18">
        <v>129.41999999999999</v>
      </c>
      <c r="M18">
        <v>0</v>
      </c>
      <c r="N18">
        <v>129.41999999999999</v>
      </c>
    </row>
    <row r="19" spans="1:14" x14ac:dyDescent="0.3">
      <c r="A19">
        <v>100018</v>
      </c>
      <c r="B19" s="2">
        <v>45292.708333333343</v>
      </c>
      <c r="C19" t="s">
        <v>15</v>
      </c>
      <c r="D19" t="s">
        <v>32</v>
      </c>
      <c r="E19" t="s">
        <v>66</v>
      </c>
      <c r="F19" t="s">
        <v>71</v>
      </c>
      <c r="G19">
        <v>1</v>
      </c>
      <c r="H19">
        <v>74.89</v>
      </c>
      <c r="I19">
        <v>10</v>
      </c>
      <c r="J19" t="s">
        <v>73</v>
      </c>
      <c r="K19" t="s">
        <v>77</v>
      </c>
      <c r="L19">
        <v>74.89</v>
      </c>
      <c r="M19">
        <v>7.4890000000000008</v>
      </c>
      <c r="N19">
        <v>67.400999999999996</v>
      </c>
    </row>
    <row r="20" spans="1:14" x14ac:dyDescent="0.3">
      <c r="A20">
        <v>100019</v>
      </c>
      <c r="B20" s="2">
        <v>45292.75</v>
      </c>
      <c r="C20" t="s">
        <v>15</v>
      </c>
      <c r="D20" t="s">
        <v>33</v>
      </c>
      <c r="E20" t="s">
        <v>68</v>
      </c>
      <c r="F20" t="s">
        <v>72</v>
      </c>
      <c r="G20">
        <v>5</v>
      </c>
      <c r="H20">
        <v>33.22</v>
      </c>
      <c r="I20">
        <v>15</v>
      </c>
      <c r="J20" t="s">
        <v>73</v>
      </c>
      <c r="K20" t="s">
        <v>77</v>
      </c>
      <c r="L20">
        <v>166.1</v>
      </c>
      <c r="M20">
        <v>24.914999999999999</v>
      </c>
      <c r="N20">
        <v>141.185</v>
      </c>
    </row>
    <row r="21" spans="1:14" x14ac:dyDescent="0.3">
      <c r="A21">
        <v>100020</v>
      </c>
      <c r="B21" s="2">
        <v>45292.791666666657</v>
      </c>
      <c r="C21" t="s">
        <v>14</v>
      </c>
      <c r="D21" t="s">
        <v>34</v>
      </c>
      <c r="E21" t="s">
        <v>66</v>
      </c>
      <c r="F21" t="s">
        <v>72</v>
      </c>
      <c r="G21">
        <v>4</v>
      </c>
      <c r="H21">
        <v>11.64</v>
      </c>
      <c r="I21">
        <v>15</v>
      </c>
      <c r="J21" t="s">
        <v>75</v>
      </c>
      <c r="K21" t="s">
        <v>77</v>
      </c>
      <c r="L21">
        <v>46.56</v>
      </c>
      <c r="M21">
        <v>6.984</v>
      </c>
      <c r="N21">
        <v>39.576000000000001</v>
      </c>
    </row>
    <row r="22" spans="1:14" x14ac:dyDescent="0.3">
      <c r="A22">
        <v>100021</v>
      </c>
      <c r="B22" s="2">
        <v>45292.833333333343</v>
      </c>
      <c r="C22" t="s">
        <v>15</v>
      </c>
      <c r="D22" t="s">
        <v>35</v>
      </c>
      <c r="E22" t="s">
        <v>70</v>
      </c>
      <c r="F22" t="s">
        <v>71</v>
      </c>
      <c r="G22">
        <v>5</v>
      </c>
      <c r="H22">
        <v>49.97</v>
      </c>
      <c r="I22">
        <v>10</v>
      </c>
      <c r="J22" t="s">
        <v>73</v>
      </c>
      <c r="K22" t="s">
        <v>77</v>
      </c>
      <c r="L22">
        <v>249.85</v>
      </c>
      <c r="M22">
        <v>24.984999999999999</v>
      </c>
      <c r="N22">
        <v>224.86500000000001</v>
      </c>
    </row>
    <row r="23" spans="1:14" x14ac:dyDescent="0.3">
      <c r="A23">
        <v>100022</v>
      </c>
      <c r="B23" s="2">
        <v>45292.875</v>
      </c>
      <c r="C23" t="s">
        <v>14</v>
      </c>
      <c r="D23" t="s">
        <v>28</v>
      </c>
      <c r="E23" t="s">
        <v>67</v>
      </c>
      <c r="F23" t="s">
        <v>71</v>
      </c>
      <c r="G23">
        <v>4</v>
      </c>
      <c r="H23">
        <v>31.93</v>
      </c>
      <c r="I23">
        <v>15</v>
      </c>
      <c r="J23" t="s">
        <v>75</v>
      </c>
      <c r="K23" t="s">
        <v>77</v>
      </c>
      <c r="L23">
        <v>127.72</v>
      </c>
      <c r="M23">
        <v>19.158000000000001</v>
      </c>
      <c r="N23">
        <v>108.562</v>
      </c>
    </row>
    <row r="24" spans="1:14" x14ac:dyDescent="0.3">
      <c r="A24">
        <v>100023</v>
      </c>
      <c r="B24" s="2">
        <v>45292.916666666657</v>
      </c>
      <c r="C24" t="s">
        <v>15</v>
      </c>
      <c r="D24" t="s">
        <v>18</v>
      </c>
      <c r="E24" t="s">
        <v>68</v>
      </c>
      <c r="F24" t="s">
        <v>71</v>
      </c>
      <c r="G24">
        <v>3</v>
      </c>
      <c r="H24">
        <v>30.25</v>
      </c>
      <c r="I24">
        <v>5</v>
      </c>
      <c r="J24" t="s">
        <v>73</v>
      </c>
      <c r="K24" t="s">
        <v>77</v>
      </c>
      <c r="L24">
        <v>90.75</v>
      </c>
      <c r="M24">
        <v>4.5375000000000014</v>
      </c>
      <c r="N24">
        <v>86.212500000000006</v>
      </c>
    </row>
    <row r="25" spans="1:14" x14ac:dyDescent="0.3">
      <c r="A25">
        <v>100024</v>
      </c>
      <c r="B25" s="2">
        <v>45292.958333333343</v>
      </c>
      <c r="C25" t="s">
        <v>15</v>
      </c>
      <c r="D25" t="s">
        <v>36</v>
      </c>
      <c r="E25" t="s">
        <v>70</v>
      </c>
      <c r="F25" t="s">
        <v>71</v>
      </c>
      <c r="G25">
        <v>4</v>
      </c>
      <c r="H25">
        <v>115.38</v>
      </c>
      <c r="I25">
        <v>10</v>
      </c>
      <c r="J25" t="s">
        <v>74</v>
      </c>
      <c r="K25" t="s">
        <v>77</v>
      </c>
      <c r="L25">
        <v>461.52</v>
      </c>
      <c r="M25">
        <v>46.152000000000001</v>
      </c>
      <c r="N25">
        <v>415.36799999999999</v>
      </c>
    </row>
    <row r="26" spans="1:14" x14ac:dyDescent="0.3">
      <c r="A26">
        <v>100025</v>
      </c>
      <c r="B26" s="2">
        <v>45293</v>
      </c>
      <c r="C26" t="s">
        <v>15</v>
      </c>
      <c r="D26" t="s">
        <v>27</v>
      </c>
      <c r="E26" t="s">
        <v>70</v>
      </c>
      <c r="F26" t="s">
        <v>72</v>
      </c>
      <c r="G26">
        <v>3</v>
      </c>
      <c r="H26">
        <v>75.87</v>
      </c>
      <c r="I26">
        <v>15</v>
      </c>
      <c r="J26" t="s">
        <v>76</v>
      </c>
      <c r="K26" t="s">
        <v>77</v>
      </c>
      <c r="L26">
        <v>227.61</v>
      </c>
      <c r="M26">
        <v>34.141500000000001</v>
      </c>
      <c r="N26">
        <v>193.46850000000001</v>
      </c>
    </row>
    <row r="27" spans="1:14" x14ac:dyDescent="0.3">
      <c r="A27">
        <v>100026</v>
      </c>
      <c r="B27" s="2">
        <v>45293.041666666657</v>
      </c>
      <c r="C27" t="s">
        <v>15</v>
      </c>
      <c r="D27" t="s">
        <v>37</v>
      </c>
      <c r="E27" t="s">
        <v>68</v>
      </c>
      <c r="F27" t="s">
        <v>71</v>
      </c>
      <c r="G27">
        <v>1</v>
      </c>
      <c r="H27">
        <v>69.040000000000006</v>
      </c>
      <c r="I27">
        <v>10</v>
      </c>
      <c r="J27" t="s">
        <v>75</v>
      </c>
      <c r="K27" t="s">
        <v>77</v>
      </c>
      <c r="L27">
        <v>69.040000000000006</v>
      </c>
      <c r="M27">
        <v>6.9040000000000008</v>
      </c>
      <c r="N27">
        <v>62.136000000000003</v>
      </c>
    </row>
    <row r="28" spans="1:14" x14ac:dyDescent="0.3">
      <c r="A28">
        <v>100027</v>
      </c>
      <c r="B28" s="2">
        <v>45293.083333333343</v>
      </c>
      <c r="C28" t="s">
        <v>15</v>
      </c>
      <c r="D28" t="s">
        <v>29</v>
      </c>
      <c r="E28" t="s">
        <v>66</v>
      </c>
      <c r="F28" t="s">
        <v>72</v>
      </c>
      <c r="G28">
        <v>4</v>
      </c>
      <c r="H28">
        <v>52.81</v>
      </c>
      <c r="I28">
        <v>10</v>
      </c>
      <c r="J28" t="s">
        <v>76</v>
      </c>
      <c r="K28" t="s">
        <v>79</v>
      </c>
      <c r="L28">
        <v>211.24</v>
      </c>
      <c r="M28">
        <v>21.123999999999999</v>
      </c>
      <c r="N28">
        <v>190.11600000000001</v>
      </c>
    </row>
    <row r="29" spans="1:14" x14ac:dyDescent="0.3">
      <c r="A29">
        <v>100028</v>
      </c>
      <c r="B29" s="2">
        <v>45293.125</v>
      </c>
      <c r="C29" t="s">
        <v>15</v>
      </c>
      <c r="D29" t="s">
        <v>38</v>
      </c>
      <c r="E29" t="s">
        <v>70</v>
      </c>
      <c r="F29" t="s">
        <v>71</v>
      </c>
      <c r="G29">
        <v>5</v>
      </c>
      <c r="H29">
        <v>54.33</v>
      </c>
      <c r="I29">
        <v>10</v>
      </c>
      <c r="J29" t="s">
        <v>75</v>
      </c>
      <c r="K29" t="s">
        <v>77</v>
      </c>
      <c r="L29">
        <v>271.64999999999998</v>
      </c>
      <c r="M29">
        <v>27.164999999999999</v>
      </c>
      <c r="N29">
        <v>244.48500000000001</v>
      </c>
    </row>
    <row r="30" spans="1:14" x14ac:dyDescent="0.3">
      <c r="A30">
        <v>100029</v>
      </c>
      <c r="B30" s="2">
        <v>45293.166666666657</v>
      </c>
      <c r="C30" t="s">
        <v>15</v>
      </c>
      <c r="D30" t="s">
        <v>39</v>
      </c>
      <c r="E30" t="s">
        <v>69</v>
      </c>
      <c r="F30" t="s">
        <v>71</v>
      </c>
      <c r="G30">
        <v>3</v>
      </c>
      <c r="H30">
        <v>67.2</v>
      </c>
      <c r="I30">
        <v>0</v>
      </c>
      <c r="J30" t="s">
        <v>75</v>
      </c>
      <c r="K30" t="s">
        <v>77</v>
      </c>
      <c r="L30">
        <v>201.6</v>
      </c>
      <c r="M30">
        <v>0</v>
      </c>
      <c r="N30">
        <v>201.6</v>
      </c>
    </row>
    <row r="31" spans="1:14" x14ac:dyDescent="0.3">
      <c r="A31">
        <v>100030</v>
      </c>
      <c r="B31" s="2">
        <v>45293.208333333343</v>
      </c>
      <c r="C31" t="s">
        <v>15</v>
      </c>
      <c r="D31" t="s">
        <v>40</v>
      </c>
      <c r="E31" t="s">
        <v>70</v>
      </c>
      <c r="F31" t="s">
        <v>72</v>
      </c>
      <c r="G31">
        <v>5</v>
      </c>
      <c r="H31">
        <v>85.09</v>
      </c>
      <c r="I31">
        <v>15</v>
      </c>
      <c r="J31" t="s">
        <v>75</v>
      </c>
      <c r="K31" t="s">
        <v>78</v>
      </c>
      <c r="L31">
        <v>425.45</v>
      </c>
      <c r="M31">
        <v>63.817500000000003</v>
      </c>
      <c r="N31">
        <v>361.63250000000011</v>
      </c>
    </row>
    <row r="32" spans="1:14" x14ac:dyDescent="0.3">
      <c r="A32">
        <v>100031</v>
      </c>
      <c r="B32" s="2">
        <v>45293.25</v>
      </c>
      <c r="C32" t="s">
        <v>14</v>
      </c>
      <c r="D32" t="s">
        <v>41</v>
      </c>
      <c r="E32" t="s">
        <v>66</v>
      </c>
      <c r="F32" t="s">
        <v>71</v>
      </c>
      <c r="G32">
        <v>2</v>
      </c>
      <c r="H32">
        <v>85.75</v>
      </c>
      <c r="I32">
        <v>0</v>
      </c>
      <c r="J32" t="s">
        <v>74</v>
      </c>
      <c r="K32" t="s">
        <v>77</v>
      </c>
      <c r="L32">
        <v>171.5</v>
      </c>
      <c r="M32">
        <v>0</v>
      </c>
      <c r="N32">
        <v>171.5</v>
      </c>
    </row>
    <row r="33" spans="1:14" x14ac:dyDescent="0.3">
      <c r="A33">
        <v>100032</v>
      </c>
      <c r="B33" s="2">
        <v>45293.291666666657</v>
      </c>
      <c r="C33" t="s">
        <v>14</v>
      </c>
      <c r="D33" t="s">
        <v>30</v>
      </c>
      <c r="E33" t="s">
        <v>66</v>
      </c>
      <c r="F33" t="s">
        <v>71</v>
      </c>
      <c r="G33">
        <v>3</v>
      </c>
      <c r="H33">
        <v>24.74</v>
      </c>
      <c r="I33">
        <v>15</v>
      </c>
      <c r="J33" t="s">
        <v>73</v>
      </c>
      <c r="K33" t="s">
        <v>77</v>
      </c>
      <c r="L33">
        <v>74.22</v>
      </c>
      <c r="M33">
        <v>11.132999999999999</v>
      </c>
      <c r="N33">
        <v>63.087000000000003</v>
      </c>
    </row>
    <row r="34" spans="1:14" x14ac:dyDescent="0.3">
      <c r="A34">
        <v>100033</v>
      </c>
      <c r="B34" s="2">
        <v>45293.333333333343</v>
      </c>
      <c r="C34" t="s">
        <v>15</v>
      </c>
      <c r="D34" t="s">
        <v>42</v>
      </c>
      <c r="E34" t="s">
        <v>69</v>
      </c>
      <c r="F34" t="s">
        <v>71</v>
      </c>
      <c r="G34">
        <v>4</v>
      </c>
      <c r="H34">
        <v>62.51</v>
      </c>
      <c r="I34">
        <v>5</v>
      </c>
      <c r="J34" t="s">
        <v>75</v>
      </c>
      <c r="K34" t="s">
        <v>77</v>
      </c>
      <c r="L34">
        <v>250.04</v>
      </c>
      <c r="M34">
        <v>12.502000000000001</v>
      </c>
      <c r="N34">
        <v>237.53800000000001</v>
      </c>
    </row>
    <row r="35" spans="1:14" x14ac:dyDescent="0.3">
      <c r="A35">
        <v>100034</v>
      </c>
      <c r="B35" s="2">
        <v>45293.375</v>
      </c>
      <c r="C35" t="s">
        <v>15</v>
      </c>
      <c r="D35" t="s">
        <v>43</v>
      </c>
      <c r="E35" t="s">
        <v>70</v>
      </c>
      <c r="F35" t="s">
        <v>71</v>
      </c>
      <c r="G35">
        <v>3</v>
      </c>
      <c r="H35">
        <v>52.38</v>
      </c>
      <c r="I35">
        <v>5</v>
      </c>
      <c r="J35" t="s">
        <v>74</v>
      </c>
      <c r="K35" t="s">
        <v>78</v>
      </c>
      <c r="L35">
        <v>157.13999999999999</v>
      </c>
      <c r="M35">
        <v>7.8570000000000011</v>
      </c>
      <c r="N35">
        <v>149.28299999999999</v>
      </c>
    </row>
    <row r="36" spans="1:14" x14ac:dyDescent="0.3">
      <c r="A36">
        <v>100035</v>
      </c>
      <c r="B36" s="2">
        <v>45293.416666666657</v>
      </c>
      <c r="C36" t="s">
        <v>15</v>
      </c>
      <c r="D36" t="s">
        <v>38</v>
      </c>
      <c r="E36" t="s">
        <v>66</v>
      </c>
      <c r="F36" t="s">
        <v>72</v>
      </c>
      <c r="G36">
        <v>5</v>
      </c>
      <c r="H36">
        <v>105.11</v>
      </c>
      <c r="I36">
        <v>5</v>
      </c>
      <c r="J36" t="s">
        <v>75</v>
      </c>
      <c r="K36" t="s">
        <v>77</v>
      </c>
      <c r="L36">
        <v>525.54999999999995</v>
      </c>
      <c r="M36">
        <v>26.2775</v>
      </c>
      <c r="N36">
        <v>499.27249999999998</v>
      </c>
    </row>
    <row r="37" spans="1:14" x14ac:dyDescent="0.3">
      <c r="A37">
        <v>100036</v>
      </c>
      <c r="B37" s="2">
        <v>45293.458333333343</v>
      </c>
      <c r="C37" t="s">
        <v>14</v>
      </c>
      <c r="D37" t="s">
        <v>20</v>
      </c>
      <c r="E37" t="s">
        <v>68</v>
      </c>
      <c r="F37" t="s">
        <v>72</v>
      </c>
      <c r="G37">
        <v>1</v>
      </c>
      <c r="H37">
        <v>77.61</v>
      </c>
      <c r="I37">
        <v>15</v>
      </c>
      <c r="J37" t="s">
        <v>73</v>
      </c>
      <c r="K37" t="s">
        <v>77</v>
      </c>
      <c r="L37">
        <v>77.61</v>
      </c>
      <c r="M37">
        <v>11.641500000000001</v>
      </c>
      <c r="N37">
        <v>65.968500000000006</v>
      </c>
    </row>
    <row r="38" spans="1:14" x14ac:dyDescent="0.3">
      <c r="A38">
        <v>100037</v>
      </c>
      <c r="B38" s="2">
        <v>45293.5</v>
      </c>
      <c r="C38" t="s">
        <v>15</v>
      </c>
      <c r="D38" t="s">
        <v>18</v>
      </c>
      <c r="E38" t="s">
        <v>67</v>
      </c>
      <c r="F38" t="s">
        <v>71</v>
      </c>
      <c r="G38">
        <v>3</v>
      </c>
      <c r="H38">
        <v>66.239999999999995</v>
      </c>
      <c r="I38">
        <v>10</v>
      </c>
      <c r="J38" t="s">
        <v>75</v>
      </c>
      <c r="K38" t="s">
        <v>77</v>
      </c>
      <c r="L38">
        <v>198.72</v>
      </c>
      <c r="M38">
        <v>19.872</v>
      </c>
      <c r="N38">
        <v>178.84800000000001</v>
      </c>
    </row>
    <row r="39" spans="1:14" x14ac:dyDescent="0.3">
      <c r="A39">
        <v>100038</v>
      </c>
      <c r="B39" s="2">
        <v>45293.541666666657</v>
      </c>
      <c r="C39" t="s">
        <v>14</v>
      </c>
      <c r="D39" t="s">
        <v>44</v>
      </c>
      <c r="E39" t="s">
        <v>67</v>
      </c>
      <c r="F39" t="s">
        <v>71</v>
      </c>
      <c r="G39">
        <v>4</v>
      </c>
      <c r="H39">
        <v>18.27</v>
      </c>
      <c r="I39">
        <v>10</v>
      </c>
      <c r="J39" t="s">
        <v>74</v>
      </c>
      <c r="K39" t="s">
        <v>79</v>
      </c>
      <c r="L39">
        <v>73.08</v>
      </c>
      <c r="M39">
        <v>7.3079999999999998</v>
      </c>
      <c r="N39">
        <v>65.771999999999991</v>
      </c>
    </row>
    <row r="40" spans="1:14" x14ac:dyDescent="0.3">
      <c r="A40">
        <v>100039</v>
      </c>
      <c r="B40" s="2">
        <v>45293.583333333343</v>
      </c>
      <c r="C40" t="s">
        <v>14</v>
      </c>
      <c r="D40" t="s">
        <v>45</v>
      </c>
      <c r="E40" t="s">
        <v>67</v>
      </c>
      <c r="F40" t="s">
        <v>71</v>
      </c>
      <c r="G40">
        <v>2</v>
      </c>
      <c r="H40">
        <v>74.650000000000006</v>
      </c>
      <c r="I40">
        <v>0</v>
      </c>
      <c r="J40" t="s">
        <v>73</v>
      </c>
      <c r="K40" t="s">
        <v>77</v>
      </c>
      <c r="L40">
        <v>149.30000000000001</v>
      </c>
      <c r="M40">
        <v>0</v>
      </c>
      <c r="N40">
        <v>149.30000000000001</v>
      </c>
    </row>
    <row r="41" spans="1:14" x14ac:dyDescent="0.3">
      <c r="A41">
        <v>100040</v>
      </c>
      <c r="B41" s="2">
        <v>45293.625</v>
      </c>
      <c r="C41" t="s">
        <v>14</v>
      </c>
      <c r="D41" t="s">
        <v>25</v>
      </c>
      <c r="E41" t="s">
        <v>70</v>
      </c>
      <c r="F41" t="s">
        <v>72</v>
      </c>
      <c r="G41">
        <v>1</v>
      </c>
      <c r="H41">
        <v>18.48</v>
      </c>
      <c r="I41">
        <v>0</v>
      </c>
      <c r="J41" t="s">
        <v>74</v>
      </c>
      <c r="K41" t="s">
        <v>77</v>
      </c>
      <c r="L41">
        <v>18.48</v>
      </c>
      <c r="M41">
        <v>0</v>
      </c>
      <c r="N41">
        <v>18.48</v>
      </c>
    </row>
    <row r="42" spans="1:14" x14ac:dyDescent="0.3">
      <c r="A42">
        <v>100041</v>
      </c>
      <c r="B42" s="2">
        <v>45293.666666666657</v>
      </c>
      <c r="C42" t="s">
        <v>14</v>
      </c>
      <c r="D42" t="s">
        <v>36</v>
      </c>
      <c r="E42" t="s">
        <v>69</v>
      </c>
      <c r="F42" t="s">
        <v>72</v>
      </c>
      <c r="G42">
        <v>2</v>
      </c>
      <c r="H42">
        <v>43.78</v>
      </c>
      <c r="I42">
        <v>5</v>
      </c>
      <c r="J42" t="s">
        <v>73</v>
      </c>
      <c r="K42" t="s">
        <v>78</v>
      </c>
      <c r="L42">
        <v>87.56</v>
      </c>
      <c r="M42">
        <v>4.3780000000000001</v>
      </c>
      <c r="N42">
        <v>83.182000000000002</v>
      </c>
    </row>
    <row r="43" spans="1:14" x14ac:dyDescent="0.3">
      <c r="A43">
        <v>100042</v>
      </c>
      <c r="B43" s="2">
        <v>45293.708333333343</v>
      </c>
      <c r="C43" t="s">
        <v>14</v>
      </c>
      <c r="D43" t="s">
        <v>40</v>
      </c>
      <c r="E43" t="s">
        <v>66</v>
      </c>
      <c r="F43" t="s">
        <v>72</v>
      </c>
      <c r="G43">
        <v>3</v>
      </c>
      <c r="H43">
        <v>21.43</v>
      </c>
      <c r="I43">
        <v>0</v>
      </c>
      <c r="J43" t="s">
        <v>73</v>
      </c>
      <c r="K43" t="s">
        <v>77</v>
      </c>
      <c r="L43">
        <v>64.289999999999992</v>
      </c>
      <c r="M43">
        <v>0</v>
      </c>
      <c r="N43">
        <v>64.289999999999992</v>
      </c>
    </row>
    <row r="44" spans="1:14" x14ac:dyDescent="0.3">
      <c r="A44">
        <v>100043</v>
      </c>
      <c r="B44" s="2">
        <v>45293.75</v>
      </c>
      <c r="C44" t="s">
        <v>15</v>
      </c>
      <c r="D44" t="s">
        <v>22</v>
      </c>
      <c r="E44" t="s">
        <v>68</v>
      </c>
      <c r="F44" t="s">
        <v>72</v>
      </c>
      <c r="G44">
        <v>5</v>
      </c>
      <c r="H44">
        <v>84.59</v>
      </c>
      <c r="I44">
        <v>15</v>
      </c>
      <c r="J44" t="s">
        <v>76</v>
      </c>
      <c r="K44" t="s">
        <v>77</v>
      </c>
      <c r="L44">
        <v>422.95</v>
      </c>
      <c r="M44">
        <v>63.442500000000003</v>
      </c>
      <c r="N44">
        <v>359.50750000000011</v>
      </c>
    </row>
    <row r="45" spans="1:14" x14ac:dyDescent="0.3">
      <c r="A45">
        <v>100044</v>
      </c>
      <c r="B45" s="2">
        <v>45293.791666666657</v>
      </c>
      <c r="C45" t="s">
        <v>15</v>
      </c>
      <c r="D45" t="s">
        <v>26</v>
      </c>
      <c r="E45" t="s">
        <v>68</v>
      </c>
      <c r="F45" t="s">
        <v>71</v>
      </c>
      <c r="G45">
        <v>5</v>
      </c>
      <c r="H45">
        <v>28.72</v>
      </c>
      <c r="I45">
        <v>15</v>
      </c>
      <c r="J45" t="s">
        <v>76</v>
      </c>
      <c r="K45" t="s">
        <v>77</v>
      </c>
      <c r="L45">
        <v>143.6</v>
      </c>
      <c r="M45">
        <v>21.54</v>
      </c>
      <c r="N45">
        <v>122.06</v>
      </c>
    </row>
    <row r="46" spans="1:14" x14ac:dyDescent="0.3">
      <c r="A46">
        <v>100045</v>
      </c>
      <c r="B46" s="2">
        <v>45293.833333333343</v>
      </c>
      <c r="C46" t="s">
        <v>15</v>
      </c>
      <c r="D46" t="s">
        <v>21</v>
      </c>
      <c r="E46" t="s">
        <v>70</v>
      </c>
      <c r="F46" t="s">
        <v>71</v>
      </c>
      <c r="G46">
        <v>4</v>
      </c>
      <c r="H46">
        <v>50.06</v>
      </c>
      <c r="I46">
        <v>0</v>
      </c>
      <c r="J46" t="s">
        <v>76</v>
      </c>
      <c r="K46" t="s">
        <v>77</v>
      </c>
      <c r="L46">
        <v>200.24</v>
      </c>
      <c r="M46">
        <v>0</v>
      </c>
      <c r="N46">
        <v>200.24</v>
      </c>
    </row>
    <row r="47" spans="1:14" x14ac:dyDescent="0.3">
      <c r="A47">
        <v>100046</v>
      </c>
      <c r="B47" s="2">
        <v>45293.875</v>
      </c>
      <c r="C47" t="s">
        <v>15</v>
      </c>
      <c r="D47" t="s">
        <v>16</v>
      </c>
      <c r="E47" t="s">
        <v>67</v>
      </c>
      <c r="F47" t="s">
        <v>71</v>
      </c>
      <c r="G47">
        <v>5</v>
      </c>
      <c r="H47">
        <v>108</v>
      </c>
      <c r="I47">
        <v>0</v>
      </c>
      <c r="J47" t="s">
        <v>73</v>
      </c>
      <c r="K47" t="s">
        <v>78</v>
      </c>
      <c r="L47">
        <v>540</v>
      </c>
      <c r="M47">
        <v>0</v>
      </c>
      <c r="N47">
        <v>540</v>
      </c>
    </row>
    <row r="48" spans="1:14" x14ac:dyDescent="0.3">
      <c r="A48">
        <v>100047</v>
      </c>
      <c r="B48" s="2">
        <v>45293.916666666657</v>
      </c>
      <c r="C48" t="s">
        <v>15</v>
      </c>
      <c r="D48" t="s">
        <v>28</v>
      </c>
      <c r="E48" t="s">
        <v>70</v>
      </c>
      <c r="F48" t="s">
        <v>72</v>
      </c>
      <c r="G48">
        <v>1</v>
      </c>
      <c r="H48">
        <v>28.5</v>
      </c>
      <c r="I48">
        <v>0</v>
      </c>
      <c r="J48" t="s">
        <v>75</v>
      </c>
      <c r="K48" t="s">
        <v>77</v>
      </c>
      <c r="L48">
        <v>28.5</v>
      </c>
      <c r="M48">
        <v>0</v>
      </c>
      <c r="N48">
        <v>28.5</v>
      </c>
    </row>
    <row r="49" spans="1:14" x14ac:dyDescent="0.3">
      <c r="A49">
        <v>100048</v>
      </c>
      <c r="B49" s="2">
        <v>45293.958333333343</v>
      </c>
      <c r="C49" t="s">
        <v>14</v>
      </c>
      <c r="D49" t="s">
        <v>46</v>
      </c>
      <c r="E49" t="s">
        <v>69</v>
      </c>
      <c r="F49" t="s">
        <v>71</v>
      </c>
      <c r="G49">
        <v>5</v>
      </c>
      <c r="H49">
        <v>63.4</v>
      </c>
      <c r="I49">
        <v>0</v>
      </c>
      <c r="J49" t="s">
        <v>74</v>
      </c>
      <c r="K49" t="s">
        <v>77</v>
      </c>
      <c r="L49">
        <v>317</v>
      </c>
      <c r="M49">
        <v>0</v>
      </c>
      <c r="N49">
        <v>317</v>
      </c>
    </row>
    <row r="50" spans="1:14" x14ac:dyDescent="0.3">
      <c r="A50">
        <v>100049</v>
      </c>
      <c r="B50" s="2">
        <v>45294</v>
      </c>
      <c r="C50" t="s">
        <v>15</v>
      </c>
      <c r="D50" t="s">
        <v>28</v>
      </c>
      <c r="E50" t="s">
        <v>69</v>
      </c>
      <c r="F50" t="s">
        <v>72</v>
      </c>
      <c r="G50">
        <v>4</v>
      </c>
      <c r="H50">
        <v>53.22</v>
      </c>
      <c r="I50">
        <v>5</v>
      </c>
      <c r="J50" t="s">
        <v>74</v>
      </c>
      <c r="K50" t="s">
        <v>77</v>
      </c>
      <c r="L50">
        <v>212.88</v>
      </c>
      <c r="M50">
        <v>10.644</v>
      </c>
      <c r="N50">
        <v>202.23599999999999</v>
      </c>
    </row>
    <row r="51" spans="1:14" x14ac:dyDescent="0.3">
      <c r="A51">
        <v>100050</v>
      </c>
      <c r="B51" s="2">
        <v>45294.041666666657</v>
      </c>
      <c r="C51" t="s">
        <v>15</v>
      </c>
      <c r="D51" t="s">
        <v>47</v>
      </c>
      <c r="E51" t="s">
        <v>66</v>
      </c>
      <c r="F51" t="s">
        <v>72</v>
      </c>
      <c r="G51">
        <v>3</v>
      </c>
      <c r="H51">
        <v>7.08</v>
      </c>
      <c r="I51">
        <v>5</v>
      </c>
      <c r="J51" t="s">
        <v>74</v>
      </c>
      <c r="K51" t="s">
        <v>77</v>
      </c>
      <c r="L51">
        <v>21.24</v>
      </c>
      <c r="M51">
        <v>1.0620000000000001</v>
      </c>
      <c r="N51">
        <v>20.178000000000001</v>
      </c>
    </row>
    <row r="52" spans="1:14" x14ac:dyDescent="0.3">
      <c r="A52">
        <v>100051</v>
      </c>
      <c r="B52" s="2">
        <v>45294.083333333343</v>
      </c>
      <c r="C52" t="s">
        <v>14</v>
      </c>
      <c r="D52" t="s">
        <v>48</v>
      </c>
      <c r="E52" t="s">
        <v>66</v>
      </c>
      <c r="F52" t="s">
        <v>71</v>
      </c>
      <c r="G52">
        <v>3</v>
      </c>
      <c r="H52">
        <v>96.17</v>
      </c>
      <c r="I52">
        <v>0</v>
      </c>
      <c r="J52" t="s">
        <v>76</v>
      </c>
      <c r="K52" t="s">
        <v>79</v>
      </c>
      <c r="L52">
        <v>288.51</v>
      </c>
      <c r="M52">
        <v>0</v>
      </c>
      <c r="N52">
        <v>288.51</v>
      </c>
    </row>
    <row r="53" spans="1:14" x14ac:dyDescent="0.3">
      <c r="A53">
        <v>100052</v>
      </c>
      <c r="B53" s="2">
        <v>45294.125</v>
      </c>
      <c r="C53" t="s">
        <v>15</v>
      </c>
      <c r="D53" t="s">
        <v>49</v>
      </c>
      <c r="E53" t="s">
        <v>69</v>
      </c>
      <c r="F53" t="s">
        <v>71</v>
      </c>
      <c r="G53">
        <v>5</v>
      </c>
      <c r="H53">
        <v>12.94</v>
      </c>
      <c r="I53">
        <v>15</v>
      </c>
      <c r="J53" t="s">
        <v>73</v>
      </c>
      <c r="K53" t="s">
        <v>77</v>
      </c>
      <c r="L53">
        <v>64.7</v>
      </c>
      <c r="M53">
        <v>9.7050000000000001</v>
      </c>
      <c r="N53">
        <v>54.994999999999997</v>
      </c>
    </row>
    <row r="54" spans="1:14" x14ac:dyDescent="0.3">
      <c r="A54">
        <v>100053</v>
      </c>
      <c r="B54" s="2">
        <v>45294.166666666657</v>
      </c>
      <c r="C54" t="s">
        <v>14</v>
      </c>
      <c r="D54" t="s">
        <v>50</v>
      </c>
      <c r="E54" t="s">
        <v>69</v>
      </c>
      <c r="F54" t="s">
        <v>71</v>
      </c>
      <c r="G54">
        <v>2</v>
      </c>
      <c r="H54">
        <v>59.54</v>
      </c>
      <c r="I54">
        <v>5</v>
      </c>
      <c r="J54" t="s">
        <v>76</v>
      </c>
      <c r="K54" t="s">
        <v>77</v>
      </c>
      <c r="L54">
        <v>119.08</v>
      </c>
      <c r="M54">
        <v>5.9540000000000006</v>
      </c>
      <c r="N54">
        <v>113.126</v>
      </c>
    </row>
    <row r="55" spans="1:14" x14ac:dyDescent="0.3">
      <c r="A55">
        <v>100054</v>
      </c>
      <c r="B55" s="2">
        <v>45294.208333333343</v>
      </c>
      <c r="C55" t="s">
        <v>15</v>
      </c>
      <c r="D55" t="s">
        <v>50</v>
      </c>
      <c r="E55" t="s">
        <v>69</v>
      </c>
      <c r="F55" t="s">
        <v>72</v>
      </c>
      <c r="G55">
        <v>3</v>
      </c>
      <c r="H55">
        <v>69.48</v>
      </c>
      <c r="I55">
        <v>15</v>
      </c>
      <c r="J55" t="s">
        <v>75</v>
      </c>
      <c r="K55" t="s">
        <v>77</v>
      </c>
      <c r="L55">
        <v>208.44</v>
      </c>
      <c r="M55">
        <v>31.265999999999998</v>
      </c>
      <c r="N55">
        <v>177.17400000000001</v>
      </c>
    </row>
    <row r="56" spans="1:14" x14ac:dyDescent="0.3">
      <c r="A56">
        <v>100055</v>
      </c>
      <c r="B56" s="2">
        <v>45294.25</v>
      </c>
      <c r="C56" t="s">
        <v>14</v>
      </c>
      <c r="D56" t="s">
        <v>32</v>
      </c>
      <c r="E56" t="s">
        <v>70</v>
      </c>
      <c r="F56" t="s">
        <v>72</v>
      </c>
      <c r="G56">
        <v>5</v>
      </c>
      <c r="H56">
        <v>77.27</v>
      </c>
      <c r="I56">
        <v>10</v>
      </c>
      <c r="J56" t="s">
        <v>73</v>
      </c>
      <c r="K56" t="s">
        <v>78</v>
      </c>
      <c r="L56">
        <v>386.35</v>
      </c>
      <c r="M56">
        <v>38.634999999999998</v>
      </c>
      <c r="N56">
        <v>347.71499999999997</v>
      </c>
    </row>
    <row r="57" spans="1:14" x14ac:dyDescent="0.3">
      <c r="A57">
        <v>100056</v>
      </c>
      <c r="B57" s="2">
        <v>45294.291666666657</v>
      </c>
      <c r="C57" t="s">
        <v>15</v>
      </c>
      <c r="D57" t="s">
        <v>32</v>
      </c>
      <c r="E57" t="s">
        <v>69</v>
      </c>
      <c r="F57" t="s">
        <v>71</v>
      </c>
      <c r="G57">
        <v>4</v>
      </c>
      <c r="H57">
        <v>84.19</v>
      </c>
      <c r="I57">
        <v>15</v>
      </c>
      <c r="J57" t="s">
        <v>74</v>
      </c>
      <c r="K57" t="s">
        <v>77</v>
      </c>
      <c r="L57">
        <v>336.76</v>
      </c>
      <c r="M57">
        <v>50.514000000000003</v>
      </c>
      <c r="N57">
        <v>286.24599999999998</v>
      </c>
    </row>
    <row r="58" spans="1:14" x14ac:dyDescent="0.3">
      <c r="A58">
        <v>100057</v>
      </c>
      <c r="B58" s="2">
        <v>45294.333333333343</v>
      </c>
      <c r="C58" t="s">
        <v>15</v>
      </c>
      <c r="D58" t="s">
        <v>51</v>
      </c>
      <c r="E58" t="s">
        <v>68</v>
      </c>
      <c r="F58" t="s">
        <v>71</v>
      </c>
      <c r="G58">
        <v>5</v>
      </c>
      <c r="H58">
        <v>34.130000000000003</v>
      </c>
      <c r="I58">
        <v>0</v>
      </c>
      <c r="J58" t="s">
        <v>76</v>
      </c>
      <c r="K58" t="s">
        <v>77</v>
      </c>
      <c r="L58">
        <v>170.65</v>
      </c>
      <c r="M58">
        <v>0</v>
      </c>
      <c r="N58">
        <v>170.65</v>
      </c>
    </row>
    <row r="59" spans="1:14" x14ac:dyDescent="0.3">
      <c r="A59">
        <v>100058</v>
      </c>
      <c r="B59" s="2">
        <v>45294.375</v>
      </c>
      <c r="C59" t="s">
        <v>14</v>
      </c>
      <c r="D59" t="s">
        <v>16</v>
      </c>
      <c r="E59" t="s">
        <v>67</v>
      </c>
      <c r="F59" t="s">
        <v>72</v>
      </c>
      <c r="G59">
        <v>3</v>
      </c>
      <c r="H59">
        <v>6.15</v>
      </c>
      <c r="I59">
        <v>10</v>
      </c>
      <c r="J59" t="s">
        <v>76</v>
      </c>
      <c r="K59" t="s">
        <v>77</v>
      </c>
      <c r="L59">
        <v>18.45</v>
      </c>
      <c r="M59">
        <v>1.845</v>
      </c>
      <c r="N59">
        <v>16.605</v>
      </c>
    </row>
    <row r="60" spans="1:14" x14ac:dyDescent="0.3">
      <c r="A60">
        <v>100059</v>
      </c>
      <c r="B60" s="2">
        <v>45294.416666666657</v>
      </c>
      <c r="C60" t="s">
        <v>14</v>
      </c>
      <c r="D60" t="s">
        <v>40</v>
      </c>
      <c r="E60" t="s">
        <v>69</v>
      </c>
      <c r="F60" t="s">
        <v>71</v>
      </c>
      <c r="G60">
        <v>4</v>
      </c>
      <c r="H60">
        <v>88.2</v>
      </c>
      <c r="I60">
        <v>5</v>
      </c>
      <c r="J60" t="s">
        <v>75</v>
      </c>
      <c r="K60" t="s">
        <v>77</v>
      </c>
      <c r="L60">
        <v>352.8</v>
      </c>
      <c r="M60">
        <v>17.64</v>
      </c>
      <c r="N60">
        <v>335.16</v>
      </c>
    </row>
    <row r="61" spans="1:14" x14ac:dyDescent="0.3">
      <c r="A61">
        <v>100060</v>
      </c>
      <c r="B61" s="2">
        <v>45294.458333333343</v>
      </c>
      <c r="C61" t="s">
        <v>14</v>
      </c>
      <c r="D61" t="s">
        <v>52</v>
      </c>
      <c r="E61" t="s">
        <v>67</v>
      </c>
      <c r="F61" t="s">
        <v>72</v>
      </c>
      <c r="G61">
        <v>5</v>
      </c>
      <c r="H61">
        <v>66.599999999999994</v>
      </c>
      <c r="I61">
        <v>5</v>
      </c>
      <c r="J61" t="s">
        <v>75</v>
      </c>
      <c r="K61" t="s">
        <v>77</v>
      </c>
      <c r="L61">
        <v>333</v>
      </c>
      <c r="M61">
        <v>16.649999999999999</v>
      </c>
      <c r="N61">
        <v>316.35000000000002</v>
      </c>
    </row>
    <row r="62" spans="1:14" x14ac:dyDescent="0.3">
      <c r="A62">
        <v>100061</v>
      </c>
      <c r="B62" s="2">
        <v>45294.5</v>
      </c>
      <c r="C62" t="s">
        <v>14</v>
      </c>
      <c r="D62" t="s">
        <v>17</v>
      </c>
      <c r="E62" t="s">
        <v>70</v>
      </c>
      <c r="F62" t="s">
        <v>72</v>
      </c>
      <c r="G62">
        <v>1</v>
      </c>
      <c r="H62">
        <v>101.15</v>
      </c>
      <c r="I62">
        <v>10</v>
      </c>
      <c r="J62" t="s">
        <v>76</v>
      </c>
      <c r="K62" t="s">
        <v>77</v>
      </c>
      <c r="L62">
        <v>101.15</v>
      </c>
      <c r="M62">
        <v>10.115</v>
      </c>
      <c r="N62">
        <v>91.034999999999997</v>
      </c>
    </row>
    <row r="63" spans="1:14" x14ac:dyDescent="0.3">
      <c r="A63">
        <v>100062</v>
      </c>
      <c r="B63" s="2">
        <v>45294.541666666657</v>
      </c>
      <c r="C63" t="s">
        <v>14</v>
      </c>
      <c r="D63" t="s">
        <v>24</v>
      </c>
      <c r="E63" t="s">
        <v>67</v>
      </c>
      <c r="F63" t="s">
        <v>71</v>
      </c>
      <c r="G63">
        <v>4</v>
      </c>
      <c r="H63">
        <v>99.46</v>
      </c>
      <c r="I63">
        <v>15</v>
      </c>
      <c r="J63" t="s">
        <v>75</v>
      </c>
      <c r="K63" t="s">
        <v>77</v>
      </c>
      <c r="L63">
        <v>397.84</v>
      </c>
      <c r="M63">
        <v>59.675999999999988</v>
      </c>
      <c r="N63">
        <v>338.16399999999999</v>
      </c>
    </row>
    <row r="64" spans="1:14" x14ac:dyDescent="0.3">
      <c r="A64">
        <v>100063</v>
      </c>
      <c r="B64" s="2">
        <v>45294.583333333343</v>
      </c>
      <c r="C64" t="s">
        <v>14</v>
      </c>
      <c r="D64" t="s">
        <v>36</v>
      </c>
      <c r="E64" t="s">
        <v>70</v>
      </c>
      <c r="F64" t="s">
        <v>71</v>
      </c>
      <c r="G64">
        <v>1</v>
      </c>
      <c r="H64">
        <v>101.98</v>
      </c>
      <c r="I64">
        <v>5</v>
      </c>
      <c r="J64" t="s">
        <v>74</v>
      </c>
      <c r="K64" t="s">
        <v>77</v>
      </c>
      <c r="L64">
        <v>101.98</v>
      </c>
      <c r="M64">
        <v>5.0990000000000002</v>
      </c>
      <c r="N64">
        <v>96.881</v>
      </c>
    </row>
    <row r="65" spans="1:14" x14ac:dyDescent="0.3">
      <c r="A65">
        <v>100064</v>
      </c>
      <c r="B65" s="2">
        <v>45294.625</v>
      </c>
      <c r="C65" t="s">
        <v>14</v>
      </c>
      <c r="D65" t="s">
        <v>35</v>
      </c>
      <c r="E65" t="s">
        <v>68</v>
      </c>
      <c r="F65" t="s">
        <v>71</v>
      </c>
      <c r="G65">
        <v>2</v>
      </c>
      <c r="H65">
        <v>60.79</v>
      </c>
      <c r="I65">
        <v>0</v>
      </c>
      <c r="J65" t="s">
        <v>75</v>
      </c>
      <c r="K65" t="s">
        <v>77</v>
      </c>
      <c r="L65">
        <v>121.58</v>
      </c>
      <c r="M65">
        <v>0</v>
      </c>
      <c r="N65">
        <v>121.58</v>
      </c>
    </row>
    <row r="66" spans="1:14" x14ac:dyDescent="0.3">
      <c r="A66">
        <v>100065</v>
      </c>
      <c r="B66" s="2">
        <v>45294.666666666657</v>
      </c>
      <c r="C66" t="s">
        <v>14</v>
      </c>
      <c r="D66" t="s">
        <v>20</v>
      </c>
      <c r="E66" t="s">
        <v>70</v>
      </c>
      <c r="F66" t="s">
        <v>71</v>
      </c>
      <c r="G66">
        <v>4</v>
      </c>
      <c r="H66">
        <v>43.37</v>
      </c>
      <c r="I66">
        <v>10</v>
      </c>
      <c r="J66" t="s">
        <v>75</v>
      </c>
      <c r="K66" t="s">
        <v>78</v>
      </c>
      <c r="L66">
        <v>173.48</v>
      </c>
      <c r="M66">
        <v>17.347999999999999</v>
      </c>
      <c r="N66">
        <v>156.13200000000001</v>
      </c>
    </row>
    <row r="67" spans="1:14" x14ac:dyDescent="0.3">
      <c r="A67">
        <v>100066</v>
      </c>
      <c r="B67" s="2">
        <v>45294.708333333343</v>
      </c>
      <c r="C67" t="s">
        <v>15</v>
      </c>
      <c r="D67" t="s">
        <v>53</v>
      </c>
      <c r="E67" t="s">
        <v>70</v>
      </c>
      <c r="F67" t="s">
        <v>72</v>
      </c>
      <c r="G67">
        <v>1</v>
      </c>
      <c r="H67">
        <v>96.03</v>
      </c>
      <c r="I67">
        <v>0</v>
      </c>
      <c r="J67" t="s">
        <v>76</v>
      </c>
      <c r="K67" t="s">
        <v>77</v>
      </c>
      <c r="L67">
        <v>96.03</v>
      </c>
      <c r="M67">
        <v>0</v>
      </c>
      <c r="N67">
        <v>96.03</v>
      </c>
    </row>
    <row r="68" spans="1:14" x14ac:dyDescent="0.3">
      <c r="A68">
        <v>100067</v>
      </c>
      <c r="B68" s="2">
        <v>45294.75</v>
      </c>
      <c r="C68" t="s">
        <v>15</v>
      </c>
      <c r="D68" t="s">
        <v>36</v>
      </c>
      <c r="E68" t="s">
        <v>66</v>
      </c>
      <c r="F68" t="s">
        <v>72</v>
      </c>
      <c r="G68">
        <v>3</v>
      </c>
      <c r="H68">
        <v>56.9</v>
      </c>
      <c r="I68">
        <v>10</v>
      </c>
      <c r="J68" t="s">
        <v>76</v>
      </c>
      <c r="K68" t="s">
        <v>79</v>
      </c>
      <c r="L68">
        <v>170.7</v>
      </c>
      <c r="M68">
        <v>17.07</v>
      </c>
      <c r="N68">
        <v>153.63</v>
      </c>
    </row>
    <row r="69" spans="1:14" x14ac:dyDescent="0.3">
      <c r="A69">
        <v>100068</v>
      </c>
      <c r="B69" s="2">
        <v>45294.791666666657</v>
      </c>
      <c r="C69" t="s">
        <v>14</v>
      </c>
      <c r="D69" t="s">
        <v>38</v>
      </c>
      <c r="E69" t="s">
        <v>69</v>
      </c>
      <c r="F69" t="s">
        <v>72</v>
      </c>
      <c r="G69">
        <v>3</v>
      </c>
      <c r="H69">
        <v>26.1</v>
      </c>
      <c r="I69">
        <v>5</v>
      </c>
      <c r="J69" t="s">
        <v>73</v>
      </c>
      <c r="K69" t="s">
        <v>77</v>
      </c>
      <c r="L69">
        <v>78.300000000000011</v>
      </c>
      <c r="M69">
        <v>3.9150000000000009</v>
      </c>
      <c r="N69">
        <v>74.385000000000005</v>
      </c>
    </row>
    <row r="70" spans="1:14" x14ac:dyDescent="0.3">
      <c r="A70">
        <v>100069</v>
      </c>
      <c r="B70" s="2">
        <v>45294.833333333343</v>
      </c>
      <c r="C70" t="s">
        <v>15</v>
      </c>
      <c r="D70" t="s">
        <v>54</v>
      </c>
      <c r="E70" t="s">
        <v>69</v>
      </c>
      <c r="F70" t="s">
        <v>71</v>
      </c>
      <c r="G70">
        <v>2</v>
      </c>
      <c r="H70">
        <v>103.32</v>
      </c>
      <c r="I70">
        <v>15</v>
      </c>
      <c r="J70" t="s">
        <v>73</v>
      </c>
      <c r="K70" t="s">
        <v>77</v>
      </c>
      <c r="L70">
        <v>206.64</v>
      </c>
      <c r="M70">
        <v>30.995999999999999</v>
      </c>
      <c r="N70">
        <v>175.64400000000001</v>
      </c>
    </row>
    <row r="71" spans="1:14" x14ac:dyDescent="0.3">
      <c r="A71">
        <v>100070</v>
      </c>
      <c r="B71" s="2">
        <v>45294.875</v>
      </c>
      <c r="C71" t="s">
        <v>15</v>
      </c>
      <c r="D71" t="s">
        <v>37</v>
      </c>
      <c r="E71" t="s">
        <v>68</v>
      </c>
      <c r="F71" t="s">
        <v>72</v>
      </c>
      <c r="G71">
        <v>4</v>
      </c>
      <c r="H71">
        <v>106.49</v>
      </c>
      <c r="I71">
        <v>10</v>
      </c>
      <c r="J71" t="s">
        <v>76</v>
      </c>
      <c r="K71" t="s">
        <v>78</v>
      </c>
      <c r="L71">
        <v>425.96</v>
      </c>
      <c r="M71">
        <v>42.595999999999997</v>
      </c>
      <c r="N71">
        <v>383.36399999999998</v>
      </c>
    </row>
    <row r="72" spans="1:14" x14ac:dyDescent="0.3">
      <c r="A72">
        <v>100071</v>
      </c>
      <c r="B72" s="2">
        <v>45294.916666666657</v>
      </c>
      <c r="C72" t="s">
        <v>15</v>
      </c>
      <c r="D72" t="s">
        <v>44</v>
      </c>
      <c r="E72" t="s">
        <v>68</v>
      </c>
      <c r="F72" t="s">
        <v>71</v>
      </c>
      <c r="G72">
        <v>4</v>
      </c>
      <c r="H72">
        <v>58.63</v>
      </c>
      <c r="I72">
        <v>10</v>
      </c>
      <c r="J72" t="s">
        <v>75</v>
      </c>
      <c r="K72" t="s">
        <v>77</v>
      </c>
      <c r="L72">
        <v>234.52</v>
      </c>
      <c r="M72">
        <v>23.452000000000002</v>
      </c>
      <c r="N72">
        <v>211.06800000000001</v>
      </c>
    </row>
    <row r="73" spans="1:14" x14ac:dyDescent="0.3">
      <c r="A73">
        <v>100072</v>
      </c>
      <c r="B73" s="2">
        <v>45294.958333333343</v>
      </c>
      <c r="C73" t="s">
        <v>15</v>
      </c>
      <c r="D73" t="s">
        <v>21</v>
      </c>
      <c r="E73" t="s">
        <v>69</v>
      </c>
      <c r="F73" t="s">
        <v>71</v>
      </c>
      <c r="G73">
        <v>4</v>
      </c>
      <c r="H73">
        <v>13.71</v>
      </c>
      <c r="I73">
        <v>0</v>
      </c>
      <c r="J73" t="s">
        <v>75</v>
      </c>
      <c r="K73" t="s">
        <v>77</v>
      </c>
      <c r="L73">
        <v>54.84</v>
      </c>
      <c r="M73">
        <v>0</v>
      </c>
      <c r="N73">
        <v>54.84</v>
      </c>
    </row>
    <row r="74" spans="1:14" x14ac:dyDescent="0.3">
      <c r="A74">
        <v>100073</v>
      </c>
      <c r="B74" s="2">
        <v>45295</v>
      </c>
      <c r="C74" t="s">
        <v>14</v>
      </c>
      <c r="D74" t="s">
        <v>46</v>
      </c>
      <c r="E74" t="s">
        <v>66</v>
      </c>
      <c r="F74" t="s">
        <v>71</v>
      </c>
      <c r="G74">
        <v>2</v>
      </c>
      <c r="H74">
        <v>49.6</v>
      </c>
      <c r="I74">
        <v>5</v>
      </c>
      <c r="J74" t="s">
        <v>73</v>
      </c>
      <c r="K74" t="s">
        <v>79</v>
      </c>
      <c r="L74">
        <v>99.2</v>
      </c>
      <c r="M74">
        <v>4.9600000000000009</v>
      </c>
      <c r="N74">
        <v>94.240000000000009</v>
      </c>
    </row>
    <row r="75" spans="1:14" x14ac:dyDescent="0.3">
      <c r="A75">
        <v>100074</v>
      </c>
      <c r="B75" s="2">
        <v>45295.041666666657</v>
      </c>
      <c r="C75" t="s">
        <v>15</v>
      </c>
      <c r="D75" t="s">
        <v>55</v>
      </c>
      <c r="E75" t="s">
        <v>69</v>
      </c>
      <c r="F75" t="s">
        <v>71</v>
      </c>
      <c r="G75">
        <v>4</v>
      </c>
      <c r="H75">
        <v>97.41</v>
      </c>
      <c r="I75">
        <v>0</v>
      </c>
      <c r="J75" t="s">
        <v>73</v>
      </c>
      <c r="K75" t="s">
        <v>77</v>
      </c>
      <c r="L75">
        <v>389.64</v>
      </c>
      <c r="M75">
        <v>0</v>
      </c>
      <c r="N75">
        <v>389.64</v>
      </c>
    </row>
    <row r="76" spans="1:14" x14ac:dyDescent="0.3">
      <c r="A76">
        <v>100075</v>
      </c>
      <c r="B76" s="2">
        <v>45295.083333333343</v>
      </c>
      <c r="C76" t="s">
        <v>14</v>
      </c>
      <c r="D76" t="s">
        <v>56</v>
      </c>
      <c r="E76" t="s">
        <v>66</v>
      </c>
      <c r="F76" t="s">
        <v>71</v>
      </c>
      <c r="G76">
        <v>3</v>
      </c>
      <c r="H76">
        <v>108.7</v>
      </c>
      <c r="I76">
        <v>5</v>
      </c>
      <c r="J76" t="s">
        <v>73</v>
      </c>
      <c r="K76" t="s">
        <v>77</v>
      </c>
      <c r="L76">
        <v>326.10000000000002</v>
      </c>
      <c r="M76">
        <v>16.305</v>
      </c>
      <c r="N76">
        <v>309.79500000000002</v>
      </c>
    </row>
    <row r="77" spans="1:14" x14ac:dyDescent="0.3">
      <c r="A77">
        <v>100076</v>
      </c>
      <c r="B77" s="2">
        <v>45295.125</v>
      </c>
      <c r="C77" t="s">
        <v>15</v>
      </c>
      <c r="D77" t="s">
        <v>41</v>
      </c>
      <c r="E77" t="s">
        <v>68</v>
      </c>
      <c r="F77" t="s">
        <v>71</v>
      </c>
      <c r="G77">
        <v>1</v>
      </c>
      <c r="H77">
        <v>28.4</v>
      </c>
      <c r="I77">
        <v>0</v>
      </c>
      <c r="J77" t="s">
        <v>74</v>
      </c>
      <c r="K77" t="s">
        <v>77</v>
      </c>
      <c r="L77">
        <v>28.4</v>
      </c>
      <c r="M77">
        <v>0</v>
      </c>
      <c r="N77">
        <v>28.4</v>
      </c>
    </row>
    <row r="78" spans="1:14" x14ac:dyDescent="0.3">
      <c r="A78">
        <v>100077</v>
      </c>
      <c r="B78" s="2">
        <v>45295.166666666657</v>
      </c>
      <c r="C78" t="s">
        <v>15</v>
      </c>
      <c r="D78" t="s">
        <v>44</v>
      </c>
      <c r="E78" t="s">
        <v>67</v>
      </c>
      <c r="F78" t="s">
        <v>72</v>
      </c>
      <c r="G78">
        <v>3</v>
      </c>
      <c r="H78">
        <v>12.7</v>
      </c>
      <c r="I78">
        <v>10</v>
      </c>
      <c r="J78" t="s">
        <v>74</v>
      </c>
      <c r="K78" t="s">
        <v>77</v>
      </c>
      <c r="L78">
        <v>38.099999999999987</v>
      </c>
      <c r="M78">
        <v>3.81</v>
      </c>
      <c r="N78">
        <v>34.289999999999992</v>
      </c>
    </row>
    <row r="79" spans="1:14" x14ac:dyDescent="0.3">
      <c r="A79">
        <v>100078</v>
      </c>
      <c r="B79" s="2">
        <v>45295.208333333343</v>
      </c>
      <c r="C79" t="s">
        <v>15</v>
      </c>
      <c r="D79" t="s">
        <v>48</v>
      </c>
      <c r="E79" t="s">
        <v>68</v>
      </c>
      <c r="F79" t="s">
        <v>71</v>
      </c>
      <c r="G79">
        <v>3</v>
      </c>
      <c r="H79">
        <v>105.9</v>
      </c>
      <c r="I79">
        <v>0</v>
      </c>
      <c r="J79" t="s">
        <v>73</v>
      </c>
      <c r="K79" t="s">
        <v>77</v>
      </c>
      <c r="L79">
        <v>317.7</v>
      </c>
      <c r="M79">
        <v>0</v>
      </c>
      <c r="N79">
        <v>317.7</v>
      </c>
    </row>
    <row r="80" spans="1:14" x14ac:dyDescent="0.3">
      <c r="A80">
        <v>100079</v>
      </c>
      <c r="B80" s="2">
        <v>45295.25</v>
      </c>
      <c r="C80" t="s">
        <v>14</v>
      </c>
      <c r="D80" t="s">
        <v>34</v>
      </c>
      <c r="E80" t="s">
        <v>68</v>
      </c>
      <c r="F80" t="s">
        <v>72</v>
      </c>
      <c r="G80">
        <v>1</v>
      </c>
      <c r="H80">
        <v>49.78</v>
      </c>
      <c r="I80">
        <v>15</v>
      </c>
      <c r="J80" t="s">
        <v>75</v>
      </c>
      <c r="K80" t="s">
        <v>77</v>
      </c>
      <c r="L80">
        <v>49.78</v>
      </c>
      <c r="M80">
        <v>7.4669999999999996</v>
      </c>
      <c r="N80">
        <v>42.313000000000002</v>
      </c>
    </row>
    <row r="81" spans="1:14" x14ac:dyDescent="0.3">
      <c r="A81">
        <v>100080</v>
      </c>
      <c r="B81" s="2">
        <v>45295.291666666657</v>
      </c>
      <c r="C81" t="s">
        <v>15</v>
      </c>
      <c r="D81" t="s">
        <v>57</v>
      </c>
      <c r="E81" t="s">
        <v>70</v>
      </c>
      <c r="F81" t="s">
        <v>72</v>
      </c>
      <c r="G81">
        <v>3</v>
      </c>
      <c r="H81">
        <v>67.3</v>
      </c>
      <c r="I81">
        <v>5</v>
      </c>
      <c r="J81" t="s">
        <v>73</v>
      </c>
      <c r="K81" t="s">
        <v>77</v>
      </c>
      <c r="L81">
        <v>201.9</v>
      </c>
      <c r="M81">
        <v>10.095000000000001</v>
      </c>
      <c r="N81">
        <v>191.80500000000001</v>
      </c>
    </row>
    <row r="82" spans="1:14" x14ac:dyDescent="0.3">
      <c r="A82">
        <v>100081</v>
      </c>
      <c r="B82" s="2">
        <v>45295.333333333343</v>
      </c>
      <c r="C82" t="s">
        <v>14</v>
      </c>
      <c r="D82" t="s">
        <v>36</v>
      </c>
      <c r="E82" t="s">
        <v>70</v>
      </c>
      <c r="F82" t="s">
        <v>71</v>
      </c>
      <c r="G82">
        <v>2</v>
      </c>
      <c r="H82">
        <v>116.33</v>
      </c>
      <c r="I82">
        <v>5</v>
      </c>
      <c r="J82" t="s">
        <v>74</v>
      </c>
      <c r="K82" t="s">
        <v>77</v>
      </c>
      <c r="L82">
        <v>232.66</v>
      </c>
      <c r="M82">
        <v>11.632999999999999</v>
      </c>
      <c r="N82">
        <v>221.02699999999999</v>
      </c>
    </row>
    <row r="83" spans="1:14" x14ac:dyDescent="0.3">
      <c r="A83">
        <v>100082</v>
      </c>
      <c r="B83" s="2">
        <v>45295.375</v>
      </c>
      <c r="C83" t="s">
        <v>15</v>
      </c>
      <c r="D83" t="s">
        <v>58</v>
      </c>
      <c r="E83" t="s">
        <v>70</v>
      </c>
      <c r="F83" t="s">
        <v>71</v>
      </c>
      <c r="G83">
        <v>1</v>
      </c>
      <c r="H83">
        <v>12.65</v>
      </c>
      <c r="I83">
        <v>10</v>
      </c>
      <c r="J83" t="s">
        <v>75</v>
      </c>
      <c r="K83" t="s">
        <v>77</v>
      </c>
      <c r="L83">
        <v>12.65</v>
      </c>
      <c r="M83">
        <v>1.2649999999999999</v>
      </c>
      <c r="N83">
        <v>11.385</v>
      </c>
    </row>
    <row r="84" spans="1:14" x14ac:dyDescent="0.3">
      <c r="A84">
        <v>100083</v>
      </c>
      <c r="B84" s="2">
        <v>45295.416666666657</v>
      </c>
      <c r="C84" t="s">
        <v>14</v>
      </c>
      <c r="D84" t="s">
        <v>28</v>
      </c>
      <c r="E84" t="s">
        <v>70</v>
      </c>
      <c r="F84" t="s">
        <v>71</v>
      </c>
      <c r="G84">
        <v>3</v>
      </c>
      <c r="H84">
        <v>79.56</v>
      </c>
      <c r="I84">
        <v>5</v>
      </c>
      <c r="J84" t="s">
        <v>74</v>
      </c>
      <c r="K84" t="s">
        <v>77</v>
      </c>
      <c r="L84">
        <v>238.68</v>
      </c>
      <c r="M84">
        <v>11.933999999999999</v>
      </c>
      <c r="N84">
        <v>226.74600000000001</v>
      </c>
    </row>
    <row r="85" spans="1:14" x14ac:dyDescent="0.3">
      <c r="A85">
        <v>100084</v>
      </c>
      <c r="B85" s="2">
        <v>45295.458333333343</v>
      </c>
      <c r="C85" t="s">
        <v>15</v>
      </c>
      <c r="D85" t="s">
        <v>33</v>
      </c>
      <c r="E85" t="s">
        <v>66</v>
      </c>
      <c r="F85" t="s">
        <v>72</v>
      </c>
      <c r="G85">
        <v>5</v>
      </c>
      <c r="H85">
        <v>13.52</v>
      </c>
      <c r="I85">
        <v>15</v>
      </c>
      <c r="J85" t="s">
        <v>75</v>
      </c>
      <c r="K85" t="s">
        <v>77</v>
      </c>
      <c r="L85">
        <v>67.599999999999994</v>
      </c>
      <c r="M85">
        <v>10.14</v>
      </c>
      <c r="N85">
        <v>57.459999999999987</v>
      </c>
    </row>
    <row r="86" spans="1:14" x14ac:dyDescent="0.3">
      <c r="A86">
        <v>100085</v>
      </c>
      <c r="B86" s="2">
        <v>45295.5</v>
      </c>
      <c r="C86" t="s">
        <v>14</v>
      </c>
      <c r="D86" t="s">
        <v>33</v>
      </c>
      <c r="E86" t="s">
        <v>69</v>
      </c>
      <c r="F86" t="s">
        <v>71</v>
      </c>
      <c r="G86">
        <v>3</v>
      </c>
      <c r="H86">
        <v>48.18</v>
      </c>
      <c r="I86">
        <v>0</v>
      </c>
      <c r="J86" t="s">
        <v>74</v>
      </c>
      <c r="K86" t="s">
        <v>77</v>
      </c>
      <c r="L86">
        <v>144.54</v>
      </c>
      <c r="M86">
        <v>0</v>
      </c>
      <c r="N86">
        <v>144.54</v>
      </c>
    </row>
    <row r="87" spans="1:14" x14ac:dyDescent="0.3">
      <c r="A87">
        <v>100086</v>
      </c>
      <c r="B87" s="2">
        <v>45295.541666666657</v>
      </c>
      <c r="C87" t="s">
        <v>14</v>
      </c>
      <c r="D87" t="s">
        <v>16</v>
      </c>
      <c r="E87" t="s">
        <v>67</v>
      </c>
      <c r="F87" t="s">
        <v>72</v>
      </c>
      <c r="G87">
        <v>2</v>
      </c>
      <c r="H87">
        <v>97.44</v>
      </c>
      <c r="I87">
        <v>10</v>
      </c>
      <c r="J87" t="s">
        <v>75</v>
      </c>
      <c r="K87" t="s">
        <v>77</v>
      </c>
      <c r="L87">
        <v>194.88</v>
      </c>
      <c r="M87">
        <v>19.488</v>
      </c>
      <c r="N87">
        <v>175.392</v>
      </c>
    </row>
    <row r="88" spans="1:14" x14ac:dyDescent="0.3">
      <c r="A88">
        <v>100087</v>
      </c>
      <c r="B88" s="2">
        <v>45295.583333333343</v>
      </c>
      <c r="C88" t="s">
        <v>15</v>
      </c>
      <c r="D88" t="s">
        <v>22</v>
      </c>
      <c r="E88" t="s">
        <v>68</v>
      </c>
      <c r="F88" t="s">
        <v>71</v>
      </c>
      <c r="G88">
        <v>4</v>
      </c>
      <c r="H88">
        <v>54.85</v>
      </c>
      <c r="I88">
        <v>15</v>
      </c>
      <c r="J88" t="s">
        <v>75</v>
      </c>
      <c r="K88" t="s">
        <v>77</v>
      </c>
      <c r="L88">
        <v>219.4</v>
      </c>
      <c r="M88">
        <v>32.909999999999997</v>
      </c>
      <c r="N88">
        <v>186.49</v>
      </c>
    </row>
    <row r="89" spans="1:14" x14ac:dyDescent="0.3">
      <c r="A89">
        <v>100088</v>
      </c>
      <c r="B89" s="2">
        <v>45295.625</v>
      </c>
      <c r="C89" t="s">
        <v>14</v>
      </c>
      <c r="D89" t="s">
        <v>29</v>
      </c>
      <c r="E89" t="s">
        <v>66</v>
      </c>
      <c r="F89" t="s">
        <v>71</v>
      </c>
      <c r="G89">
        <v>3</v>
      </c>
      <c r="H89">
        <v>119.68</v>
      </c>
      <c r="I89">
        <v>5</v>
      </c>
      <c r="J89" t="s">
        <v>75</v>
      </c>
      <c r="K89" t="s">
        <v>77</v>
      </c>
      <c r="L89">
        <v>359.04</v>
      </c>
      <c r="M89">
        <v>17.952000000000002</v>
      </c>
      <c r="N89">
        <v>341.08800000000002</v>
      </c>
    </row>
    <row r="90" spans="1:14" x14ac:dyDescent="0.3">
      <c r="A90">
        <v>100089</v>
      </c>
      <c r="B90" s="2">
        <v>45295.666666666657</v>
      </c>
      <c r="C90" t="s">
        <v>15</v>
      </c>
      <c r="D90" t="s">
        <v>49</v>
      </c>
      <c r="E90" t="s">
        <v>67</v>
      </c>
      <c r="F90" t="s">
        <v>72</v>
      </c>
      <c r="G90">
        <v>4</v>
      </c>
      <c r="H90">
        <v>69.290000000000006</v>
      </c>
      <c r="I90">
        <v>5</v>
      </c>
      <c r="J90" t="s">
        <v>75</v>
      </c>
      <c r="K90" t="s">
        <v>77</v>
      </c>
      <c r="L90">
        <v>277.16000000000003</v>
      </c>
      <c r="M90">
        <v>13.858000000000001</v>
      </c>
      <c r="N90">
        <v>263.30200000000002</v>
      </c>
    </row>
    <row r="91" spans="1:14" x14ac:dyDescent="0.3">
      <c r="A91">
        <v>100090</v>
      </c>
      <c r="B91" s="2">
        <v>45295.708333333343</v>
      </c>
      <c r="C91" t="s">
        <v>15</v>
      </c>
      <c r="D91" t="s">
        <v>59</v>
      </c>
      <c r="E91" t="s">
        <v>66</v>
      </c>
      <c r="F91" t="s">
        <v>72</v>
      </c>
      <c r="G91">
        <v>5</v>
      </c>
      <c r="H91">
        <v>41.93</v>
      </c>
      <c r="I91">
        <v>15</v>
      </c>
      <c r="J91" t="s">
        <v>76</v>
      </c>
      <c r="K91" t="s">
        <v>78</v>
      </c>
      <c r="L91">
        <v>209.65</v>
      </c>
      <c r="M91">
        <v>31.447500000000002</v>
      </c>
      <c r="N91">
        <v>178.20249999999999</v>
      </c>
    </row>
    <row r="92" spans="1:14" x14ac:dyDescent="0.3">
      <c r="A92">
        <v>100091</v>
      </c>
      <c r="B92" s="2">
        <v>45295.75</v>
      </c>
      <c r="C92" t="s">
        <v>15</v>
      </c>
      <c r="D92" t="s">
        <v>50</v>
      </c>
      <c r="E92" t="s">
        <v>66</v>
      </c>
      <c r="F92" t="s">
        <v>71</v>
      </c>
      <c r="G92">
        <v>3</v>
      </c>
      <c r="H92">
        <v>30.31</v>
      </c>
      <c r="I92">
        <v>0</v>
      </c>
      <c r="J92" t="s">
        <v>74</v>
      </c>
      <c r="K92" t="s">
        <v>77</v>
      </c>
      <c r="L92">
        <v>90.929999999999993</v>
      </c>
      <c r="M92">
        <v>0</v>
      </c>
      <c r="N92">
        <v>90.929999999999993</v>
      </c>
    </row>
    <row r="93" spans="1:14" x14ac:dyDescent="0.3">
      <c r="A93">
        <v>100092</v>
      </c>
      <c r="B93" s="2">
        <v>45295.791666666657</v>
      </c>
      <c r="C93" t="s">
        <v>15</v>
      </c>
      <c r="D93" t="s">
        <v>40</v>
      </c>
      <c r="E93" t="s">
        <v>68</v>
      </c>
      <c r="F93" t="s">
        <v>72</v>
      </c>
      <c r="G93">
        <v>1</v>
      </c>
      <c r="H93">
        <v>45.31</v>
      </c>
      <c r="I93">
        <v>0</v>
      </c>
      <c r="J93" t="s">
        <v>74</v>
      </c>
      <c r="K93" t="s">
        <v>77</v>
      </c>
      <c r="L93">
        <v>45.31</v>
      </c>
      <c r="M93">
        <v>0</v>
      </c>
      <c r="N93">
        <v>45.31</v>
      </c>
    </row>
    <row r="94" spans="1:14" x14ac:dyDescent="0.3">
      <c r="A94">
        <v>100093</v>
      </c>
      <c r="B94" s="2">
        <v>45295.833333333343</v>
      </c>
      <c r="C94" t="s">
        <v>15</v>
      </c>
      <c r="D94" t="s">
        <v>52</v>
      </c>
      <c r="E94" t="s">
        <v>69</v>
      </c>
      <c r="F94" t="s">
        <v>72</v>
      </c>
      <c r="G94">
        <v>4</v>
      </c>
      <c r="H94">
        <v>47.84</v>
      </c>
      <c r="I94">
        <v>10</v>
      </c>
      <c r="J94" t="s">
        <v>76</v>
      </c>
      <c r="K94" t="s">
        <v>77</v>
      </c>
      <c r="L94">
        <v>191.36</v>
      </c>
      <c r="M94">
        <v>19.135999999999999</v>
      </c>
      <c r="N94">
        <v>172.22399999999999</v>
      </c>
    </row>
    <row r="95" spans="1:14" x14ac:dyDescent="0.3">
      <c r="A95">
        <v>100094</v>
      </c>
      <c r="B95" s="2">
        <v>45295.875</v>
      </c>
      <c r="C95" t="s">
        <v>15</v>
      </c>
      <c r="D95" t="s">
        <v>31</v>
      </c>
      <c r="E95" t="s">
        <v>70</v>
      </c>
      <c r="F95" t="s">
        <v>72</v>
      </c>
      <c r="G95">
        <v>5</v>
      </c>
      <c r="H95">
        <v>12.9</v>
      </c>
      <c r="I95">
        <v>5</v>
      </c>
      <c r="J95" t="s">
        <v>75</v>
      </c>
      <c r="K95" t="s">
        <v>77</v>
      </c>
      <c r="L95">
        <v>64.5</v>
      </c>
      <c r="M95">
        <v>3.2250000000000001</v>
      </c>
      <c r="N95">
        <v>61.274999999999999</v>
      </c>
    </row>
    <row r="96" spans="1:14" x14ac:dyDescent="0.3">
      <c r="A96">
        <v>100095</v>
      </c>
      <c r="B96" s="2">
        <v>45295.916666666657</v>
      </c>
      <c r="C96" t="s">
        <v>15</v>
      </c>
      <c r="D96" t="s">
        <v>39</v>
      </c>
      <c r="E96" t="s">
        <v>69</v>
      </c>
      <c r="F96" t="s">
        <v>72</v>
      </c>
      <c r="G96">
        <v>1</v>
      </c>
      <c r="H96">
        <v>47.5</v>
      </c>
      <c r="I96">
        <v>15</v>
      </c>
      <c r="J96" t="s">
        <v>75</v>
      </c>
      <c r="K96" t="s">
        <v>78</v>
      </c>
      <c r="L96">
        <v>47.5</v>
      </c>
      <c r="M96">
        <v>7.125</v>
      </c>
      <c r="N96">
        <v>40.375</v>
      </c>
    </row>
    <row r="97" spans="1:14" x14ac:dyDescent="0.3">
      <c r="A97">
        <v>100096</v>
      </c>
      <c r="B97" s="2">
        <v>45295.958333333343</v>
      </c>
      <c r="C97" t="s">
        <v>15</v>
      </c>
      <c r="D97" t="s">
        <v>56</v>
      </c>
      <c r="E97" t="s">
        <v>68</v>
      </c>
      <c r="F97" t="s">
        <v>72</v>
      </c>
      <c r="G97">
        <v>1</v>
      </c>
      <c r="H97">
        <v>58.39</v>
      </c>
      <c r="I97">
        <v>0</v>
      </c>
      <c r="J97" t="s">
        <v>74</v>
      </c>
      <c r="K97" t="s">
        <v>78</v>
      </c>
      <c r="L97">
        <v>58.39</v>
      </c>
      <c r="M97">
        <v>0</v>
      </c>
      <c r="N97">
        <v>58.39</v>
      </c>
    </row>
    <row r="98" spans="1:14" x14ac:dyDescent="0.3">
      <c r="A98">
        <v>100097</v>
      </c>
      <c r="B98" s="2">
        <v>45296</v>
      </c>
      <c r="C98" t="s">
        <v>15</v>
      </c>
      <c r="D98" t="s">
        <v>47</v>
      </c>
      <c r="E98" t="s">
        <v>68</v>
      </c>
      <c r="F98" t="s">
        <v>71</v>
      </c>
      <c r="G98">
        <v>1</v>
      </c>
      <c r="H98">
        <v>88.11</v>
      </c>
      <c r="I98">
        <v>10</v>
      </c>
      <c r="J98" t="s">
        <v>76</v>
      </c>
      <c r="K98" t="s">
        <v>77</v>
      </c>
      <c r="L98">
        <v>88.11</v>
      </c>
      <c r="M98">
        <v>8.8109999999999999</v>
      </c>
      <c r="N98">
        <v>79.299000000000007</v>
      </c>
    </row>
    <row r="99" spans="1:14" x14ac:dyDescent="0.3">
      <c r="A99">
        <v>100098</v>
      </c>
      <c r="B99" s="2">
        <v>45296.041666666657</v>
      </c>
      <c r="C99" t="s">
        <v>15</v>
      </c>
      <c r="D99" t="s">
        <v>44</v>
      </c>
      <c r="E99" t="s">
        <v>68</v>
      </c>
      <c r="F99" t="s">
        <v>71</v>
      </c>
      <c r="G99">
        <v>1</v>
      </c>
      <c r="H99">
        <v>80.52</v>
      </c>
      <c r="I99">
        <v>5</v>
      </c>
      <c r="J99" t="s">
        <v>75</v>
      </c>
      <c r="K99" t="s">
        <v>77</v>
      </c>
      <c r="L99">
        <v>80.52</v>
      </c>
      <c r="M99">
        <v>4.0259999999999998</v>
      </c>
      <c r="N99">
        <v>76.494</v>
      </c>
    </row>
    <row r="100" spans="1:14" x14ac:dyDescent="0.3">
      <c r="A100">
        <v>100099</v>
      </c>
      <c r="B100" s="2">
        <v>45296.083333333343</v>
      </c>
      <c r="C100" t="s">
        <v>15</v>
      </c>
      <c r="D100" t="s">
        <v>47</v>
      </c>
      <c r="E100" t="s">
        <v>67</v>
      </c>
      <c r="F100" t="s">
        <v>72</v>
      </c>
      <c r="G100">
        <v>3</v>
      </c>
      <c r="H100">
        <v>86.51</v>
      </c>
      <c r="I100">
        <v>5</v>
      </c>
      <c r="J100" t="s">
        <v>75</v>
      </c>
      <c r="K100" t="s">
        <v>78</v>
      </c>
      <c r="L100">
        <v>259.52999999999997</v>
      </c>
      <c r="M100">
        <v>12.9765</v>
      </c>
      <c r="N100">
        <v>246.55350000000001</v>
      </c>
    </row>
    <row r="101" spans="1:14" x14ac:dyDescent="0.3">
      <c r="A101">
        <v>100100</v>
      </c>
      <c r="B101" s="2">
        <v>45296.125</v>
      </c>
      <c r="C101" t="s">
        <v>14</v>
      </c>
      <c r="D101" t="s">
        <v>34</v>
      </c>
      <c r="E101" t="s">
        <v>69</v>
      </c>
      <c r="F101" t="s">
        <v>71</v>
      </c>
      <c r="G101">
        <v>3</v>
      </c>
      <c r="H101">
        <v>5.96</v>
      </c>
      <c r="I101">
        <v>10</v>
      </c>
      <c r="J101" t="s">
        <v>75</v>
      </c>
      <c r="K101" t="s">
        <v>79</v>
      </c>
      <c r="L101">
        <v>17.88</v>
      </c>
      <c r="M101">
        <v>1.788</v>
      </c>
      <c r="N101">
        <v>16.091999999999999</v>
      </c>
    </row>
    <row r="102" spans="1:14" x14ac:dyDescent="0.3">
      <c r="A102">
        <v>100101</v>
      </c>
      <c r="B102" s="2">
        <v>45296.166666666657</v>
      </c>
      <c r="C102" t="s">
        <v>14</v>
      </c>
      <c r="D102" t="s">
        <v>44</v>
      </c>
      <c r="E102" t="s">
        <v>69</v>
      </c>
      <c r="F102" t="s">
        <v>71</v>
      </c>
      <c r="G102">
        <v>3</v>
      </c>
      <c r="H102">
        <v>30.03</v>
      </c>
      <c r="I102">
        <v>10</v>
      </c>
      <c r="J102" t="s">
        <v>73</v>
      </c>
      <c r="K102" t="s">
        <v>77</v>
      </c>
      <c r="L102">
        <v>90.09</v>
      </c>
      <c r="M102">
        <v>9.0090000000000003</v>
      </c>
      <c r="N102">
        <v>81.081000000000003</v>
      </c>
    </row>
    <row r="103" spans="1:14" x14ac:dyDescent="0.3">
      <c r="A103">
        <v>100102</v>
      </c>
      <c r="B103" s="2">
        <v>45296.208333333343</v>
      </c>
      <c r="C103" t="s">
        <v>15</v>
      </c>
      <c r="D103" t="s">
        <v>27</v>
      </c>
      <c r="E103" t="s">
        <v>66</v>
      </c>
      <c r="F103" t="s">
        <v>72</v>
      </c>
      <c r="G103">
        <v>5</v>
      </c>
      <c r="H103">
        <v>81.09</v>
      </c>
      <c r="I103">
        <v>0</v>
      </c>
      <c r="J103" t="s">
        <v>76</v>
      </c>
      <c r="K103" t="s">
        <v>77</v>
      </c>
      <c r="L103">
        <v>405.45</v>
      </c>
      <c r="M103">
        <v>0</v>
      </c>
      <c r="N103">
        <v>405.45</v>
      </c>
    </row>
    <row r="104" spans="1:14" x14ac:dyDescent="0.3">
      <c r="A104">
        <v>100103</v>
      </c>
      <c r="B104" s="2">
        <v>45296.25</v>
      </c>
      <c r="C104" t="s">
        <v>15</v>
      </c>
      <c r="D104" t="s">
        <v>33</v>
      </c>
      <c r="E104" t="s">
        <v>66</v>
      </c>
      <c r="F104" t="s">
        <v>71</v>
      </c>
      <c r="G104">
        <v>5</v>
      </c>
      <c r="H104">
        <v>60.66</v>
      </c>
      <c r="I104">
        <v>15</v>
      </c>
      <c r="J104" t="s">
        <v>75</v>
      </c>
      <c r="K104" t="s">
        <v>77</v>
      </c>
      <c r="L104">
        <v>303.3</v>
      </c>
      <c r="M104">
        <v>45.49499999999999</v>
      </c>
      <c r="N104">
        <v>257.80499999999989</v>
      </c>
    </row>
    <row r="105" spans="1:14" x14ac:dyDescent="0.3">
      <c r="A105">
        <v>100104</v>
      </c>
      <c r="B105" s="2">
        <v>45296.291666666657</v>
      </c>
      <c r="C105" t="s">
        <v>15</v>
      </c>
      <c r="D105" t="s">
        <v>59</v>
      </c>
      <c r="E105" t="s">
        <v>66</v>
      </c>
      <c r="F105" t="s">
        <v>72</v>
      </c>
      <c r="G105">
        <v>5</v>
      </c>
      <c r="H105">
        <v>5.61</v>
      </c>
      <c r="I105">
        <v>5</v>
      </c>
      <c r="J105" t="s">
        <v>73</v>
      </c>
      <c r="K105" t="s">
        <v>79</v>
      </c>
      <c r="L105">
        <v>28.05</v>
      </c>
      <c r="M105">
        <v>1.4025000000000001</v>
      </c>
      <c r="N105">
        <v>26.647500000000001</v>
      </c>
    </row>
    <row r="106" spans="1:14" x14ac:dyDescent="0.3">
      <c r="A106">
        <v>100105</v>
      </c>
      <c r="B106" s="2">
        <v>45296.333333333343</v>
      </c>
      <c r="C106" t="s">
        <v>15</v>
      </c>
      <c r="D106" t="s">
        <v>43</v>
      </c>
      <c r="E106" t="s">
        <v>68</v>
      </c>
      <c r="F106" t="s">
        <v>72</v>
      </c>
      <c r="G106">
        <v>2</v>
      </c>
      <c r="H106">
        <v>97.52</v>
      </c>
      <c r="I106">
        <v>15</v>
      </c>
      <c r="J106" t="s">
        <v>76</v>
      </c>
      <c r="K106" t="s">
        <v>77</v>
      </c>
      <c r="L106">
        <v>195.04</v>
      </c>
      <c r="M106">
        <v>29.256</v>
      </c>
      <c r="N106">
        <v>165.78399999999999</v>
      </c>
    </row>
    <row r="107" spans="1:14" x14ac:dyDescent="0.3">
      <c r="A107">
        <v>100106</v>
      </c>
      <c r="B107" s="2">
        <v>45296.375</v>
      </c>
      <c r="C107" t="s">
        <v>15</v>
      </c>
      <c r="D107" t="s">
        <v>44</v>
      </c>
      <c r="E107" t="s">
        <v>69</v>
      </c>
      <c r="F107" t="s">
        <v>71</v>
      </c>
      <c r="G107">
        <v>5</v>
      </c>
      <c r="H107">
        <v>93.87</v>
      </c>
      <c r="I107">
        <v>5</v>
      </c>
      <c r="J107" t="s">
        <v>75</v>
      </c>
      <c r="K107" t="s">
        <v>77</v>
      </c>
      <c r="L107">
        <v>469.35</v>
      </c>
      <c r="M107">
        <v>23.467500000000001</v>
      </c>
      <c r="N107">
        <v>445.88250000000011</v>
      </c>
    </row>
    <row r="108" spans="1:14" x14ac:dyDescent="0.3">
      <c r="A108">
        <v>100107</v>
      </c>
      <c r="B108" s="2">
        <v>45296.416666666657</v>
      </c>
      <c r="C108" t="s">
        <v>15</v>
      </c>
      <c r="D108" t="s">
        <v>47</v>
      </c>
      <c r="E108" t="s">
        <v>68</v>
      </c>
      <c r="F108" t="s">
        <v>72</v>
      </c>
      <c r="G108">
        <v>3</v>
      </c>
      <c r="H108">
        <v>68.069999999999993</v>
      </c>
      <c r="I108">
        <v>5</v>
      </c>
      <c r="J108" t="s">
        <v>74</v>
      </c>
      <c r="K108" t="s">
        <v>77</v>
      </c>
      <c r="L108">
        <v>204.21</v>
      </c>
      <c r="M108">
        <v>10.2105</v>
      </c>
      <c r="N108">
        <v>193.99950000000001</v>
      </c>
    </row>
    <row r="109" spans="1:14" x14ac:dyDescent="0.3">
      <c r="A109">
        <v>100108</v>
      </c>
      <c r="B109" s="2">
        <v>45296.458333333343</v>
      </c>
      <c r="C109" t="s">
        <v>15</v>
      </c>
      <c r="D109" t="s">
        <v>18</v>
      </c>
      <c r="E109" t="s">
        <v>67</v>
      </c>
      <c r="F109" t="s">
        <v>72</v>
      </c>
      <c r="G109">
        <v>3</v>
      </c>
      <c r="H109">
        <v>12.64</v>
      </c>
      <c r="I109">
        <v>15</v>
      </c>
      <c r="J109" t="s">
        <v>73</v>
      </c>
      <c r="K109" t="s">
        <v>77</v>
      </c>
      <c r="L109">
        <v>37.92</v>
      </c>
      <c r="M109">
        <v>5.6879999999999997</v>
      </c>
      <c r="N109">
        <v>32.231999999999999</v>
      </c>
    </row>
    <row r="110" spans="1:14" x14ac:dyDescent="0.3">
      <c r="A110">
        <v>100109</v>
      </c>
      <c r="B110" s="2">
        <v>45296.5</v>
      </c>
      <c r="C110" t="s">
        <v>15</v>
      </c>
      <c r="D110" t="s">
        <v>60</v>
      </c>
      <c r="E110" t="s">
        <v>66</v>
      </c>
      <c r="F110" t="s">
        <v>72</v>
      </c>
      <c r="G110">
        <v>2</v>
      </c>
      <c r="H110">
        <v>93.15</v>
      </c>
      <c r="I110">
        <v>10</v>
      </c>
      <c r="J110" t="s">
        <v>73</v>
      </c>
      <c r="K110" t="s">
        <v>77</v>
      </c>
      <c r="L110">
        <v>186.3</v>
      </c>
      <c r="M110">
        <v>18.63</v>
      </c>
      <c r="N110">
        <v>167.67</v>
      </c>
    </row>
    <row r="111" spans="1:14" x14ac:dyDescent="0.3">
      <c r="A111">
        <v>100110</v>
      </c>
      <c r="B111" s="2">
        <v>45296.541666666657</v>
      </c>
      <c r="C111" t="s">
        <v>14</v>
      </c>
      <c r="D111" t="s">
        <v>59</v>
      </c>
      <c r="E111" t="s">
        <v>68</v>
      </c>
      <c r="F111" t="s">
        <v>72</v>
      </c>
      <c r="G111">
        <v>2</v>
      </c>
      <c r="H111">
        <v>72.13</v>
      </c>
      <c r="I111">
        <v>0</v>
      </c>
      <c r="J111" t="s">
        <v>75</v>
      </c>
      <c r="K111" t="s">
        <v>79</v>
      </c>
      <c r="L111">
        <v>144.26</v>
      </c>
      <c r="M111">
        <v>0</v>
      </c>
      <c r="N111">
        <v>144.26</v>
      </c>
    </row>
    <row r="112" spans="1:14" x14ac:dyDescent="0.3">
      <c r="A112">
        <v>100111</v>
      </c>
      <c r="B112" s="2">
        <v>45296.583333333343</v>
      </c>
      <c r="C112" t="s">
        <v>15</v>
      </c>
      <c r="D112" t="s">
        <v>33</v>
      </c>
      <c r="E112" t="s">
        <v>68</v>
      </c>
      <c r="F112" t="s">
        <v>72</v>
      </c>
      <c r="G112">
        <v>5</v>
      </c>
      <c r="H112">
        <v>94.93</v>
      </c>
      <c r="I112">
        <v>5</v>
      </c>
      <c r="J112" t="s">
        <v>75</v>
      </c>
      <c r="K112" t="s">
        <v>77</v>
      </c>
      <c r="L112">
        <v>474.65</v>
      </c>
      <c r="M112">
        <v>23.732500000000002</v>
      </c>
      <c r="N112">
        <v>450.91750000000002</v>
      </c>
    </row>
    <row r="113" spans="1:14" x14ac:dyDescent="0.3">
      <c r="A113">
        <v>100112</v>
      </c>
      <c r="B113" s="2">
        <v>45296.625</v>
      </c>
      <c r="C113" t="s">
        <v>14</v>
      </c>
      <c r="D113" t="s">
        <v>61</v>
      </c>
      <c r="E113" t="s">
        <v>67</v>
      </c>
      <c r="F113" t="s">
        <v>71</v>
      </c>
      <c r="G113">
        <v>4</v>
      </c>
      <c r="H113">
        <v>91.45</v>
      </c>
      <c r="I113">
        <v>10</v>
      </c>
      <c r="J113" t="s">
        <v>73</v>
      </c>
      <c r="K113" t="s">
        <v>77</v>
      </c>
      <c r="L113">
        <v>365.8</v>
      </c>
      <c r="M113">
        <v>36.580000000000013</v>
      </c>
      <c r="N113">
        <v>329.22</v>
      </c>
    </row>
    <row r="114" spans="1:14" x14ac:dyDescent="0.3">
      <c r="A114">
        <v>100113</v>
      </c>
      <c r="B114" s="2">
        <v>45296.666666666657</v>
      </c>
      <c r="C114" t="s">
        <v>15</v>
      </c>
      <c r="D114" t="s">
        <v>16</v>
      </c>
      <c r="E114" t="s">
        <v>70</v>
      </c>
      <c r="F114" t="s">
        <v>71</v>
      </c>
      <c r="G114">
        <v>2</v>
      </c>
      <c r="H114">
        <v>97.35</v>
      </c>
      <c r="I114">
        <v>5</v>
      </c>
      <c r="J114" t="s">
        <v>74</v>
      </c>
      <c r="K114" t="s">
        <v>77</v>
      </c>
      <c r="L114">
        <v>194.7</v>
      </c>
      <c r="M114">
        <v>9.7349999999999994</v>
      </c>
      <c r="N114">
        <v>184.965</v>
      </c>
    </row>
    <row r="115" spans="1:14" x14ac:dyDescent="0.3">
      <c r="A115">
        <v>100114</v>
      </c>
      <c r="B115" s="2">
        <v>45296.708333333343</v>
      </c>
      <c r="C115" t="s">
        <v>15</v>
      </c>
      <c r="D115" t="s">
        <v>28</v>
      </c>
      <c r="E115" t="s">
        <v>69</v>
      </c>
      <c r="F115" t="s">
        <v>72</v>
      </c>
      <c r="G115">
        <v>1</v>
      </c>
      <c r="H115">
        <v>64.569999999999993</v>
      </c>
      <c r="I115">
        <v>0</v>
      </c>
      <c r="J115" t="s">
        <v>74</v>
      </c>
      <c r="K115" t="s">
        <v>77</v>
      </c>
      <c r="L115">
        <v>64.569999999999993</v>
      </c>
      <c r="M115">
        <v>0</v>
      </c>
      <c r="N115">
        <v>64.569999999999993</v>
      </c>
    </row>
    <row r="116" spans="1:14" x14ac:dyDescent="0.3">
      <c r="A116">
        <v>100115</v>
      </c>
      <c r="B116" s="2">
        <v>45296.75</v>
      </c>
      <c r="C116" t="s">
        <v>14</v>
      </c>
      <c r="D116" t="s">
        <v>23</v>
      </c>
      <c r="E116" t="s">
        <v>70</v>
      </c>
      <c r="F116" t="s">
        <v>72</v>
      </c>
      <c r="G116">
        <v>3</v>
      </c>
      <c r="H116">
        <v>21.14</v>
      </c>
      <c r="I116">
        <v>5</v>
      </c>
      <c r="J116" t="s">
        <v>76</v>
      </c>
      <c r="K116" t="s">
        <v>77</v>
      </c>
      <c r="L116">
        <v>63.42</v>
      </c>
      <c r="M116">
        <v>3.1709999999999998</v>
      </c>
      <c r="N116">
        <v>60.249000000000002</v>
      </c>
    </row>
    <row r="117" spans="1:14" x14ac:dyDescent="0.3">
      <c r="A117">
        <v>100116</v>
      </c>
      <c r="B117" s="2">
        <v>45296.791666666657</v>
      </c>
      <c r="C117" t="s">
        <v>15</v>
      </c>
      <c r="D117" t="s">
        <v>53</v>
      </c>
      <c r="E117" t="s">
        <v>66</v>
      </c>
      <c r="F117" t="s">
        <v>71</v>
      </c>
      <c r="G117">
        <v>1</v>
      </c>
      <c r="H117">
        <v>82.18</v>
      </c>
      <c r="I117">
        <v>0</v>
      </c>
      <c r="J117" t="s">
        <v>75</v>
      </c>
      <c r="K117" t="s">
        <v>77</v>
      </c>
      <c r="L117">
        <v>82.18</v>
      </c>
      <c r="M117">
        <v>0</v>
      </c>
      <c r="N117">
        <v>82.18</v>
      </c>
    </row>
    <row r="118" spans="1:14" x14ac:dyDescent="0.3">
      <c r="A118">
        <v>100117</v>
      </c>
      <c r="B118" s="2">
        <v>45296.833333333343</v>
      </c>
      <c r="C118" t="s">
        <v>14</v>
      </c>
      <c r="D118" t="s">
        <v>32</v>
      </c>
      <c r="E118" t="s">
        <v>68</v>
      </c>
      <c r="F118" t="s">
        <v>72</v>
      </c>
      <c r="G118">
        <v>3</v>
      </c>
      <c r="H118">
        <v>76.349999999999994</v>
      </c>
      <c r="I118">
        <v>0</v>
      </c>
      <c r="J118" t="s">
        <v>74</v>
      </c>
      <c r="K118" t="s">
        <v>77</v>
      </c>
      <c r="L118">
        <v>229.05</v>
      </c>
      <c r="M118">
        <v>0</v>
      </c>
      <c r="N118">
        <v>229.05</v>
      </c>
    </row>
    <row r="119" spans="1:14" x14ac:dyDescent="0.3">
      <c r="A119">
        <v>100118</v>
      </c>
      <c r="B119" s="2">
        <v>45296.875</v>
      </c>
      <c r="C119" t="s">
        <v>15</v>
      </c>
      <c r="D119" t="s">
        <v>16</v>
      </c>
      <c r="E119" t="s">
        <v>67</v>
      </c>
      <c r="F119" t="s">
        <v>71</v>
      </c>
      <c r="G119">
        <v>3</v>
      </c>
      <c r="H119">
        <v>90.36</v>
      </c>
      <c r="I119">
        <v>5</v>
      </c>
      <c r="J119" t="s">
        <v>76</v>
      </c>
      <c r="K119" t="s">
        <v>77</v>
      </c>
      <c r="L119">
        <v>271.08</v>
      </c>
      <c r="M119">
        <v>13.554</v>
      </c>
      <c r="N119">
        <v>257.52600000000001</v>
      </c>
    </row>
    <row r="120" spans="1:14" x14ac:dyDescent="0.3">
      <c r="A120">
        <v>100119</v>
      </c>
      <c r="B120" s="2">
        <v>45296.916666666657</v>
      </c>
      <c r="C120" t="s">
        <v>15</v>
      </c>
      <c r="D120" t="s">
        <v>32</v>
      </c>
      <c r="E120" t="s">
        <v>67</v>
      </c>
      <c r="F120" t="s">
        <v>72</v>
      </c>
      <c r="G120">
        <v>2</v>
      </c>
      <c r="H120">
        <v>24.54</v>
      </c>
      <c r="I120">
        <v>5</v>
      </c>
      <c r="J120" t="s">
        <v>74</v>
      </c>
      <c r="K120" t="s">
        <v>77</v>
      </c>
      <c r="L120">
        <v>49.08</v>
      </c>
      <c r="M120">
        <v>2.4540000000000002</v>
      </c>
      <c r="N120">
        <v>46.625999999999998</v>
      </c>
    </row>
    <row r="121" spans="1:14" x14ac:dyDescent="0.3">
      <c r="A121">
        <v>100120</v>
      </c>
      <c r="B121" s="2">
        <v>45296.958333333343</v>
      </c>
      <c r="C121" t="s">
        <v>14</v>
      </c>
      <c r="D121" t="s">
        <v>16</v>
      </c>
      <c r="E121" t="s">
        <v>69</v>
      </c>
      <c r="F121" t="s">
        <v>72</v>
      </c>
      <c r="G121">
        <v>2</v>
      </c>
      <c r="H121">
        <v>27.42</v>
      </c>
      <c r="I121">
        <v>0</v>
      </c>
      <c r="J121" t="s">
        <v>75</v>
      </c>
      <c r="K121" t="s">
        <v>77</v>
      </c>
      <c r="L121">
        <v>54.84</v>
      </c>
      <c r="M121">
        <v>0</v>
      </c>
      <c r="N121">
        <v>54.84</v>
      </c>
    </row>
    <row r="122" spans="1:14" x14ac:dyDescent="0.3">
      <c r="A122">
        <v>100121</v>
      </c>
      <c r="B122" s="2">
        <v>45297</v>
      </c>
      <c r="C122" t="s">
        <v>15</v>
      </c>
      <c r="D122" t="s">
        <v>19</v>
      </c>
      <c r="E122" t="s">
        <v>70</v>
      </c>
      <c r="F122" t="s">
        <v>72</v>
      </c>
      <c r="G122">
        <v>1</v>
      </c>
      <c r="H122">
        <v>107.4</v>
      </c>
      <c r="I122">
        <v>10</v>
      </c>
      <c r="J122" t="s">
        <v>76</v>
      </c>
      <c r="K122" t="s">
        <v>79</v>
      </c>
      <c r="L122">
        <v>107.4</v>
      </c>
      <c r="M122">
        <v>10.74</v>
      </c>
      <c r="N122">
        <v>96.66</v>
      </c>
    </row>
    <row r="123" spans="1:14" x14ac:dyDescent="0.3">
      <c r="A123">
        <v>100122</v>
      </c>
      <c r="B123" s="2">
        <v>45297.041666666657</v>
      </c>
      <c r="C123" t="s">
        <v>14</v>
      </c>
      <c r="D123" t="s">
        <v>60</v>
      </c>
      <c r="E123" t="s">
        <v>69</v>
      </c>
      <c r="F123" t="s">
        <v>72</v>
      </c>
      <c r="G123">
        <v>3</v>
      </c>
      <c r="H123">
        <v>91.25</v>
      </c>
      <c r="I123">
        <v>15</v>
      </c>
      <c r="J123" t="s">
        <v>76</v>
      </c>
      <c r="K123" t="s">
        <v>78</v>
      </c>
      <c r="L123">
        <v>273.75</v>
      </c>
      <c r="M123">
        <v>41.0625</v>
      </c>
      <c r="N123">
        <v>232.6875</v>
      </c>
    </row>
    <row r="124" spans="1:14" x14ac:dyDescent="0.3">
      <c r="A124">
        <v>100123</v>
      </c>
      <c r="B124" s="2">
        <v>45297.083333333343</v>
      </c>
      <c r="C124" t="s">
        <v>15</v>
      </c>
      <c r="D124" t="s">
        <v>28</v>
      </c>
      <c r="E124" t="s">
        <v>68</v>
      </c>
      <c r="F124" t="s">
        <v>72</v>
      </c>
      <c r="G124">
        <v>1</v>
      </c>
      <c r="H124">
        <v>109.45</v>
      </c>
      <c r="I124">
        <v>0</v>
      </c>
      <c r="J124" t="s">
        <v>76</v>
      </c>
      <c r="K124" t="s">
        <v>77</v>
      </c>
      <c r="L124">
        <v>109.45</v>
      </c>
      <c r="M124">
        <v>0</v>
      </c>
      <c r="N124">
        <v>109.45</v>
      </c>
    </row>
    <row r="125" spans="1:14" x14ac:dyDescent="0.3">
      <c r="A125">
        <v>100124</v>
      </c>
      <c r="B125" s="2">
        <v>45297.125</v>
      </c>
      <c r="C125" t="s">
        <v>14</v>
      </c>
      <c r="D125" t="s">
        <v>44</v>
      </c>
      <c r="E125" t="s">
        <v>69</v>
      </c>
      <c r="F125" t="s">
        <v>72</v>
      </c>
      <c r="G125">
        <v>4</v>
      </c>
      <c r="H125">
        <v>92.25</v>
      </c>
      <c r="I125">
        <v>5</v>
      </c>
      <c r="J125" t="s">
        <v>74</v>
      </c>
      <c r="K125" t="s">
        <v>77</v>
      </c>
      <c r="L125">
        <v>369</v>
      </c>
      <c r="M125">
        <v>18.45</v>
      </c>
      <c r="N125">
        <v>350.55</v>
      </c>
    </row>
    <row r="126" spans="1:14" x14ac:dyDescent="0.3">
      <c r="A126">
        <v>100125</v>
      </c>
      <c r="B126" s="2">
        <v>45297.166666666657</v>
      </c>
      <c r="C126" t="s">
        <v>14</v>
      </c>
      <c r="D126" t="s">
        <v>26</v>
      </c>
      <c r="E126" t="s">
        <v>67</v>
      </c>
      <c r="F126" t="s">
        <v>72</v>
      </c>
      <c r="G126">
        <v>1</v>
      </c>
      <c r="H126">
        <v>73.67</v>
      </c>
      <c r="I126">
        <v>5</v>
      </c>
      <c r="J126" t="s">
        <v>75</v>
      </c>
      <c r="K126" t="s">
        <v>78</v>
      </c>
      <c r="L126">
        <v>73.67</v>
      </c>
      <c r="M126">
        <v>3.6835</v>
      </c>
      <c r="N126">
        <v>69.986500000000007</v>
      </c>
    </row>
    <row r="127" spans="1:14" x14ac:dyDescent="0.3">
      <c r="A127">
        <v>100126</v>
      </c>
      <c r="B127" s="2">
        <v>45297.208333333343</v>
      </c>
      <c r="C127" t="s">
        <v>15</v>
      </c>
      <c r="D127" t="s">
        <v>31</v>
      </c>
      <c r="E127" t="s">
        <v>67</v>
      </c>
      <c r="F127" t="s">
        <v>71</v>
      </c>
      <c r="G127">
        <v>5</v>
      </c>
      <c r="H127">
        <v>80.23</v>
      </c>
      <c r="I127">
        <v>10</v>
      </c>
      <c r="J127" t="s">
        <v>76</v>
      </c>
      <c r="K127" t="s">
        <v>77</v>
      </c>
      <c r="L127">
        <v>401.15</v>
      </c>
      <c r="M127">
        <v>40.115000000000009</v>
      </c>
      <c r="N127">
        <v>361.03500000000003</v>
      </c>
    </row>
    <row r="128" spans="1:14" x14ac:dyDescent="0.3">
      <c r="A128">
        <v>100127</v>
      </c>
      <c r="B128" s="2">
        <v>45297.25</v>
      </c>
      <c r="C128" t="s">
        <v>15</v>
      </c>
      <c r="D128" t="s">
        <v>20</v>
      </c>
      <c r="E128" t="s">
        <v>66</v>
      </c>
      <c r="F128" t="s">
        <v>71</v>
      </c>
      <c r="G128">
        <v>1</v>
      </c>
      <c r="H128">
        <v>107.25</v>
      </c>
      <c r="I128">
        <v>15</v>
      </c>
      <c r="J128" t="s">
        <v>73</v>
      </c>
      <c r="K128" t="s">
        <v>77</v>
      </c>
      <c r="L128">
        <v>107.25</v>
      </c>
      <c r="M128">
        <v>16.087499999999999</v>
      </c>
      <c r="N128">
        <v>91.162499999999994</v>
      </c>
    </row>
    <row r="129" spans="1:14" x14ac:dyDescent="0.3">
      <c r="A129">
        <v>100128</v>
      </c>
      <c r="B129" s="2">
        <v>45297.291666666657</v>
      </c>
      <c r="C129" t="s">
        <v>14</v>
      </c>
      <c r="D129" t="s">
        <v>62</v>
      </c>
      <c r="E129" t="s">
        <v>66</v>
      </c>
      <c r="F129" t="s">
        <v>71</v>
      </c>
      <c r="G129">
        <v>5</v>
      </c>
      <c r="H129">
        <v>71.56</v>
      </c>
      <c r="I129">
        <v>0</v>
      </c>
      <c r="J129" t="s">
        <v>75</v>
      </c>
      <c r="K129" t="s">
        <v>78</v>
      </c>
      <c r="L129">
        <v>357.8</v>
      </c>
      <c r="M129">
        <v>0</v>
      </c>
      <c r="N129">
        <v>357.8</v>
      </c>
    </row>
    <row r="130" spans="1:14" x14ac:dyDescent="0.3">
      <c r="A130">
        <v>100129</v>
      </c>
      <c r="B130" s="2">
        <v>45297.333333333343</v>
      </c>
      <c r="C130" t="s">
        <v>15</v>
      </c>
      <c r="D130" t="s">
        <v>62</v>
      </c>
      <c r="E130" t="s">
        <v>68</v>
      </c>
      <c r="F130" t="s">
        <v>72</v>
      </c>
      <c r="G130">
        <v>5</v>
      </c>
      <c r="H130">
        <v>77.73</v>
      </c>
      <c r="I130">
        <v>0</v>
      </c>
      <c r="J130" t="s">
        <v>73</v>
      </c>
      <c r="K130" t="s">
        <v>77</v>
      </c>
      <c r="L130">
        <v>388.65</v>
      </c>
      <c r="M130">
        <v>0</v>
      </c>
      <c r="N130">
        <v>388.65</v>
      </c>
    </row>
    <row r="131" spans="1:14" x14ac:dyDescent="0.3">
      <c r="A131">
        <v>100130</v>
      </c>
      <c r="B131" s="2">
        <v>45297.375</v>
      </c>
      <c r="C131" t="s">
        <v>15</v>
      </c>
      <c r="D131" t="s">
        <v>22</v>
      </c>
      <c r="E131" t="s">
        <v>70</v>
      </c>
      <c r="F131" t="s">
        <v>72</v>
      </c>
      <c r="G131">
        <v>5</v>
      </c>
      <c r="H131">
        <v>22.99</v>
      </c>
      <c r="I131">
        <v>15</v>
      </c>
      <c r="J131" t="s">
        <v>73</v>
      </c>
      <c r="K131" t="s">
        <v>77</v>
      </c>
      <c r="L131">
        <v>114.95</v>
      </c>
      <c r="M131">
        <v>17.2425</v>
      </c>
      <c r="N131">
        <v>97.707499999999996</v>
      </c>
    </row>
    <row r="132" spans="1:14" x14ac:dyDescent="0.3">
      <c r="A132">
        <v>100131</v>
      </c>
      <c r="B132" s="2">
        <v>45297.416666666657</v>
      </c>
      <c r="C132" t="s">
        <v>15</v>
      </c>
      <c r="D132" t="s">
        <v>39</v>
      </c>
      <c r="E132" t="s">
        <v>69</v>
      </c>
      <c r="F132" t="s">
        <v>72</v>
      </c>
      <c r="G132">
        <v>4</v>
      </c>
      <c r="H132">
        <v>59.5</v>
      </c>
      <c r="I132">
        <v>0</v>
      </c>
      <c r="J132" t="s">
        <v>76</v>
      </c>
      <c r="K132" t="s">
        <v>79</v>
      </c>
      <c r="L132">
        <v>238</v>
      </c>
      <c r="M132">
        <v>0</v>
      </c>
      <c r="N132">
        <v>238</v>
      </c>
    </row>
    <row r="133" spans="1:14" x14ac:dyDescent="0.3">
      <c r="A133">
        <v>100132</v>
      </c>
      <c r="B133" s="2">
        <v>45297.458333333343</v>
      </c>
      <c r="C133" t="s">
        <v>14</v>
      </c>
      <c r="D133" t="s">
        <v>29</v>
      </c>
      <c r="E133" t="s">
        <v>68</v>
      </c>
      <c r="F133" t="s">
        <v>72</v>
      </c>
      <c r="G133">
        <v>1</v>
      </c>
      <c r="H133">
        <v>87.39</v>
      </c>
      <c r="I133">
        <v>15</v>
      </c>
      <c r="J133" t="s">
        <v>76</v>
      </c>
      <c r="K133" t="s">
        <v>77</v>
      </c>
      <c r="L133">
        <v>87.39</v>
      </c>
      <c r="M133">
        <v>13.108499999999999</v>
      </c>
      <c r="N133">
        <v>74.281499999999994</v>
      </c>
    </row>
    <row r="134" spans="1:14" x14ac:dyDescent="0.3">
      <c r="A134">
        <v>100133</v>
      </c>
      <c r="B134" s="2">
        <v>45297.5</v>
      </c>
      <c r="C134" t="s">
        <v>14</v>
      </c>
      <c r="D134" t="s">
        <v>49</v>
      </c>
      <c r="E134" t="s">
        <v>66</v>
      </c>
      <c r="F134" t="s">
        <v>72</v>
      </c>
      <c r="G134">
        <v>1</v>
      </c>
      <c r="H134">
        <v>36.159999999999997</v>
      </c>
      <c r="I134">
        <v>5</v>
      </c>
      <c r="J134" t="s">
        <v>74</v>
      </c>
      <c r="K134" t="s">
        <v>77</v>
      </c>
      <c r="L134">
        <v>36.159999999999997</v>
      </c>
      <c r="M134">
        <v>1.8080000000000001</v>
      </c>
      <c r="N134">
        <v>34.351999999999997</v>
      </c>
    </row>
    <row r="135" spans="1:14" x14ac:dyDescent="0.3">
      <c r="A135">
        <v>100134</v>
      </c>
      <c r="B135" s="2">
        <v>45297.541666666657</v>
      </c>
      <c r="C135" t="s">
        <v>14</v>
      </c>
      <c r="D135" t="s">
        <v>63</v>
      </c>
      <c r="E135" t="s">
        <v>69</v>
      </c>
      <c r="F135" t="s">
        <v>72</v>
      </c>
      <c r="G135">
        <v>4</v>
      </c>
      <c r="H135">
        <v>28.26</v>
      </c>
      <c r="I135">
        <v>15</v>
      </c>
      <c r="J135" t="s">
        <v>74</v>
      </c>
      <c r="K135" t="s">
        <v>77</v>
      </c>
      <c r="L135">
        <v>113.04</v>
      </c>
      <c r="M135">
        <v>16.956</v>
      </c>
      <c r="N135">
        <v>96.084000000000003</v>
      </c>
    </row>
    <row r="136" spans="1:14" x14ac:dyDescent="0.3">
      <c r="A136">
        <v>100135</v>
      </c>
      <c r="B136" s="2">
        <v>45297.583333333343</v>
      </c>
      <c r="C136" t="s">
        <v>14</v>
      </c>
      <c r="D136" t="s">
        <v>46</v>
      </c>
      <c r="E136" t="s">
        <v>66</v>
      </c>
      <c r="F136" t="s">
        <v>72</v>
      </c>
      <c r="G136">
        <v>3</v>
      </c>
      <c r="H136">
        <v>41.09</v>
      </c>
      <c r="I136">
        <v>0</v>
      </c>
      <c r="J136" t="s">
        <v>74</v>
      </c>
      <c r="K136" t="s">
        <v>77</v>
      </c>
      <c r="L136">
        <v>123.27</v>
      </c>
      <c r="M136">
        <v>0</v>
      </c>
      <c r="N136">
        <v>123.27</v>
      </c>
    </row>
    <row r="137" spans="1:14" x14ac:dyDescent="0.3">
      <c r="A137">
        <v>100136</v>
      </c>
      <c r="B137" s="2">
        <v>45297.625</v>
      </c>
      <c r="C137" t="s">
        <v>14</v>
      </c>
      <c r="D137" t="s">
        <v>39</v>
      </c>
      <c r="E137" t="s">
        <v>69</v>
      </c>
      <c r="F137" t="s">
        <v>71</v>
      </c>
      <c r="G137">
        <v>2</v>
      </c>
      <c r="H137">
        <v>32.770000000000003</v>
      </c>
      <c r="I137">
        <v>15</v>
      </c>
      <c r="J137" t="s">
        <v>75</v>
      </c>
      <c r="K137" t="s">
        <v>77</v>
      </c>
      <c r="L137">
        <v>65.540000000000006</v>
      </c>
      <c r="M137">
        <v>9.8310000000000013</v>
      </c>
      <c r="N137">
        <v>55.709000000000003</v>
      </c>
    </row>
    <row r="138" spans="1:14" x14ac:dyDescent="0.3">
      <c r="A138">
        <v>100137</v>
      </c>
      <c r="B138" s="2">
        <v>45297.666666666657</v>
      </c>
      <c r="C138" t="s">
        <v>14</v>
      </c>
      <c r="D138" t="s">
        <v>63</v>
      </c>
      <c r="E138" t="s">
        <v>70</v>
      </c>
      <c r="F138" t="s">
        <v>72</v>
      </c>
      <c r="G138">
        <v>1</v>
      </c>
      <c r="H138">
        <v>29.71</v>
      </c>
      <c r="I138">
        <v>10</v>
      </c>
      <c r="J138" t="s">
        <v>74</v>
      </c>
      <c r="K138" t="s">
        <v>77</v>
      </c>
      <c r="L138">
        <v>29.71</v>
      </c>
      <c r="M138">
        <v>2.9710000000000001</v>
      </c>
      <c r="N138">
        <v>26.739000000000001</v>
      </c>
    </row>
    <row r="139" spans="1:14" x14ac:dyDescent="0.3">
      <c r="A139">
        <v>100138</v>
      </c>
      <c r="B139" s="2">
        <v>45297.708333333343</v>
      </c>
      <c r="C139" t="s">
        <v>14</v>
      </c>
      <c r="D139" t="s">
        <v>55</v>
      </c>
      <c r="E139" t="s">
        <v>68</v>
      </c>
      <c r="F139" t="s">
        <v>71</v>
      </c>
      <c r="G139">
        <v>2</v>
      </c>
      <c r="H139">
        <v>53.86</v>
      </c>
      <c r="I139">
        <v>5</v>
      </c>
      <c r="J139" t="s">
        <v>73</v>
      </c>
      <c r="K139" t="s">
        <v>79</v>
      </c>
      <c r="L139">
        <v>107.72</v>
      </c>
      <c r="M139">
        <v>5.3860000000000001</v>
      </c>
      <c r="N139">
        <v>102.334</v>
      </c>
    </row>
    <row r="140" spans="1:14" x14ac:dyDescent="0.3">
      <c r="A140">
        <v>100139</v>
      </c>
      <c r="B140" s="2">
        <v>45297.75</v>
      </c>
      <c r="C140" t="s">
        <v>14</v>
      </c>
      <c r="D140" t="s">
        <v>53</v>
      </c>
      <c r="E140" t="s">
        <v>69</v>
      </c>
      <c r="F140" t="s">
        <v>71</v>
      </c>
      <c r="G140">
        <v>4</v>
      </c>
      <c r="H140">
        <v>109.4</v>
      </c>
      <c r="I140">
        <v>5</v>
      </c>
      <c r="J140" t="s">
        <v>74</v>
      </c>
      <c r="K140" t="s">
        <v>77</v>
      </c>
      <c r="L140">
        <v>437.6</v>
      </c>
      <c r="M140">
        <v>21.88</v>
      </c>
      <c r="N140">
        <v>415.72</v>
      </c>
    </row>
    <row r="141" spans="1:14" x14ac:dyDescent="0.3">
      <c r="A141">
        <v>100140</v>
      </c>
      <c r="B141" s="2">
        <v>45297.791666666657</v>
      </c>
      <c r="C141" t="s">
        <v>14</v>
      </c>
      <c r="D141" t="s">
        <v>54</v>
      </c>
      <c r="E141" t="s">
        <v>67</v>
      </c>
      <c r="F141" t="s">
        <v>72</v>
      </c>
      <c r="G141">
        <v>3</v>
      </c>
      <c r="H141">
        <v>63.31</v>
      </c>
      <c r="I141">
        <v>15</v>
      </c>
      <c r="J141" t="s">
        <v>76</v>
      </c>
      <c r="K141" t="s">
        <v>77</v>
      </c>
      <c r="L141">
        <v>189.93</v>
      </c>
      <c r="M141">
        <v>28.4895</v>
      </c>
      <c r="N141">
        <v>161.44049999999999</v>
      </c>
    </row>
    <row r="142" spans="1:14" x14ac:dyDescent="0.3">
      <c r="A142">
        <v>100141</v>
      </c>
      <c r="B142" s="2">
        <v>45297.833333333343</v>
      </c>
      <c r="C142" t="s">
        <v>15</v>
      </c>
      <c r="D142" t="s">
        <v>53</v>
      </c>
      <c r="E142" t="s">
        <v>67</v>
      </c>
      <c r="F142" t="s">
        <v>72</v>
      </c>
      <c r="G142">
        <v>3</v>
      </c>
      <c r="H142">
        <v>26.61</v>
      </c>
      <c r="I142">
        <v>0</v>
      </c>
      <c r="J142" t="s">
        <v>74</v>
      </c>
      <c r="K142" t="s">
        <v>77</v>
      </c>
      <c r="L142">
        <v>79.83</v>
      </c>
      <c r="M142">
        <v>0</v>
      </c>
      <c r="N142">
        <v>79.83</v>
      </c>
    </row>
    <row r="143" spans="1:14" x14ac:dyDescent="0.3">
      <c r="A143">
        <v>100142</v>
      </c>
      <c r="B143" s="2">
        <v>45297.875</v>
      </c>
      <c r="C143" t="s">
        <v>14</v>
      </c>
      <c r="D143" t="s">
        <v>30</v>
      </c>
      <c r="E143" t="s">
        <v>69</v>
      </c>
      <c r="F143" t="s">
        <v>71</v>
      </c>
      <c r="G143">
        <v>3</v>
      </c>
      <c r="H143">
        <v>13.85</v>
      </c>
      <c r="I143">
        <v>10</v>
      </c>
      <c r="J143" t="s">
        <v>75</v>
      </c>
      <c r="K143" t="s">
        <v>77</v>
      </c>
      <c r="L143">
        <v>41.55</v>
      </c>
      <c r="M143">
        <v>4.1550000000000002</v>
      </c>
      <c r="N143">
        <v>37.395000000000003</v>
      </c>
    </row>
    <row r="144" spans="1:14" x14ac:dyDescent="0.3">
      <c r="A144">
        <v>100143</v>
      </c>
      <c r="B144" s="2">
        <v>45297.916666666657</v>
      </c>
      <c r="C144" t="s">
        <v>15</v>
      </c>
      <c r="D144" t="s">
        <v>48</v>
      </c>
      <c r="E144" t="s">
        <v>69</v>
      </c>
      <c r="F144" t="s">
        <v>71</v>
      </c>
      <c r="G144">
        <v>4</v>
      </c>
      <c r="H144">
        <v>85.06</v>
      </c>
      <c r="I144">
        <v>5</v>
      </c>
      <c r="J144" t="s">
        <v>75</v>
      </c>
      <c r="K144" t="s">
        <v>77</v>
      </c>
      <c r="L144">
        <v>340.24</v>
      </c>
      <c r="M144">
        <v>17.012</v>
      </c>
      <c r="N144">
        <v>323.22800000000001</v>
      </c>
    </row>
    <row r="145" spans="1:14" x14ac:dyDescent="0.3">
      <c r="A145">
        <v>100144</v>
      </c>
      <c r="B145" s="2">
        <v>45297.958333333343</v>
      </c>
      <c r="C145" t="s">
        <v>15</v>
      </c>
      <c r="D145" t="s">
        <v>37</v>
      </c>
      <c r="E145" t="s">
        <v>69</v>
      </c>
      <c r="F145" t="s">
        <v>72</v>
      </c>
      <c r="G145">
        <v>5</v>
      </c>
      <c r="H145">
        <v>49.02</v>
      </c>
      <c r="I145">
        <v>5</v>
      </c>
      <c r="J145" t="s">
        <v>73</v>
      </c>
      <c r="K145" t="s">
        <v>79</v>
      </c>
      <c r="L145">
        <v>245.1</v>
      </c>
      <c r="M145">
        <v>12.255000000000001</v>
      </c>
      <c r="N145">
        <v>232.845</v>
      </c>
    </row>
    <row r="146" spans="1:14" x14ac:dyDescent="0.3">
      <c r="A146">
        <v>100145</v>
      </c>
      <c r="B146" s="2">
        <v>45298</v>
      </c>
      <c r="C146" t="s">
        <v>15</v>
      </c>
      <c r="D146" t="s">
        <v>48</v>
      </c>
      <c r="E146" t="s">
        <v>67</v>
      </c>
      <c r="F146" t="s">
        <v>72</v>
      </c>
      <c r="G146">
        <v>5</v>
      </c>
      <c r="H146">
        <v>99.51</v>
      </c>
      <c r="I146">
        <v>0</v>
      </c>
      <c r="J146" t="s">
        <v>75</v>
      </c>
      <c r="K146" t="s">
        <v>78</v>
      </c>
      <c r="L146">
        <v>497.55</v>
      </c>
      <c r="M146">
        <v>0</v>
      </c>
      <c r="N146">
        <v>497.55</v>
      </c>
    </row>
    <row r="147" spans="1:14" x14ac:dyDescent="0.3">
      <c r="A147">
        <v>100146</v>
      </c>
      <c r="B147" s="2">
        <v>45298.041666666657</v>
      </c>
      <c r="C147" t="s">
        <v>14</v>
      </c>
      <c r="D147" t="s">
        <v>43</v>
      </c>
      <c r="E147" t="s">
        <v>67</v>
      </c>
      <c r="F147" t="s">
        <v>71</v>
      </c>
      <c r="G147">
        <v>2</v>
      </c>
      <c r="H147">
        <v>80.84</v>
      </c>
      <c r="I147">
        <v>0</v>
      </c>
      <c r="J147" t="s">
        <v>74</v>
      </c>
      <c r="K147" t="s">
        <v>77</v>
      </c>
      <c r="L147">
        <v>161.68</v>
      </c>
      <c r="M147">
        <v>0</v>
      </c>
      <c r="N147">
        <v>161.68</v>
      </c>
    </row>
    <row r="148" spans="1:14" x14ac:dyDescent="0.3">
      <c r="A148">
        <v>100147</v>
      </c>
      <c r="B148" s="2">
        <v>45298.083333333343</v>
      </c>
      <c r="C148" t="s">
        <v>14</v>
      </c>
      <c r="D148" t="s">
        <v>23</v>
      </c>
      <c r="E148" t="s">
        <v>69</v>
      </c>
      <c r="F148" t="s">
        <v>72</v>
      </c>
      <c r="G148">
        <v>5</v>
      </c>
      <c r="H148">
        <v>96.57</v>
      </c>
      <c r="I148">
        <v>10</v>
      </c>
      <c r="J148" t="s">
        <v>76</v>
      </c>
      <c r="K148" t="s">
        <v>77</v>
      </c>
      <c r="L148">
        <v>482.85</v>
      </c>
      <c r="M148">
        <v>48.284999999999997</v>
      </c>
      <c r="N148">
        <v>434.56499999999988</v>
      </c>
    </row>
    <row r="149" spans="1:14" x14ac:dyDescent="0.3">
      <c r="A149">
        <v>100148</v>
      </c>
      <c r="B149" s="2">
        <v>45298.125</v>
      </c>
      <c r="C149" t="s">
        <v>14</v>
      </c>
      <c r="D149" t="s">
        <v>37</v>
      </c>
      <c r="E149" t="s">
        <v>66</v>
      </c>
      <c r="F149" t="s">
        <v>72</v>
      </c>
      <c r="G149">
        <v>5</v>
      </c>
      <c r="H149">
        <v>36.270000000000003</v>
      </c>
      <c r="I149">
        <v>15</v>
      </c>
      <c r="J149" t="s">
        <v>75</v>
      </c>
      <c r="K149" t="s">
        <v>77</v>
      </c>
      <c r="L149">
        <v>181.35</v>
      </c>
      <c r="M149">
        <v>27.202500000000001</v>
      </c>
      <c r="N149">
        <v>154.14750000000001</v>
      </c>
    </row>
    <row r="150" spans="1:14" x14ac:dyDescent="0.3">
      <c r="A150">
        <v>100149</v>
      </c>
      <c r="B150" s="2">
        <v>45298.166666666657</v>
      </c>
      <c r="C150" t="s">
        <v>14</v>
      </c>
      <c r="D150" t="s">
        <v>34</v>
      </c>
      <c r="E150" t="s">
        <v>66</v>
      </c>
      <c r="F150" t="s">
        <v>72</v>
      </c>
      <c r="G150">
        <v>3</v>
      </c>
      <c r="H150">
        <v>84.62</v>
      </c>
      <c r="I150">
        <v>0</v>
      </c>
      <c r="J150" t="s">
        <v>73</v>
      </c>
      <c r="K150" t="s">
        <v>77</v>
      </c>
      <c r="L150">
        <v>253.86</v>
      </c>
      <c r="M150">
        <v>0</v>
      </c>
      <c r="N150">
        <v>253.86</v>
      </c>
    </row>
    <row r="151" spans="1:14" x14ac:dyDescent="0.3">
      <c r="A151">
        <v>100150</v>
      </c>
      <c r="B151" s="2">
        <v>45298.208333333343</v>
      </c>
      <c r="C151" t="s">
        <v>15</v>
      </c>
      <c r="D151" t="s">
        <v>51</v>
      </c>
      <c r="E151" t="s">
        <v>70</v>
      </c>
      <c r="F151" t="s">
        <v>71</v>
      </c>
      <c r="G151">
        <v>3</v>
      </c>
      <c r="H151">
        <v>35.369999999999997</v>
      </c>
      <c r="I151">
        <v>15</v>
      </c>
      <c r="J151" t="s">
        <v>74</v>
      </c>
      <c r="K151" t="s">
        <v>77</v>
      </c>
      <c r="L151">
        <v>106.11</v>
      </c>
      <c r="M151">
        <v>15.916499999999999</v>
      </c>
      <c r="N151">
        <v>90.193499999999986</v>
      </c>
    </row>
    <row r="152" spans="1:14" x14ac:dyDescent="0.3">
      <c r="A152">
        <v>100151</v>
      </c>
      <c r="B152" s="2">
        <v>45298.25</v>
      </c>
      <c r="C152" t="s">
        <v>14</v>
      </c>
      <c r="D152" t="s">
        <v>40</v>
      </c>
      <c r="E152" t="s">
        <v>68</v>
      </c>
      <c r="F152" t="s">
        <v>71</v>
      </c>
      <c r="G152">
        <v>2</v>
      </c>
      <c r="H152">
        <v>112.99</v>
      </c>
      <c r="I152">
        <v>10</v>
      </c>
      <c r="J152" t="s">
        <v>73</v>
      </c>
      <c r="K152" t="s">
        <v>77</v>
      </c>
      <c r="L152">
        <v>225.98</v>
      </c>
      <c r="M152">
        <v>22.597999999999999</v>
      </c>
      <c r="N152">
        <v>203.38200000000001</v>
      </c>
    </row>
    <row r="153" spans="1:14" x14ac:dyDescent="0.3">
      <c r="A153">
        <v>100152</v>
      </c>
      <c r="B153" s="2">
        <v>45298.291666666657</v>
      </c>
      <c r="C153" t="s">
        <v>14</v>
      </c>
      <c r="D153" t="s">
        <v>28</v>
      </c>
      <c r="E153" t="s">
        <v>66</v>
      </c>
      <c r="F153" t="s">
        <v>71</v>
      </c>
      <c r="G153">
        <v>1</v>
      </c>
      <c r="H153">
        <v>78.180000000000007</v>
      </c>
      <c r="I153">
        <v>15</v>
      </c>
      <c r="J153" t="s">
        <v>75</v>
      </c>
      <c r="K153" t="s">
        <v>79</v>
      </c>
      <c r="L153">
        <v>78.180000000000007</v>
      </c>
      <c r="M153">
        <v>11.727</v>
      </c>
      <c r="N153">
        <v>66.453000000000003</v>
      </c>
    </row>
    <row r="154" spans="1:14" x14ac:dyDescent="0.3">
      <c r="A154">
        <v>100153</v>
      </c>
      <c r="B154" s="2">
        <v>45298.333333333343</v>
      </c>
      <c r="C154" t="s">
        <v>14</v>
      </c>
      <c r="D154" t="s">
        <v>27</v>
      </c>
      <c r="E154" t="s">
        <v>67</v>
      </c>
      <c r="F154" t="s">
        <v>72</v>
      </c>
      <c r="G154">
        <v>2</v>
      </c>
      <c r="H154">
        <v>42.32</v>
      </c>
      <c r="I154">
        <v>5</v>
      </c>
      <c r="J154" t="s">
        <v>75</v>
      </c>
      <c r="K154" t="s">
        <v>77</v>
      </c>
      <c r="L154">
        <v>84.64</v>
      </c>
      <c r="M154">
        <v>4.2320000000000002</v>
      </c>
      <c r="N154">
        <v>80.408000000000001</v>
      </c>
    </row>
    <row r="155" spans="1:14" x14ac:dyDescent="0.3">
      <c r="A155">
        <v>100154</v>
      </c>
      <c r="B155" s="2">
        <v>45298.375</v>
      </c>
      <c r="C155" t="s">
        <v>14</v>
      </c>
      <c r="D155" t="s">
        <v>21</v>
      </c>
      <c r="E155" t="s">
        <v>66</v>
      </c>
      <c r="F155" t="s">
        <v>72</v>
      </c>
      <c r="G155">
        <v>2</v>
      </c>
      <c r="H155">
        <v>35.99</v>
      </c>
      <c r="I155">
        <v>15</v>
      </c>
      <c r="J155" t="s">
        <v>73</v>
      </c>
      <c r="K155" t="s">
        <v>77</v>
      </c>
      <c r="L155">
        <v>71.98</v>
      </c>
      <c r="M155">
        <v>10.797000000000001</v>
      </c>
      <c r="N155">
        <v>61.183000000000007</v>
      </c>
    </row>
    <row r="156" spans="1:14" x14ac:dyDescent="0.3">
      <c r="A156">
        <v>100155</v>
      </c>
      <c r="B156" s="2">
        <v>45298.416666666657</v>
      </c>
      <c r="C156" t="s">
        <v>14</v>
      </c>
      <c r="D156" t="s">
        <v>61</v>
      </c>
      <c r="E156" t="s">
        <v>70</v>
      </c>
      <c r="F156" t="s">
        <v>71</v>
      </c>
      <c r="G156">
        <v>4</v>
      </c>
      <c r="H156">
        <v>26.96</v>
      </c>
      <c r="I156">
        <v>10</v>
      </c>
      <c r="J156" t="s">
        <v>74</v>
      </c>
      <c r="K156" t="s">
        <v>77</v>
      </c>
      <c r="L156">
        <v>107.84</v>
      </c>
      <c r="M156">
        <v>10.784000000000001</v>
      </c>
      <c r="N156">
        <v>97.055999999999997</v>
      </c>
    </row>
    <row r="157" spans="1:14" x14ac:dyDescent="0.3">
      <c r="A157">
        <v>100156</v>
      </c>
      <c r="B157" s="2">
        <v>45298.458333333343</v>
      </c>
      <c r="C157" t="s">
        <v>15</v>
      </c>
      <c r="D157" t="s">
        <v>42</v>
      </c>
      <c r="E157" t="s">
        <v>70</v>
      </c>
      <c r="F157" t="s">
        <v>71</v>
      </c>
      <c r="G157">
        <v>4</v>
      </c>
      <c r="H157">
        <v>84.88</v>
      </c>
      <c r="I157">
        <v>10</v>
      </c>
      <c r="J157" t="s">
        <v>75</v>
      </c>
      <c r="K157" t="s">
        <v>77</v>
      </c>
      <c r="L157">
        <v>339.52</v>
      </c>
      <c r="M157">
        <v>33.951999999999998</v>
      </c>
      <c r="N157">
        <v>305.56799999999998</v>
      </c>
    </row>
    <row r="158" spans="1:14" x14ac:dyDescent="0.3">
      <c r="A158">
        <v>100157</v>
      </c>
      <c r="B158" s="2">
        <v>45298.5</v>
      </c>
      <c r="C158" t="s">
        <v>14</v>
      </c>
      <c r="D158" t="s">
        <v>40</v>
      </c>
      <c r="E158" t="s">
        <v>68</v>
      </c>
      <c r="F158" t="s">
        <v>71</v>
      </c>
      <c r="G158">
        <v>2</v>
      </c>
      <c r="H158">
        <v>30.15</v>
      </c>
      <c r="I158">
        <v>10</v>
      </c>
      <c r="J158" t="s">
        <v>76</v>
      </c>
      <c r="K158" t="s">
        <v>77</v>
      </c>
      <c r="L158">
        <v>60.3</v>
      </c>
      <c r="M158">
        <v>6.03</v>
      </c>
      <c r="N158">
        <v>54.27</v>
      </c>
    </row>
    <row r="159" spans="1:14" x14ac:dyDescent="0.3">
      <c r="A159">
        <v>100158</v>
      </c>
      <c r="B159" s="2">
        <v>45298.541666666657</v>
      </c>
      <c r="C159" t="s">
        <v>15</v>
      </c>
      <c r="D159" t="s">
        <v>26</v>
      </c>
      <c r="E159" t="s">
        <v>66</v>
      </c>
      <c r="F159" t="s">
        <v>72</v>
      </c>
      <c r="G159">
        <v>2</v>
      </c>
      <c r="H159">
        <v>73.459999999999994</v>
      </c>
      <c r="I159">
        <v>15</v>
      </c>
      <c r="J159" t="s">
        <v>75</v>
      </c>
      <c r="K159" t="s">
        <v>77</v>
      </c>
      <c r="L159">
        <v>146.91999999999999</v>
      </c>
      <c r="M159">
        <v>22.038</v>
      </c>
      <c r="N159">
        <v>124.88200000000001</v>
      </c>
    </row>
    <row r="160" spans="1:14" x14ac:dyDescent="0.3">
      <c r="A160">
        <v>100159</v>
      </c>
      <c r="B160" s="2">
        <v>45298.583333333343</v>
      </c>
      <c r="C160" t="s">
        <v>14</v>
      </c>
      <c r="D160" t="s">
        <v>36</v>
      </c>
      <c r="E160" t="s">
        <v>67</v>
      </c>
      <c r="F160" t="s">
        <v>71</v>
      </c>
      <c r="G160">
        <v>2</v>
      </c>
      <c r="H160">
        <v>35.43</v>
      </c>
      <c r="I160">
        <v>5</v>
      </c>
      <c r="J160" t="s">
        <v>74</v>
      </c>
      <c r="K160" t="s">
        <v>77</v>
      </c>
      <c r="L160">
        <v>70.86</v>
      </c>
      <c r="M160">
        <v>3.5430000000000001</v>
      </c>
      <c r="N160">
        <v>67.316999999999993</v>
      </c>
    </row>
    <row r="161" spans="1:14" x14ac:dyDescent="0.3">
      <c r="A161">
        <v>100160</v>
      </c>
      <c r="B161" s="2">
        <v>45298.625</v>
      </c>
      <c r="C161" t="s">
        <v>15</v>
      </c>
      <c r="D161" t="s">
        <v>28</v>
      </c>
      <c r="E161" t="s">
        <v>67</v>
      </c>
      <c r="F161" t="s">
        <v>71</v>
      </c>
      <c r="G161">
        <v>5</v>
      </c>
      <c r="H161">
        <v>81.13</v>
      </c>
      <c r="I161">
        <v>0</v>
      </c>
      <c r="J161" t="s">
        <v>75</v>
      </c>
      <c r="K161" t="s">
        <v>77</v>
      </c>
      <c r="L161">
        <v>405.65</v>
      </c>
      <c r="M161">
        <v>0</v>
      </c>
      <c r="N161">
        <v>405.65</v>
      </c>
    </row>
    <row r="162" spans="1:14" x14ac:dyDescent="0.3">
      <c r="A162">
        <v>100161</v>
      </c>
      <c r="B162" s="2">
        <v>45298.666666666657</v>
      </c>
      <c r="C162" t="s">
        <v>14</v>
      </c>
      <c r="D162" t="s">
        <v>45</v>
      </c>
      <c r="E162" t="s">
        <v>69</v>
      </c>
      <c r="F162" t="s">
        <v>72</v>
      </c>
      <c r="G162">
        <v>4</v>
      </c>
      <c r="H162">
        <v>98.72</v>
      </c>
      <c r="I162">
        <v>5</v>
      </c>
      <c r="J162" t="s">
        <v>73</v>
      </c>
      <c r="K162" t="s">
        <v>77</v>
      </c>
      <c r="L162">
        <v>394.88</v>
      </c>
      <c r="M162">
        <v>19.744</v>
      </c>
      <c r="N162">
        <v>375.13600000000002</v>
      </c>
    </row>
    <row r="163" spans="1:14" x14ac:dyDescent="0.3">
      <c r="A163">
        <v>100162</v>
      </c>
      <c r="B163" s="2">
        <v>45298.708333333343</v>
      </c>
      <c r="C163" t="s">
        <v>14</v>
      </c>
      <c r="D163" t="s">
        <v>57</v>
      </c>
      <c r="E163" t="s">
        <v>67</v>
      </c>
      <c r="F163" t="s">
        <v>72</v>
      </c>
      <c r="G163">
        <v>2</v>
      </c>
      <c r="H163">
        <v>94.47</v>
      </c>
      <c r="I163">
        <v>15</v>
      </c>
      <c r="J163" t="s">
        <v>75</v>
      </c>
      <c r="K163" t="s">
        <v>77</v>
      </c>
      <c r="L163">
        <v>188.94</v>
      </c>
      <c r="M163">
        <v>28.341000000000001</v>
      </c>
      <c r="N163">
        <v>160.59899999999999</v>
      </c>
    </row>
    <row r="164" spans="1:14" x14ac:dyDescent="0.3">
      <c r="A164">
        <v>100163</v>
      </c>
      <c r="B164" s="2">
        <v>45298.75</v>
      </c>
      <c r="C164" t="s">
        <v>15</v>
      </c>
      <c r="D164" t="s">
        <v>41</v>
      </c>
      <c r="E164" t="s">
        <v>68</v>
      </c>
      <c r="F164" t="s">
        <v>72</v>
      </c>
      <c r="G164">
        <v>3</v>
      </c>
      <c r="H164">
        <v>92.5</v>
      </c>
      <c r="I164">
        <v>15</v>
      </c>
      <c r="J164" t="s">
        <v>75</v>
      </c>
      <c r="K164" t="s">
        <v>77</v>
      </c>
      <c r="L164">
        <v>277.5</v>
      </c>
      <c r="M164">
        <v>41.625</v>
      </c>
      <c r="N164">
        <v>235.875</v>
      </c>
    </row>
    <row r="165" spans="1:14" x14ac:dyDescent="0.3">
      <c r="A165">
        <v>100164</v>
      </c>
      <c r="B165" s="2">
        <v>45298.791666666657</v>
      </c>
      <c r="C165" t="s">
        <v>15</v>
      </c>
      <c r="D165" t="s">
        <v>24</v>
      </c>
      <c r="E165" t="s">
        <v>68</v>
      </c>
      <c r="F165" t="s">
        <v>71</v>
      </c>
      <c r="G165">
        <v>3</v>
      </c>
      <c r="H165">
        <v>26.59</v>
      </c>
      <c r="I165">
        <v>0</v>
      </c>
      <c r="J165" t="s">
        <v>74</v>
      </c>
      <c r="K165" t="s">
        <v>77</v>
      </c>
      <c r="L165">
        <v>79.77</v>
      </c>
      <c r="M165">
        <v>0</v>
      </c>
      <c r="N165">
        <v>79.77</v>
      </c>
    </row>
    <row r="166" spans="1:14" x14ac:dyDescent="0.3">
      <c r="A166">
        <v>100165</v>
      </c>
      <c r="B166" s="2">
        <v>45298.833333333343</v>
      </c>
      <c r="C166" t="s">
        <v>15</v>
      </c>
      <c r="D166" t="s">
        <v>44</v>
      </c>
      <c r="E166" t="s">
        <v>67</v>
      </c>
      <c r="F166" t="s">
        <v>72</v>
      </c>
      <c r="G166">
        <v>5</v>
      </c>
      <c r="H166">
        <v>15.16</v>
      </c>
      <c r="I166">
        <v>15</v>
      </c>
      <c r="J166" t="s">
        <v>73</v>
      </c>
      <c r="K166" t="s">
        <v>77</v>
      </c>
      <c r="L166">
        <v>75.8</v>
      </c>
      <c r="M166">
        <v>11.37</v>
      </c>
      <c r="N166">
        <v>64.429999999999993</v>
      </c>
    </row>
    <row r="167" spans="1:14" x14ac:dyDescent="0.3">
      <c r="A167">
        <v>100166</v>
      </c>
      <c r="B167" s="2">
        <v>45298.875</v>
      </c>
      <c r="C167" t="s">
        <v>14</v>
      </c>
      <c r="D167" t="s">
        <v>38</v>
      </c>
      <c r="E167" t="s">
        <v>67</v>
      </c>
      <c r="F167" t="s">
        <v>72</v>
      </c>
      <c r="G167">
        <v>5</v>
      </c>
      <c r="H167">
        <v>85.38</v>
      </c>
      <c r="I167">
        <v>10</v>
      </c>
      <c r="J167" t="s">
        <v>74</v>
      </c>
      <c r="K167" t="s">
        <v>77</v>
      </c>
      <c r="L167">
        <v>426.9</v>
      </c>
      <c r="M167">
        <v>42.69</v>
      </c>
      <c r="N167">
        <v>384.21</v>
      </c>
    </row>
    <row r="168" spans="1:14" x14ac:dyDescent="0.3">
      <c r="A168">
        <v>100167</v>
      </c>
      <c r="B168" s="2">
        <v>45298.916666666657</v>
      </c>
      <c r="C168" t="s">
        <v>15</v>
      </c>
      <c r="D168" t="s">
        <v>52</v>
      </c>
      <c r="E168" t="s">
        <v>69</v>
      </c>
      <c r="F168" t="s">
        <v>71</v>
      </c>
      <c r="G168">
        <v>1</v>
      </c>
      <c r="H168">
        <v>47.36</v>
      </c>
      <c r="I168">
        <v>10</v>
      </c>
      <c r="J168" t="s">
        <v>75</v>
      </c>
      <c r="K168" t="s">
        <v>77</v>
      </c>
      <c r="L168">
        <v>47.36</v>
      </c>
      <c r="M168">
        <v>4.7359999999999998</v>
      </c>
      <c r="N168">
        <v>42.624000000000002</v>
      </c>
    </row>
    <row r="169" spans="1:14" x14ac:dyDescent="0.3">
      <c r="A169">
        <v>100168</v>
      </c>
      <c r="B169" s="2">
        <v>45298.958333333343</v>
      </c>
      <c r="C169" t="s">
        <v>14</v>
      </c>
      <c r="D169" t="s">
        <v>41</v>
      </c>
      <c r="E169" t="s">
        <v>67</v>
      </c>
      <c r="F169" t="s">
        <v>72</v>
      </c>
      <c r="G169">
        <v>1</v>
      </c>
      <c r="H169">
        <v>54.72</v>
      </c>
      <c r="I169">
        <v>10</v>
      </c>
      <c r="J169" t="s">
        <v>76</v>
      </c>
      <c r="K169" t="s">
        <v>77</v>
      </c>
      <c r="L169">
        <v>54.72</v>
      </c>
      <c r="M169">
        <v>5.4720000000000004</v>
      </c>
      <c r="N169">
        <v>49.247999999999998</v>
      </c>
    </row>
    <row r="170" spans="1:14" x14ac:dyDescent="0.3">
      <c r="A170">
        <v>100169</v>
      </c>
      <c r="B170" s="2">
        <v>45299</v>
      </c>
      <c r="C170" t="s">
        <v>14</v>
      </c>
      <c r="D170" t="s">
        <v>35</v>
      </c>
      <c r="E170" t="s">
        <v>69</v>
      </c>
      <c r="F170" t="s">
        <v>71</v>
      </c>
      <c r="G170">
        <v>1</v>
      </c>
      <c r="H170">
        <v>8.58</v>
      </c>
      <c r="I170">
        <v>10</v>
      </c>
      <c r="J170" t="s">
        <v>75</v>
      </c>
      <c r="K170" t="s">
        <v>77</v>
      </c>
      <c r="L170">
        <v>8.58</v>
      </c>
      <c r="M170">
        <v>0.8580000000000001</v>
      </c>
      <c r="N170">
        <v>7.7220000000000004</v>
      </c>
    </row>
    <row r="171" spans="1:14" x14ac:dyDescent="0.3">
      <c r="A171">
        <v>100170</v>
      </c>
      <c r="B171" s="2">
        <v>45299.041666666657</v>
      </c>
      <c r="C171" t="s">
        <v>15</v>
      </c>
      <c r="D171" t="s">
        <v>43</v>
      </c>
      <c r="E171" t="s">
        <v>69</v>
      </c>
      <c r="F171" t="s">
        <v>71</v>
      </c>
      <c r="G171">
        <v>5</v>
      </c>
      <c r="H171">
        <v>34.85</v>
      </c>
      <c r="I171">
        <v>10</v>
      </c>
      <c r="J171" t="s">
        <v>74</v>
      </c>
      <c r="K171" t="s">
        <v>77</v>
      </c>
      <c r="L171">
        <v>174.25</v>
      </c>
      <c r="M171">
        <v>17.425000000000001</v>
      </c>
      <c r="N171">
        <v>156.82499999999999</v>
      </c>
    </row>
    <row r="172" spans="1:14" x14ac:dyDescent="0.3">
      <c r="A172">
        <v>100171</v>
      </c>
      <c r="B172" s="2">
        <v>45299.083333333343</v>
      </c>
      <c r="C172" t="s">
        <v>15</v>
      </c>
      <c r="D172" t="s">
        <v>17</v>
      </c>
      <c r="E172" t="s">
        <v>67</v>
      </c>
      <c r="F172" t="s">
        <v>72</v>
      </c>
      <c r="G172">
        <v>5</v>
      </c>
      <c r="H172">
        <v>8.8699999999999992</v>
      </c>
      <c r="I172">
        <v>15</v>
      </c>
      <c r="J172" t="s">
        <v>76</v>
      </c>
      <c r="K172" t="s">
        <v>77</v>
      </c>
      <c r="L172">
        <v>44.349999999999987</v>
      </c>
      <c r="M172">
        <v>6.652499999999999</v>
      </c>
      <c r="N172">
        <v>37.697499999999998</v>
      </c>
    </row>
    <row r="173" spans="1:14" x14ac:dyDescent="0.3">
      <c r="A173">
        <v>100172</v>
      </c>
      <c r="B173" s="2">
        <v>45299.125</v>
      </c>
      <c r="C173" t="s">
        <v>14</v>
      </c>
      <c r="D173" t="s">
        <v>41</v>
      </c>
      <c r="E173" t="s">
        <v>70</v>
      </c>
      <c r="F173" t="s">
        <v>72</v>
      </c>
      <c r="G173">
        <v>5</v>
      </c>
      <c r="H173">
        <v>106.11</v>
      </c>
      <c r="I173">
        <v>0</v>
      </c>
      <c r="J173" t="s">
        <v>74</v>
      </c>
      <c r="K173" t="s">
        <v>77</v>
      </c>
      <c r="L173">
        <v>530.54999999999995</v>
      </c>
      <c r="M173">
        <v>0</v>
      </c>
      <c r="N173">
        <v>530.54999999999995</v>
      </c>
    </row>
    <row r="174" spans="1:14" x14ac:dyDescent="0.3">
      <c r="A174">
        <v>100173</v>
      </c>
      <c r="B174" s="2">
        <v>45299.166666666657</v>
      </c>
      <c r="C174" t="s">
        <v>14</v>
      </c>
      <c r="D174" t="s">
        <v>29</v>
      </c>
      <c r="E174" t="s">
        <v>70</v>
      </c>
      <c r="F174" t="s">
        <v>72</v>
      </c>
      <c r="G174">
        <v>3</v>
      </c>
      <c r="H174">
        <v>32.99</v>
      </c>
      <c r="I174">
        <v>0</v>
      </c>
      <c r="J174" t="s">
        <v>74</v>
      </c>
      <c r="K174" t="s">
        <v>77</v>
      </c>
      <c r="L174">
        <v>98.97</v>
      </c>
      <c r="M174">
        <v>0</v>
      </c>
      <c r="N174">
        <v>98.97</v>
      </c>
    </row>
    <row r="175" spans="1:14" x14ac:dyDescent="0.3">
      <c r="A175">
        <v>100174</v>
      </c>
      <c r="B175" s="2">
        <v>45299.208333333343</v>
      </c>
      <c r="C175" t="s">
        <v>15</v>
      </c>
      <c r="D175" t="s">
        <v>42</v>
      </c>
      <c r="E175" t="s">
        <v>69</v>
      </c>
      <c r="F175" t="s">
        <v>72</v>
      </c>
      <c r="G175">
        <v>5</v>
      </c>
      <c r="H175">
        <v>69.09</v>
      </c>
      <c r="I175">
        <v>10</v>
      </c>
      <c r="J175" t="s">
        <v>73</v>
      </c>
      <c r="K175" t="s">
        <v>79</v>
      </c>
      <c r="L175">
        <v>345.45</v>
      </c>
      <c r="M175">
        <v>34.545000000000009</v>
      </c>
      <c r="N175">
        <v>310.90499999999997</v>
      </c>
    </row>
    <row r="176" spans="1:14" x14ac:dyDescent="0.3">
      <c r="A176">
        <v>100175</v>
      </c>
      <c r="B176" s="2">
        <v>45299.25</v>
      </c>
      <c r="C176" t="s">
        <v>15</v>
      </c>
      <c r="D176" t="s">
        <v>29</v>
      </c>
      <c r="E176" t="s">
        <v>67</v>
      </c>
      <c r="F176" t="s">
        <v>72</v>
      </c>
      <c r="G176">
        <v>3</v>
      </c>
      <c r="H176">
        <v>9.48</v>
      </c>
      <c r="I176">
        <v>15</v>
      </c>
      <c r="J176" t="s">
        <v>76</v>
      </c>
      <c r="K176" t="s">
        <v>77</v>
      </c>
      <c r="L176">
        <v>28.44</v>
      </c>
      <c r="M176">
        <v>4.266</v>
      </c>
      <c r="N176">
        <v>24.173999999999999</v>
      </c>
    </row>
    <row r="177" spans="1:14" x14ac:dyDescent="0.3">
      <c r="A177">
        <v>100176</v>
      </c>
      <c r="B177" s="2">
        <v>45299.291666666657</v>
      </c>
      <c r="C177" t="s">
        <v>15</v>
      </c>
      <c r="D177" t="s">
        <v>33</v>
      </c>
      <c r="E177" t="s">
        <v>70</v>
      </c>
      <c r="F177" t="s">
        <v>72</v>
      </c>
      <c r="G177">
        <v>1</v>
      </c>
      <c r="H177">
        <v>81.69</v>
      </c>
      <c r="I177">
        <v>5</v>
      </c>
      <c r="J177" t="s">
        <v>75</v>
      </c>
      <c r="K177" t="s">
        <v>78</v>
      </c>
      <c r="L177">
        <v>81.69</v>
      </c>
      <c r="M177">
        <v>4.0845000000000002</v>
      </c>
      <c r="N177">
        <v>77.605499999999992</v>
      </c>
    </row>
    <row r="178" spans="1:14" x14ac:dyDescent="0.3">
      <c r="A178">
        <v>100177</v>
      </c>
      <c r="B178" s="2">
        <v>45299.333333333343</v>
      </c>
      <c r="C178" t="s">
        <v>14</v>
      </c>
      <c r="D178" t="s">
        <v>62</v>
      </c>
      <c r="E178" t="s">
        <v>67</v>
      </c>
      <c r="F178" t="s">
        <v>71</v>
      </c>
      <c r="G178">
        <v>1</v>
      </c>
      <c r="H178">
        <v>42.15</v>
      </c>
      <c r="I178">
        <v>5</v>
      </c>
      <c r="J178" t="s">
        <v>74</v>
      </c>
      <c r="K178" t="s">
        <v>77</v>
      </c>
      <c r="L178">
        <v>42.15</v>
      </c>
      <c r="M178">
        <v>2.1074999999999999</v>
      </c>
      <c r="N178">
        <v>40.042499999999997</v>
      </c>
    </row>
    <row r="179" spans="1:14" x14ac:dyDescent="0.3">
      <c r="A179">
        <v>100178</v>
      </c>
      <c r="B179" s="2">
        <v>45299.375</v>
      </c>
      <c r="C179" t="s">
        <v>14</v>
      </c>
      <c r="D179" t="s">
        <v>22</v>
      </c>
      <c r="E179" t="s">
        <v>67</v>
      </c>
      <c r="F179" t="s">
        <v>71</v>
      </c>
      <c r="G179">
        <v>1</v>
      </c>
      <c r="H179">
        <v>108.26</v>
      </c>
      <c r="I179">
        <v>15</v>
      </c>
      <c r="J179" t="s">
        <v>75</v>
      </c>
      <c r="K179" t="s">
        <v>77</v>
      </c>
      <c r="L179">
        <v>108.26</v>
      </c>
      <c r="M179">
        <v>16.239000000000001</v>
      </c>
      <c r="N179">
        <v>92.021000000000001</v>
      </c>
    </row>
    <row r="180" spans="1:14" x14ac:dyDescent="0.3">
      <c r="A180">
        <v>100179</v>
      </c>
      <c r="B180" s="2">
        <v>45299.416666666657</v>
      </c>
      <c r="C180" t="s">
        <v>14</v>
      </c>
      <c r="D180" t="s">
        <v>16</v>
      </c>
      <c r="E180" t="s">
        <v>67</v>
      </c>
      <c r="F180" t="s">
        <v>72</v>
      </c>
      <c r="G180">
        <v>2</v>
      </c>
      <c r="H180">
        <v>107.13</v>
      </c>
      <c r="I180">
        <v>10</v>
      </c>
      <c r="J180" t="s">
        <v>73</v>
      </c>
      <c r="K180" t="s">
        <v>78</v>
      </c>
      <c r="L180">
        <v>214.26</v>
      </c>
      <c r="M180">
        <v>21.425999999999998</v>
      </c>
      <c r="N180">
        <v>192.834</v>
      </c>
    </row>
    <row r="181" spans="1:14" x14ac:dyDescent="0.3">
      <c r="A181">
        <v>100180</v>
      </c>
      <c r="B181" s="2">
        <v>45299.458333333343</v>
      </c>
      <c r="C181" t="s">
        <v>14</v>
      </c>
      <c r="D181" t="s">
        <v>41</v>
      </c>
      <c r="E181" t="s">
        <v>66</v>
      </c>
      <c r="F181" t="s">
        <v>71</v>
      </c>
      <c r="G181">
        <v>2</v>
      </c>
      <c r="H181">
        <v>42.41</v>
      </c>
      <c r="I181">
        <v>0</v>
      </c>
      <c r="J181" t="s">
        <v>73</v>
      </c>
      <c r="K181" t="s">
        <v>77</v>
      </c>
      <c r="L181">
        <v>84.82</v>
      </c>
      <c r="M181">
        <v>0</v>
      </c>
      <c r="N181">
        <v>84.82</v>
      </c>
    </row>
    <row r="182" spans="1:14" x14ac:dyDescent="0.3">
      <c r="A182">
        <v>100181</v>
      </c>
      <c r="B182" s="2">
        <v>45299.5</v>
      </c>
      <c r="C182" t="s">
        <v>14</v>
      </c>
      <c r="D182" t="s">
        <v>64</v>
      </c>
      <c r="E182" t="s">
        <v>67</v>
      </c>
      <c r="F182" t="s">
        <v>72</v>
      </c>
      <c r="G182">
        <v>4</v>
      </c>
      <c r="H182">
        <v>108.61</v>
      </c>
      <c r="I182">
        <v>15</v>
      </c>
      <c r="J182" t="s">
        <v>76</v>
      </c>
      <c r="K182" t="s">
        <v>77</v>
      </c>
      <c r="L182">
        <v>434.44</v>
      </c>
      <c r="M182">
        <v>65.165999999999997</v>
      </c>
      <c r="N182">
        <v>369.274</v>
      </c>
    </row>
    <row r="183" spans="1:14" x14ac:dyDescent="0.3">
      <c r="A183">
        <v>100182</v>
      </c>
      <c r="B183" s="2">
        <v>45299.541666666657</v>
      </c>
      <c r="C183" t="s">
        <v>14</v>
      </c>
      <c r="D183" t="s">
        <v>36</v>
      </c>
      <c r="E183" t="s">
        <v>66</v>
      </c>
      <c r="F183" t="s">
        <v>71</v>
      </c>
      <c r="G183">
        <v>4</v>
      </c>
      <c r="H183">
        <v>119.56</v>
      </c>
      <c r="I183">
        <v>5</v>
      </c>
      <c r="J183" t="s">
        <v>73</v>
      </c>
      <c r="K183" t="s">
        <v>77</v>
      </c>
      <c r="L183">
        <v>478.24</v>
      </c>
      <c r="M183">
        <v>23.911999999999999</v>
      </c>
      <c r="N183">
        <v>454.32799999999997</v>
      </c>
    </row>
    <row r="184" spans="1:14" x14ac:dyDescent="0.3">
      <c r="A184">
        <v>100183</v>
      </c>
      <c r="B184" s="2">
        <v>45299.583333333343</v>
      </c>
      <c r="C184" t="s">
        <v>15</v>
      </c>
      <c r="D184" t="s">
        <v>55</v>
      </c>
      <c r="E184" t="s">
        <v>69</v>
      </c>
      <c r="F184" t="s">
        <v>71</v>
      </c>
      <c r="G184">
        <v>4</v>
      </c>
      <c r="H184">
        <v>99.92</v>
      </c>
      <c r="I184">
        <v>5</v>
      </c>
      <c r="J184" t="s">
        <v>73</v>
      </c>
      <c r="K184" t="s">
        <v>77</v>
      </c>
      <c r="L184">
        <v>399.68</v>
      </c>
      <c r="M184">
        <v>19.984000000000002</v>
      </c>
      <c r="N184">
        <v>379.69600000000003</v>
      </c>
    </row>
    <row r="185" spans="1:14" x14ac:dyDescent="0.3">
      <c r="A185">
        <v>100184</v>
      </c>
      <c r="B185" s="2">
        <v>45299.625</v>
      </c>
      <c r="C185" t="s">
        <v>14</v>
      </c>
      <c r="D185" t="s">
        <v>38</v>
      </c>
      <c r="E185" t="s">
        <v>70</v>
      </c>
      <c r="F185" t="s">
        <v>71</v>
      </c>
      <c r="G185">
        <v>2</v>
      </c>
      <c r="H185">
        <v>102.16</v>
      </c>
      <c r="I185">
        <v>5</v>
      </c>
      <c r="J185" t="s">
        <v>75</v>
      </c>
      <c r="K185" t="s">
        <v>77</v>
      </c>
      <c r="L185">
        <v>204.32</v>
      </c>
      <c r="M185">
        <v>10.215999999999999</v>
      </c>
      <c r="N185">
        <v>194.10400000000001</v>
      </c>
    </row>
    <row r="186" spans="1:14" x14ac:dyDescent="0.3">
      <c r="A186">
        <v>100185</v>
      </c>
      <c r="B186" s="2">
        <v>45299.666666666657</v>
      </c>
      <c r="C186" t="s">
        <v>14</v>
      </c>
      <c r="D186" t="s">
        <v>25</v>
      </c>
      <c r="E186" t="s">
        <v>70</v>
      </c>
      <c r="F186" t="s">
        <v>72</v>
      </c>
      <c r="G186">
        <v>2</v>
      </c>
      <c r="H186">
        <v>33.64</v>
      </c>
      <c r="I186">
        <v>10</v>
      </c>
      <c r="J186" t="s">
        <v>73</v>
      </c>
      <c r="K186" t="s">
        <v>77</v>
      </c>
      <c r="L186">
        <v>67.28</v>
      </c>
      <c r="M186">
        <v>6.7280000000000006</v>
      </c>
      <c r="N186">
        <v>60.552</v>
      </c>
    </row>
    <row r="187" spans="1:14" x14ac:dyDescent="0.3">
      <c r="A187">
        <v>100186</v>
      </c>
      <c r="B187" s="2">
        <v>45299.708333333343</v>
      </c>
      <c r="C187" t="s">
        <v>14</v>
      </c>
      <c r="D187" t="s">
        <v>59</v>
      </c>
      <c r="E187" t="s">
        <v>70</v>
      </c>
      <c r="F187" t="s">
        <v>71</v>
      </c>
      <c r="G187">
        <v>4</v>
      </c>
      <c r="H187">
        <v>71.319999999999993</v>
      </c>
      <c r="I187">
        <v>5</v>
      </c>
      <c r="J187" t="s">
        <v>73</v>
      </c>
      <c r="K187" t="s">
        <v>78</v>
      </c>
      <c r="L187">
        <v>285.27999999999997</v>
      </c>
      <c r="M187">
        <v>14.263999999999999</v>
      </c>
      <c r="N187">
        <v>271.01600000000002</v>
      </c>
    </row>
    <row r="188" spans="1:14" x14ac:dyDescent="0.3">
      <c r="A188">
        <v>100187</v>
      </c>
      <c r="B188" s="2">
        <v>45299.75</v>
      </c>
      <c r="C188" t="s">
        <v>15</v>
      </c>
      <c r="D188" t="s">
        <v>29</v>
      </c>
      <c r="E188" t="s">
        <v>70</v>
      </c>
      <c r="F188" t="s">
        <v>72</v>
      </c>
      <c r="G188">
        <v>4</v>
      </c>
      <c r="H188">
        <v>12.73</v>
      </c>
      <c r="I188">
        <v>15</v>
      </c>
      <c r="J188" t="s">
        <v>74</v>
      </c>
      <c r="K188" t="s">
        <v>77</v>
      </c>
      <c r="L188">
        <v>50.92</v>
      </c>
      <c r="M188">
        <v>7.6379999999999999</v>
      </c>
      <c r="N188">
        <v>43.281999999999996</v>
      </c>
    </row>
    <row r="189" spans="1:14" x14ac:dyDescent="0.3">
      <c r="A189">
        <v>100188</v>
      </c>
      <c r="B189" s="2">
        <v>45299.791666666657</v>
      </c>
      <c r="C189" t="s">
        <v>14</v>
      </c>
      <c r="D189" t="s">
        <v>42</v>
      </c>
      <c r="E189" t="s">
        <v>70</v>
      </c>
      <c r="F189" t="s">
        <v>71</v>
      </c>
      <c r="G189">
        <v>5</v>
      </c>
      <c r="H189">
        <v>15.92</v>
      </c>
      <c r="I189">
        <v>15</v>
      </c>
      <c r="J189" t="s">
        <v>73</v>
      </c>
      <c r="K189" t="s">
        <v>79</v>
      </c>
      <c r="L189">
        <v>79.599999999999994</v>
      </c>
      <c r="M189">
        <v>11.94</v>
      </c>
      <c r="N189">
        <v>67.66</v>
      </c>
    </row>
    <row r="190" spans="1:14" x14ac:dyDescent="0.3">
      <c r="A190">
        <v>100189</v>
      </c>
      <c r="B190" s="2">
        <v>45299.833333333343</v>
      </c>
      <c r="C190" t="s">
        <v>14</v>
      </c>
      <c r="D190" t="s">
        <v>52</v>
      </c>
      <c r="E190" t="s">
        <v>70</v>
      </c>
      <c r="F190" t="s">
        <v>71</v>
      </c>
      <c r="G190">
        <v>4</v>
      </c>
      <c r="H190">
        <v>119.87</v>
      </c>
      <c r="I190">
        <v>5</v>
      </c>
      <c r="J190" t="s">
        <v>74</v>
      </c>
      <c r="K190" t="s">
        <v>79</v>
      </c>
      <c r="L190">
        <v>479.48</v>
      </c>
      <c r="M190">
        <v>23.974</v>
      </c>
      <c r="N190">
        <v>455.50599999999997</v>
      </c>
    </row>
    <row r="191" spans="1:14" x14ac:dyDescent="0.3">
      <c r="A191">
        <v>100190</v>
      </c>
      <c r="B191" s="2">
        <v>45299.875</v>
      </c>
      <c r="C191" t="s">
        <v>15</v>
      </c>
      <c r="D191" t="s">
        <v>41</v>
      </c>
      <c r="E191" t="s">
        <v>70</v>
      </c>
      <c r="F191" t="s">
        <v>71</v>
      </c>
      <c r="G191">
        <v>5</v>
      </c>
      <c r="H191">
        <v>42.56</v>
      </c>
      <c r="I191">
        <v>15</v>
      </c>
      <c r="J191" t="s">
        <v>73</v>
      </c>
      <c r="K191" t="s">
        <v>77</v>
      </c>
      <c r="L191">
        <v>212.8</v>
      </c>
      <c r="M191">
        <v>31.92</v>
      </c>
      <c r="N191">
        <v>180.88</v>
      </c>
    </row>
    <row r="192" spans="1:14" x14ac:dyDescent="0.3">
      <c r="A192">
        <v>100191</v>
      </c>
      <c r="B192" s="2">
        <v>45299.916666666657</v>
      </c>
      <c r="C192" t="s">
        <v>14</v>
      </c>
      <c r="D192" t="s">
        <v>21</v>
      </c>
      <c r="E192" t="s">
        <v>69</v>
      </c>
      <c r="F192" t="s">
        <v>71</v>
      </c>
      <c r="G192">
        <v>3</v>
      </c>
      <c r="H192">
        <v>91.04</v>
      </c>
      <c r="I192">
        <v>5</v>
      </c>
      <c r="J192" t="s">
        <v>73</v>
      </c>
      <c r="K192" t="s">
        <v>77</v>
      </c>
      <c r="L192">
        <v>273.12</v>
      </c>
      <c r="M192">
        <v>13.656000000000001</v>
      </c>
      <c r="N192">
        <v>259.464</v>
      </c>
    </row>
    <row r="193" spans="1:14" x14ac:dyDescent="0.3">
      <c r="A193">
        <v>100192</v>
      </c>
      <c r="B193" s="2">
        <v>45299.958333333343</v>
      </c>
      <c r="C193" t="s">
        <v>14</v>
      </c>
      <c r="D193" t="s">
        <v>49</v>
      </c>
      <c r="E193" t="s">
        <v>67</v>
      </c>
      <c r="F193" t="s">
        <v>71</v>
      </c>
      <c r="G193">
        <v>2</v>
      </c>
      <c r="H193">
        <v>97.77</v>
      </c>
      <c r="I193">
        <v>5</v>
      </c>
      <c r="J193" t="s">
        <v>76</v>
      </c>
      <c r="K193" t="s">
        <v>78</v>
      </c>
      <c r="L193">
        <v>195.54</v>
      </c>
      <c r="M193">
        <v>9.777000000000001</v>
      </c>
      <c r="N193">
        <v>185.76300000000001</v>
      </c>
    </row>
    <row r="194" spans="1:14" x14ac:dyDescent="0.3">
      <c r="A194">
        <v>100193</v>
      </c>
      <c r="B194" s="2">
        <v>45300</v>
      </c>
      <c r="C194" t="s">
        <v>14</v>
      </c>
      <c r="D194" t="s">
        <v>52</v>
      </c>
      <c r="E194" t="s">
        <v>68</v>
      </c>
      <c r="F194" t="s">
        <v>72</v>
      </c>
      <c r="G194">
        <v>4</v>
      </c>
      <c r="H194">
        <v>103.67</v>
      </c>
      <c r="I194">
        <v>0</v>
      </c>
      <c r="J194" t="s">
        <v>76</v>
      </c>
      <c r="K194" t="s">
        <v>79</v>
      </c>
      <c r="L194">
        <v>414.68</v>
      </c>
      <c r="M194">
        <v>0</v>
      </c>
      <c r="N194">
        <v>414.68</v>
      </c>
    </row>
    <row r="195" spans="1:14" x14ac:dyDescent="0.3">
      <c r="A195">
        <v>100194</v>
      </c>
      <c r="B195" s="2">
        <v>45300.041666666657</v>
      </c>
      <c r="C195" t="s">
        <v>14</v>
      </c>
      <c r="D195" t="s">
        <v>60</v>
      </c>
      <c r="E195" t="s">
        <v>66</v>
      </c>
      <c r="F195" t="s">
        <v>72</v>
      </c>
      <c r="G195">
        <v>2</v>
      </c>
      <c r="H195">
        <v>119.73</v>
      </c>
      <c r="I195">
        <v>10</v>
      </c>
      <c r="J195" t="s">
        <v>74</v>
      </c>
      <c r="K195" t="s">
        <v>77</v>
      </c>
      <c r="L195">
        <v>239.46</v>
      </c>
      <c r="M195">
        <v>23.946000000000002</v>
      </c>
      <c r="N195">
        <v>215.51400000000001</v>
      </c>
    </row>
    <row r="196" spans="1:14" x14ac:dyDescent="0.3">
      <c r="A196">
        <v>100195</v>
      </c>
      <c r="B196" s="2">
        <v>45300.083333333343</v>
      </c>
      <c r="C196" t="s">
        <v>14</v>
      </c>
      <c r="D196" t="s">
        <v>31</v>
      </c>
      <c r="E196" t="s">
        <v>68</v>
      </c>
      <c r="F196" t="s">
        <v>71</v>
      </c>
      <c r="G196">
        <v>2</v>
      </c>
      <c r="H196">
        <v>32.770000000000003</v>
      </c>
      <c r="I196">
        <v>10</v>
      </c>
      <c r="J196" t="s">
        <v>73</v>
      </c>
      <c r="K196" t="s">
        <v>77</v>
      </c>
      <c r="L196">
        <v>65.540000000000006</v>
      </c>
      <c r="M196">
        <v>6.5540000000000012</v>
      </c>
      <c r="N196">
        <v>58.985999999999997</v>
      </c>
    </row>
    <row r="197" spans="1:14" x14ac:dyDescent="0.3">
      <c r="A197">
        <v>100196</v>
      </c>
      <c r="B197" s="2">
        <v>45300.125</v>
      </c>
      <c r="C197" t="s">
        <v>15</v>
      </c>
      <c r="D197" t="s">
        <v>35</v>
      </c>
      <c r="E197" t="s">
        <v>68</v>
      </c>
      <c r="F197" t="s">
        <v>71</v>
      </c>
      <c r="G197">
        <v>2</v>
      </c>
      <c r="H197">
        <v>9.64</v>
      </c>
      <c r="I197">
        <v>0</v>
      </c>
      <c r="J197" t="s">
        <v>75</v>
      </c>
      <c r="K197" t="s">
        <v>77</v>
      </c>
      <c r="L197">
        <v>19.28</v>
      </c>
      <c r="M197">
        <v>0</v>
      </c>
      <c r="N197">
        <v>19.28</v>
      </c>
    </row>
    <row r="198" spans="1:14" x14ac:dyDescent="0.3">
      <c r="A198">
        <v>100197</v>
      </c>
      <c r="B198" s="2">
        <v>45300.166666666657</v>
      </c>
      <c r="C198" t="s">
        <v>15</v>
      </c>
      <c r="D198" t="s">
        <v>41</v>
      </c>
      <c r="E198" t="s">
        <v>67</v>
      </c>
      <c r="F198" t="s">
        <v>71</v>
      </c>
      <c r="G198">
        <v>3</v>
      </c>
      <c r="H198">
        <v>52.29</v>
      </c>
      <c r="I198">
        <v>0</v>
      </c>
      <c r="J198" t="s">
        <v>76</v>
      </c>
      <c r="K198" t="s">
        <v>77</v>
      </c>
      <c r="L198">
        <v>156.87</v>
      </c>
      <c r="M198">
        <v>0</v>
      </c>
      <c r="N198">
        <v>156.87</v>
      </c>
    </row>
    <row r="199" spans="1:14" x14ac:dyDescent="0.3">
      <c r="A199">
        <v>100198</v>
      </c>
      <c r="B199" s="2">
        <v>45300.208333333343</v>
      </c>
      <c r="C199" t="s">
        <v>15</v>
      </c>
      <c r="D199" t="s">
        <v>52</v>
      </c>
      <c r="E199" t="s">
        <v>67</v>
      </c>
      <c r="F199" t="s">
        <v>71</v>
      </c>
      <c r="G199">
        <v>1</v>
      </c>
      <c r="H199">
        <v>19.96</v>
      </c>
      <c r="I199">
        <v>10</v>
      </c>
      <c r="J199" t="s">
        <v>75</v>
      </c>
      <c r="K199" t="s">
        <v>77</v>
      </c>
      <c r="L199">
        <v>19.96</v>
      </c>
      <c r="M199">
        <v>1.996</v>
      </c>
      <c r="N199">
        <v>17.963999999999999</v>
      </c>
    </row>
    <row r="200" spans="1:14" x14ac:dyDescent="0.3">
      <c r="A200">
        <v>100199</v>
      </c>
      <c r="B200" s="2">
        <v>45300.25</v>
      </c>
      <c r="C200" t="s">
        <v>14</v>
      </c>
      <c r="D200" t="s">
        <v>65</v>
      </c>
      <c r="E200" t="s">
        <v>67</v>
      </c>
      <c r="F200" t="s">
        <v>72</v>
      </c>
      <c r="G200">
        <v>4</v>
      </c>
      <c r="H200">
        <v>7.58</v>
      </c>
      <c r="I200">
        <v>5</v>
      </c>
      <c r="J200" t="s">
        <v>76</v>
      </c>
      <c r="K200" t="s">
        <v>77</v>
      </c>
      <c r="L200">
        <v>30.32</v>
      </c>
      <c r="M200">
        <v>1.516</v>
      </c>
      <c r="N200">
        <v>28.803999999999998</v>
      </c>
    </row>
    <row r="201" spans="1:14" x14ac:dyDescent="0.3">
      <c r="A201">
        <v>100200</v>
      </c>
      <c r="B201" s="2">
        <v>45300.291666666657</v>
      </c>
      <c r="C201" t="s">
        <v>14</v>
      </c>
      <c r="D201" t="s">
        <v>48</v>
      </c>
      <c r="E201" t="s">
        <v>70</v>
      </c>
      <c r="F201" t="s">
        <v>71</v>
      </c>
      <c r="G201">
        <v>1</v>
      </c>
      <c r="H201">
        <v>46.45</v>
      </c>
      <c r="I201">
        <v>5</v>
      </c>
      <c r="J201" t="s">
        <v>76</v>
      </c>
      <c r="K201" t="s">
        <v>77</v>
      </c>
      <c r="L201">
        <v>46.45</v>
      </c>
      <c r="M201">
        <v>2.3224999999999998</v>
      </c>
      <c r="N201">
        <v>44.127499999999998</v>
      </c>
    </row>
    <row r="202" spans="1:14" x14ac:dyDescent="0.3">
      <c r="A202">
        <v>100201</v>
      </c>
      <c r="B202" s="2">
        <v>45300.333333333343</v>
      </c>
      <c r="C202" t="s">
        <v>14</v>
      </c>
      <c r="D202" t="s">
        <v>29</v>
      </c>
      <c r="E202" t="s">
        <v>69</v>
      </c>
      <c r="F202" t="s">
        <v>72</v>
      </c>
      <c r="G202">
        <v>1</v>
      </c>
      <c r="H202">
        <v>95.13</v>
      </c>
      <c r="I202">
        <v>10</v>
      </c>
      <c r="J202" t="s">
        <v>73</v>
      </c>
      <c r="K202" t="s">
        <v>77</v>
      </c>
      <c r="L202">
        <v>95.13</v>
      </c>
      <c r="M202">
        <v>9.5129999999999999</v>
      </c>
      <c r="N202">
        <v>85.61699999999999</v>
      </c>
    </row>
    <row r="203" spans="1:14" x14ac:dyDescent="0.3">
      <c r="A203">
        <v>100202</v>
      </c>
      <c r="B203" s="2">
        <v>45300.375</v>
      </c>
      <c r="C203" t="s">
        <v>15</v>
      </c>
      <c r="D203" t="s">
        <v>49</v>
      </c>
      <c r="E203" t="s">
        <v>70</v>
      </c>
      <c r="F203" t="s">
        <v>71</v>
      </c>
      <c r="G203">
        <v>1</v>
      </c>
      <c r="H203">
        <v>70.11</v>
      </c>
      <c r="I203">
        <v>5</v>
      </c>
      <c r="J203" t="s">
        <v>76</v>
      </c>
      <c r="K203" t="s">
        <v>77</v>
      </c>
      <c r="L203">
        <v>70.11</v>
      </c>
      <c r="M203">
        <v>3.5055000000000001</v>
      </c>
      <c r="N203">
        <v>66.604500000000002</v>
      </c>
    </row>
    <row r="204" spans="1:14" x14ac:dyDescent="0.3">
      <c r="A204">
        <v>100203</v>
      </c>
      <c r="B204" s="2">
        <v>45300.416666666657</v>
      </c>
      <c r="C204" t="s">
        <v>14</v>
      </c>
      <c r="D204" t="s">
        <v>24</v>
      </c>
      <c r="E204" t="s">
        <v>69</v>
      </c>
      <c r="F204" t="s">
        <v>72</v>
      </c>
      <c r="G204">
        <v>2</v>
      </c>
      <c r="H204">
        <v>40.97</v>
      </c>
      <c r="I204">
        <v>0</v>
      </c>
      <c r="J204" t="s">
        <v>75</v>
      </c>
      <c r="K204" t="s">
        <v>77</v>
      </c>
      <c r="L204">
        <v>81.94</v>
      </c>
      <c r="M204">
        <v>0</v>
      </c>
      <c r="N204">
        <v>81.94</v>
      </c>
    </row>
    <row r="205" spans="1:14" x14ac:dyDescent="0.3">
      <c r="A205">
        <v>100204</v>
      </c>
      <c r="B205" s="2">
        <v>45300.458333333343</v>
      </c>
      <c r="C205" t="s">
        <v>14</v>
      </c>
      <c r="D205" t="s">
        <v>62</v>
      </c>
      <c r="E205" t="s">
        <v>69</v>
      </c>
      <c r="F205" t="s">
        <v>71</v>
      </c>
      <c r="G205">
        <v>5</v>
      </c>
      <c r="H205">
        <v>80.25</v>
      </c>
      <c r="I205">
        <v>5</v>
      </c>
      <c r="J205" t="s">
        <v>76</v>
      </c>
      <c r="K205" t="s">
        <v>77</v>
      </c>
      <c r="L205">
        <v>401.25</v>
      </c>
      <c r="M205">
        <v>20.0625</v>
      </c>
      <c r="N205">
        <v>381.1875</v>
      </c>
    </row>
    <row r="206" spans="1:14" x14ac:dyDescent="0.3">
      <c r="A206">
        <v>100205</v>
      </c>
      <c r="B206" s="2">
        <v>45300.5</v>
      </c>
      <c r="C206" t="s">
        <v>15</v>
      </c>
      <c r="D206" t="s">
        <v>29</v>
      </c>
      <c r="E206" t="s">
        <v>68</v>
      </c>
      <c r="F206" t="s">
        <v>71</v>
      </c>
      <c r="G206">
        <v>2</v>
      </c>
      <c r="H206">
        <v>31.68</v>
      </c>
      <c r="I206">
        <v>5</v>
      </c>
      <c r="J206" t="s">
        <v>74</v>
      </c>
      <c r="K206" t="s">
        <v>77</v>
      </c>
      <c r="L206">
        <v>63.36</v>
      </c>
      <c r="M206">
        <v>3.1680000000000001</v>
      </c>
      <c r="N206">
        <v>60.192</v>
      </c>
    </row>
    <row r="207" spans="1:14" x14ac:dyDescent="0.3">
      <c r="A207">
        <v>100206</v>
      </c>
      <c r="B207" s="2">
        <v>45300.541666666657</v>
      </c>
      <c r="C207" t="s">
        <v>14</v>
      </c>
      <c r="D207" t="s">
        <v>35</v>
      </c>
      <c r="E207" t="s">
        <v>68</v>
      </c>
      <c r="F207" t="s">
        <v>72</v>
      </c>
      <c r="G207">
        <v>2</v>
      </c>
      <c r="H207">
        <v>6.65</v>
      </c>
      <c r="I207">
        <v>15</v>
      </c>
      <c r="J207" t="s">
        <v>73</v>
      </c>
      <c r="K207" t="s">
        <v>77</v>
      </c>
      <c r="L207">
        <v>13.3</v>
      </c>
      <c r="M207">
        <v>1.9950000000000001</v>
      </c>
      <c r="N207">
        <v>11.305</v>
      </c>
    </row>
    <row r="208" spans="1:14" x14ac:dyDescent="0.3">
      <c r="A208">
        <v>100207</v>
      </c>
      <c r="B208" s="2">
        <v>45300.583333333343</v>
      </c>
      <c r="C208" t="s">
        <v>15</v>
      </c>
      <c r="D208" t="s">
        <v>27</v>
      </c>
      <c r="E208" t="s">
        <v>69</v>
      </c>
      <c r="F208" t="s">
        <v>71</v>
      </c>
      <c r="G208">
        <v>1</v>
      </c>
      <c r="H208">
        <v>92.9</v>
      </c>
      <c r="I208">
        <v>15</v>
      </c>
      <c r="J208" t="s">
        <v>73</v>
      </c>
      <c r="K208" t="s">
        <v>77</v>
      </c>
      <c r="L208">
        <v>92.9</v>
      </c>
      <c r="M208">
        <v>13.935</v>
      </c>
      <c r="N208">
        <v>78.965000000000003</v>
      </c>
    </row>
    <row r="209" spans="1:14" x14ac:dyDescent="0.3">
      <c r="A209">
        <v>100208</v>
      </c>
      <c r="B209" s="2">
        <v>45300.625</v>
      </c>
      <c r="C209" t="s">
        <v>15</v>
      </c>
      <c r="D209" t="s">
        <v>47</v>
      </c>
      <c r="E209" t="s">
        <v>69</v>
      </c>
      <c r="F209" t="s">
        <v>71</v>
      </c>
      <c r="G209">
        <v>2</v>
      </c>
      <c r="H209">
        <v>76.73</v>
      </c>
      <c r="I209">
        <v>15</v>
      </c>
      <c r="J209" t="s">
        <v>74</v>
      </c>
      <c r="K209" t="s">
        <v>77</v>
      </c>
      <c r="L209">
        <v>153.46</v>
      </c>
      <c r="M209">
        <v>23.018999999999998</v>
      </c>
      <c r="N209">
        <v>130.441</v>
      </c>
    </row>
    <row r="210" spans="1:14" x14ac:dyDescent="0.3">
      <c r="A210">
        <v>100209</v>
      </c>
      <c r="B210" s="2">
        <v>45300.666666666657</v>
      </c>
      <c r="C210" t="s">
        <v>15</v>
      </c>
      <c r="D210" t="s">
        <v>25</v>
      </c>
      <c r="E210" t="s">
        <v>70</v>
      </c>
      <c r="F210" t="s">
        <v>71</v>
      </c>
      <c r="G210">
        <v>1</v>
      </c>
      <c r="H210">
        <v>92.66</v>
      </c>
      <c r="I210">
        <v>5</v>
      </c>
      <c r="J210" t="s">
        <v>74</v>
      </c>
      <c r="K210" t="s">
        <v>79</v>
      </c>
      <c r="L210">
        <v>92.66</v>
      </c>
      <c r="M210">
        <v>4.633</v>
      </c>
      <c r="N210">
        <v>88.027000000000001</v>
      </c>
    </row>
    <row r="211" spans="1:14" x14ac:dyDescent="0.3">
      <c r="A211">
        <v>100210</v>
      </c>
      <c r="B211" s="2">
        <v>45300.708333333343</v>
      </c>
      <c r="C211" t="s">
        <v>14</v>
      </c>
      <c r="D211" t="s">
        <v>59</v>
      </c>
      <c r="E211" t="s">
        <v>70</v>
      </c>
      <c r="F211" t="s">
        <v>72</v>
      </c>
      <c r="G211">
        <v>5</v>
      </c>
      <c r="H211">
        <v>9.48</v>
      </c>
      <c r="I211">
        <v>10</v>
      </c>
      <c r="J211" t="s">
        <v>74</v>
      </c>
      <c r="K211" t="s">
        <v>77</v>
      </c>
      <c r="L211">
        <v>47.400000000000013</v>
      </c>
      <c r="M211">
        <v>4.7400000000000011</v>
      </c>
      <c r="N211">
        <v>42.66</v>
      </c>
    </row>
    <row r="212" spans="1:14" x14ac:dyDescent="0.3">
      <c r="A212">
        <v>100211</v>
      </c>
      <c r="B212" s="2">
        <v>45300.75</v>
      </c>
      <c r="C212" t="s">
        <v>14</v>
      </c>
      <c r="D212" t="s">
        <v>30</v>
      </c>
      <c r="E212" t="s">
        <v>68</v>
      </c>
      <c r="F212" t="s">
        <v>71</v>
      </c>
      <c r="G212">
        <v>4</v>
      </c>
      <c r="H212">
        <v>101.27</v>
      </c>
      <c r="I212">
        <v>0</v>
      </c>
      <c r="J212" t="s">
        <v>76</v>
      </c>
      <c r="K212" t="s">
        <v>77</v>
      </c>
      <c r="L212">
        <v>405.08</v>
      </c>
      <c r="M212">
        <v>0</v>
      </c>
      <c r="N212">
        <v>405.08</v>
      </c>
    </row>
    <row r="213" spans="1:14" x14ac:dyDescent="0.3">
      <c r="A213">
        <v>100212</v>
      </c>
      <c r="B213" s="2">
        <v>45300.791666666657</v>
      </c>
      <c r="C213" t="s">
        <v>14</v>
      </c>
      <c r="D213" t="s">
        <v>50</v>
      </c>
      <c r="E213" t="s">
        <v>67</v>
      </c>
      <c r="F213" t="s">
        <v>71</v>
      </c>
      <c r="G213">
        <v>1</v>
      </c>
      <c r="H213">
        <v>76.25</v>
      </c>
      <c r="I213">
        <v>5</v>
      </c>
      <c r="J213" t="s">
        <v>73</v>
      </c>
      <c r="K213" t="s">
        <v>77</v>
      </c>
      <c r="L213">
        <v>76.25</v>
      </c>
      <c r="M213">
        <v>3.8125</v>
      </c>
      <c r="N213">
        <v>72.4375</v>
      </c>
    </row>
    <row r="214" spans="1:14" x14ac:dyDescent="0.3">
      <c r="A214">
        <v>100213</v>
      </c>
      <c r="B214" s="2">
        <v>45300.833333333343</v>
      </c>
      <c r="C214" t="s">
        <v>14</v>
      </c>
      <c r="D214" t="s">
        <v>21</v>
      </c>
      <c r="E214" t="s">
        <v>69</v>
      </c>
      <c r="F214" t="s">
        <v>72</v>
      </c>
      <c r="G214">
        <v>5</v>
      </c>
      <c r="H214">
        <v>69.790000000000006</v>
      </c>
      <c r="I214">
        <v>10</v>
      </c>
      <c r="J214" t="s">
        <v>74</v>
      </c>
      <c r="K214" t="s">
        <v>79</v>
      </c>
      <c r="L214">
        <v>348.95</v>
      </c>
      <c r="M214">
        <v>34.895000000000003</v>
      </c>
      <c r="N214">
        <v>314.05500000000012</v>
      </c>
    </row>
    <row r="215" spans="1:14" x14ac:dyDescent="0.3">
      <c r="A215">
        <v>100214</v>
      </c>
      <c r="B215" s="2">
        <v>45300.875</v>
      </c>
      <c r="C215" t="s">
        <v>14</v>
      </c>
      <c r="D215" t="s">
        <v>32</v>
      </c>
      <c r="E215" t="s">
        <v>70</v>
      </c>
      <c r="F215" t="s">
        <v>72</v>
      </c>
      <c r="G215">
        <v>4</v>
      </c>
      <c r="H215">
        <v>76.83</v>
      </c>
      <c r="I215">
        <v>5</v>
      </c>
      <c r="J215" t="s">
        <v>76</v>
      </c>
      <c r="K215" t="s">
        <v>77</v>
      </c>
      <c r="L215">
        <v>307.32</v>
      </c>
      <c r="M215">
        <v>15.366</v>
      </c>
      <c r="N215">
        <v>291.95400000000001</v>
      </c>
    </row>
    <row r="216" spans="1:14" x14ac:dyDescent="0.3">
      <c r="A216">
        <v>100215</v>
      </c>
      <c r="B216" s="2">
        <v>45300.916666666657</v>
      </c>
      <c r="C216" t="s">
        <v>14</v>
      </c>
      <c r="D216" t="s">
        <v>56</v>
      </c>
      <c r="E216" t="s">
        <v>68</v>
      </c>
      <c r="F216" t="s">
        <v>72</v>
      </c>
      <c r="G216">
        <v>3</v>
      </c>
      <c r="H216">
        <v>104.41</v>
      </c>
      <c r="I216">
        <v>0</v>
      </c>
      <c r="J216" t="s">
        <v>74</v>
      </c>
      <c r="K216" t="s">
        <v>77</v>
      </c>
      <c r="L216">
        <v>313.23</v>
      </c>
      <c r="M216">
        <v>0</v>
      </c>
      <c r="N216">
        <v>313.23</v>
      </c>
    </row>
    <row r="217" spans="1:14" x14ac:dyDescent="0.3">
      <c r="A217">
        <v>100216</v>
      </c>
      <c r="B217" s="2">
        <v>45300.958333333343</v>
      </c>
      <c r="C217" t="s">
        <v>14</v>
      </c>
      <c r="D217" t="s">
        <v>16</v>
      </c>
      <c r="E217" t="s">
        <v>70</v>
      </c>
      <c r="F217" t="s">
        <v>71</v>
      </c>
      <c r="G217">
        <v>1</v>
      </c>
      <c r="H217">
        <v>72.5</v>
      </c>
      <c r="I217">
        <v>5</v>
      </c>
      <c r="J217" t="s">
        <v>75</v>
      </c>
      <c r="K217" t="s">
        <v>77</v>
      </c>
      <c r="L217">
        <v>72.5</v>
      </c>
      <c r="M217">
        <v>3.625</v>
      </c>
      <c r="N217">
        <v>68.875</v>
      </c>
    </row>
    <row r="218" spans="1:14" x14ac:dyDescent="0.3">
      <c r="A218">
        <v>100217</v>
      </c>
      <c r="B218" s="2">
        <v>45301</v>
      </c>
      <c r="C218" t="s">
        <v>15</v>
      </c>
      <c r="D218" t="s">
        <v>56</v>
      </c>
      <c r="E218" t="s">
        <v>69</v>
      </c>
      <c r="F218" t="s">
        <v>71</v>
      </c>
      <c r="G218">
        <v>1</v>
      </c>
      <c r="H218">
        <v>71.81</v>
      </c>
      <c r="I218">
        <v>0</v>
      </c>
      <c r="J218" t="s">
        <v>75</v>
      </c>
      <c r="K218" t="s">
        <v>77</v>
      </c>
      <c r="L218">
        <v>71.81</v>
      </c>
      <c r="M218">
        <v>0</v>
      </c>
      <c r="N218">
        <v>71.81</v>
      </c>
    </row>
    <row r="219" spans="1:14" x14ac:dyDescent="0.3">
      <c r="A219">
        <v>100218</v>
      </c>
      <c r="B219" s="2">
        <v>45301.041666666657</v>
      </c>
      <c r="C219" t="s">
        <v>14</v>
      </c>
      <c r="D219" t="s">
        <v>42</v>
      </c>
      <c r="E219" t="s">
        <v>69</v>
      </c>
      <c r="F219" t="s">
        <v>71</v>
      </c>
      <c r="G219">
        <v>3</v>
      </c>
      <c r="H219">
        <v>118.93</v>
      </c>
      <c r="I219">
        <v>5</v>
      </c>
      <c r="J219" t="s">
        <v>73</v>
      </c>
      <c r="K219" t="s">
        <v>77</v>
      </c>
      <c r="L219">
        <v>356.79</v>
      </c>
      <c r="M219">
        <v>17.839500000000001</v>
      </c>
      <c r="N219">
        <v>338.95049999999998</v>
      </c>
    </row>
    <row r="220" spans="1:14" x14ac:dyDescent="0.3">
      <c r="A220">
        <v>100219</v>
      </c>
      <c r="B220" s="2">
        <v>45301.083333333343</v>
      </c>
      <c r="C220" t="s">
        <v>15</v>
      </c>
      <c r="D220" t="s">
        <v>41</v>
      </c>
      <c r="E220" t="s">
        <v>66</v>
      </c>
      <c r="F220" t="s">
        <v>72</v>
      </c>
      <c r="G220">
        <v>3</v>
      </c>
      <c r="H220">
        <v>92.02</v>
      </c>
      <c r="I220">
        <v>0</v>
      </c>
      <c r="J220" t="s">
        <v>76</v>
      </c>
      <c r="K220" t="s">
        <v>77</v>
      </c>
      <c r="L220">
        <v>276.06</v>
      </c>
      <c r="M220">
        <v>0</v>
      </c>
      <c r="N220">
        <v>276.06</v>
      </c>
    </row>
    <row r="221" spans="1:14" x14ac:dyDescent="0.3">
      <c r="A221">
        <v>100220</v>
      </c>
      <c r="B221" s="2">
        <v>45301.125</v>
      </c>
      <c r="C221" t="s">
        <v>14</v>
      </c>
      <c r="D221" t="s">
        <v>58</v>
      </c>
      <c r="E221" t="s">
        <v>67</v>
      </c>
      <c r="F221" t="s">
        <v>71</v>
      </c>
      <c r="G221">
        <v>1</v>
      </c>
      <c r="H221">
        <v>55.86</v>
      </c>
      <c r="I221">
        <v>5</v>
      </c>
      <c r="J221" t="s">
        <v>75</v>
      </c>
      <c r="K221" t="s">
        <v>77</v>
      </c>
      <c r="L221">
        <v>55.86</v>
      </c>
      <c r="M221">
        <v>2.7930000000000001</v>
      </c>
      <c r="N221">
        <v>53.067</v>
      </c>
    </row>
    <row r="222" spans="1:14" x14ac:dyDescent="0.3">
      <c r="A222">
        <v>100221</v>
      </c>
      <c r="B222" s="2">
        <v>45301.166666666657</v>
      </c>
      <c r="C222" t="s">
        <v>14</v>
      </c>
      <c r="D222" t="s">
        <v>30</v>
      </c>
      <c r="E222" t="s">
        <v>66</v>
      </c>
      <c r="F222" t="s">
        <v>71</v>
      </c>
      <c r="G222">
        <v>3</v>
      </c>
      <c r="H222">
        <v>86.35</v>
      </c>
      <c r="I222">
        <v>0</v>
      </c>
      <c r="J222" t="s">
        <v>75</v>
      </c>
      <c r="K222" t="s">
        <v>77</v>
      </c>
      <c r="L222">
        <v>259.05</v>
      </c>
      <c r="M222">
        <v>0</v>
      </c>
      <c r="N222">
        <v>259.05</v>
      </c>
    </row>
    <row r="223" spans="1:14" x14ac:dyDescent="0.3">
      <c r="A223">
        <v>100222</v>
      </c>
      <c r="B223" s="2">
        <v>45301.208333333343</v>
      </c>
      <c r="C223" t="s">
        <v>14</v>
      </c>
      <c r="D223" t="s">
        <v>16</v>
      </c>
      <c r="E223" t="s">
        <v>68</v>
      </c>
      <c r="F223" t="s">
        <v>72</v>
      </c>
      <c r="G223">
        <v>2</v>
      </c>
      <c r="H223">
        <v>49.76</v>
      </c>
      <c r="I223">
        <v>15</v>
      </c>
      <c r="J223" t="s">
        <v>76</v>
      </c>
      <c r="K223" t="s">
        <v>77</v>
      </c>
      <c r="L223">
        <v>99.52</v>
      </c>
      <c r="M223">
        <v>14.928000000000001</v>
      </c>
      <c r="N223">
        <v>84.591999999999999</v>
      </c>
    </row>
    <row r="224" spans="1:14" x14ac:dyDescent="0.3">
      <c r="A224">
        <v>100223</v>
      </c>
      <c r="B224" s="2">
        <v>45301.25</v>
      </c>
      <c r="C224" t="s">
        <v>15</v>
      </c>
      <c r="D224" t="s">
        <v>20</v>
      </c>
      <c r="E224" t="s">
        <v>70</v>
      </c>
      <c r="F224" t="s">
        <v>72</v>
      </c>
      <c r="G224">
        <v>4</v>
      </c>
      <c r="H224">
        <v>31.32</v>
      </c>
      <c r="I224">
        <v>5</v>
      </c>
      <c r="J224" t="s">
        <v>74</v>
      </c>
      <c r="K224" t="s">
        <v>77</v>
      </c>
      <c r="L224">
        <v>125.28</v>
      </c>
      <c r="M224">
        <v>6.2640000000000002</v>
      </c>
      <c r="N224">
        <v>119.01600000000001</v>
      </c>
    </row>
    <row r="225" spans="1:14" x14ac:dyDescent="0.3">
      <c r="A225">
        <v>100224</v>
      </c>
      <c r="B225" s="2">
        <v>45301.291666666657</v>
      </c>
      <c r="C225" t="s">
        <v>15</v>
      </c>
      <c r="D225" t="s">
        <v>19</v>
      </c>
      <c r="E225" t="s">
        <v>68</v>
      </c>
      <c r="F225" t="s">
        <v>72</v>
      </c>
      <c r="G225">
        <v>4</v>
      </c>
      <c r="H225">
        <v>73.64</v>
      </c>
      <c r="I225">
        <v>5</v>
      </c>
      <c r="J225" t="s">
        <v>76</v>
      </c>
      <c r="K225" t="s">
        <v>77</v>
      </c>
      <c r="L225">
        <v>294.56</v>
      </c>
      <c r="M225">
        <v>14.728</v>
      </c>
      <c r="N225">
        <v>279.83199999999999</v>
      </c>
    </row>
    <row r="226" spans="1:14" x14ac:dyDescent="0.3">
      <c r="A226">
        <v>100225</v>
      </c>
      <c r="B226" s="2">
        <v>45301.333333333343</v>
      </c>
      <c r="C226" t="s">
        <v>15</v>
      </c>
      <c r="D226" t="s">
        <v>30</v>
      </c>
      <c r="E226" t="s">
        <v>69</v>
      </c>
      <c r="F226" t="s">
        <v>72</v>
      </c>
      <c r="G226">
        <v>4</v>
      </c>
      <c r="H226">
        <v>111.74</v>
      </c>
      <c r="I226">
        <v>10</v>
      </c>
      <c r="J226" t="s">
        <v>74</v>
      </c>
      <c r="K226" t="s">
        <v>77</v>
      </c>
      <c r="L226">
        <v>446.96</v>
      </c>
      <c r="M226">
        <v>44.695999999999998</v>
      </c>
      <c r="N226">
        <v>402.26400000000001</v>
      </c>
    </row>
    <row r="227" spans="1:14" x14ac:dyDescent="0.3">
      <c r="A227">
        <v>100226</v>
      </c>
      <c r="B227" s="2">
        <v>45301.375</v>
      </c>
      <c r="C227" t="s">
        <v>15</v>
      </c>
      <c r="D227" t="s">
        <v>53</v>
      </c>
      <c r="E227" t="s">
        <v>66</v>
      </c>
      <c r="F227" t="s">
        <v>72</v>
      </c>
      <c r="G227">
        <v>2</v>
      </c>
      <c r="H227">
        <v>111.85</v>
      </c>
      <c r="I227">
        <v>10</v>
      </c>
      <c r="J227" t="s">
        <v>75</v>
      </c>
      <c r="K227" t="s">
        <v>77</v>
      </c>
      <c r="L227">
        <v>223.7</v>
      </c>
      <c r="M227">
        <v>22.37</v>
      </c>
      <c r="N227">
        <v>201.33</v>
      </c>
    </row>
    <row r="228" spans="1:14" x14ac:dyDescent="0.3">
      <c r="A228">
        <v>100227</v>
      </c>
      <c r="B228" s="2">
        <v>45301.416666666657</v>
      </c>
      <c r="C228" t="s">
        <v>14</v>
      </c>
      <c r="D228" t="s">
        <v>32</v>
      </c>
      <c r="E228" t="s">
        <v>66</v>
      </c>
      <c r="F228" t="s">
        <v>71</v>
      </c>
      <c r="G228">
        <v>3</v>
      </c>
      <c r="H228">
        <v>44.32</v>
      </c>
      <c r="I228">
        <v>0</v>
      </c>
      <c r="J228" t="s">
        <v>75</v>
      </c>
      <c r="K228" t="s">
        <v>77</v>
      </c>
      <c r="L228">
        <v>132.96</v>
      </c>
      <c r="M228">
        <v>0</v>
      </c>
      <c r="N228">
        <v>132.96</v>
      </c>
    </row>
    <row r="229" spans="1:14" x14ac:dyDescent="0.3">
      <c r="A229">
        <v>100228</v>
      </c>
      <c r="B229" s="2">
        <v>45301.458333333343</v>
      </c>
      <c r="C229" t="s">
        <v>15</v>
      </c>
      <c r="D229" t="s">
        <v>48</v>
      </c>
      <c r="E229" t="s">
        <v>66</v>
      </c>
      <c r="F229" t="s">
        <v>72</v>
      </c>
      <c r="G229">
        <v>5</v>
      </c>
      <c r="H229">
        <v>65.680000000000007</v>
      </c>
      <c r="I229">
        <v>5</v>
      </c>
      <c r="J229" t="s">
        <v>75</v>
      </c>
      <c r="K229" t="s">
        <v>77</v>
      </c>
      <c r="L229">
        <v>328.4</v>
      </c>
      <c r="M229">
        <v>16.420000000000002</v>
      </c>
      <c r="N229">
        <v>311.98</v>
      </c>
    </row>
    <row r="230" spans="1:14" x14ac:dyDescent="0.3">
      <c r="A230">
        <v>100229</v>
      </c>
      <c r="B230" s="2">
        <v>45301.5</v>
      </c>
      <c r="C230" t="s">
        <v>14</v>
      </c>
      <c r="D230" t="s">
        <v>45</v>
      </c>
      <c r="E230" t="s">
        <v>68</v>
      </c>
      <c r="F230" t="s">
        <v>71</v>
      </c>
      <c r="G230">
        <v>3</v>
      </c>
      <c r="H230">
        <v>29.34</v>
      </c>
      <c r="I230">
        <v>0</v>
      </c>
      <c r="J230" t="s">
        <v>73</v>
      </c>
      <c r="K230" t="s">
        <v>77</v>
      </c>
      <c r="L230">
        <v>88.02</v>
      </c>
      <c r="M230">
        <v>0</v>
      </c>
      <c r="N230">
        <v>88.02</v>
      </c>
    </row>
    <row r="231" spans="1:14" x14ac:dyDescent="0.3">
      <c r="A231">
        <v>100230</v>
      </c>
      <c r="B231" s="2">
        <v>45301.541666666657</v>
      </c>
      <c r="C231" t="s">
        <v>14</v>
      </c>
      <c r="D231" t="s">
        <v>35</v>
      </c>
      <c r="E231" t="s">
        <v>69</v>
      </c>
      <c r="F231" t="s">
        <v>71</v>
      </c>
      <c r="G231">
        <v>1</v>
      </c>
      <c r="H231">
        <v>119.5</v>
      </c>
      <c r="I231">
        <v>15</v>
      </c>
      <c r="J231" t="s">
        <v>73</v>
      </c>
      <c r="K231" t="s">
        <v>79</v>
      </c>
      <c r="L231">
        <v>119.5</v>
      </c>
      <c r="M231">
        <v>17.925000000000001</v>
      </c>
      <c r="N231">
        <v>101.575</v>
      </c>
    </row>
    <row r="232" spans="1:14" x14ac:dyDescent="0.3">
      <c r="A232">
        <v>100231</v>
      </c>
      <c r="B232" s="2">
        <v>45301.583333333343</v>
      </c>
      <c r="C232" t="s">
        <v>15</v>
      </c>
      <c r="D232" t="s">
        <v>27</v>
      </c>
      <c r="E232" t="s">
        <v>70</v>
      </c>
      <c r="F232" t="s">
        <v>72</v>
      </c>
      <c r="G232">
        <v>4</v>
      </c>
      <c r="H232">
        <v>117.83</v>
      </c>
      <c r="I232">
        <v>10</v>
      </c>
      <c r="J232" t="s">
        <v>73</v>
      </c>
      <c r="K232" t="s">
        <v>77</v>
      </c>
      <c r="L232">
        <v>471.32</v>
      </c>
      <c r="M232">
        <v>47.132000000000012</v>
      </c>
      <c r="N232">
        <v>424.18799999999999</v>
      </c>
    </row>
    <row r="233" spans="1:14" x14ac:dyDescent="0.3">
      <c r="A233">
        <v>100232</v>
      </c>
      <c r="B233" s="2">
        <v>45301.625</v>
      </c>
      <c r="C233" t="s">
        <v>15</v>
      </c>
      <c r="D233" t="s">
        <v>29</v>
      </c>
      <c r="E233" t="s">
        <v>70</v>
      </c>
      <c r="F233" t="s">
        <v>72</v>
      </c>
      <c r="G233">
        <v>3</v>
      </c>
      <c r="H233">
        <v>79.69</v>
      </c>
      <c r="I233">
        <v>0</v>
      </c>
      <c r="J233" t="s">
        <v>76</v>
      </c>
      <c r="K233" t="s">
        <v>77</v>
      </c>
      <c r="L233">
        <v>239.07</v>
      </c>
      <c r="M233">
        <v>0</v>
      </c>
      <c r="N233">
        <v>239.07</v>
      </c>
    </row>
    <row r="234" spans="1:14" x14ac:dyDescent="0.3">
      <c r="A234">
        <v>100233</v>
      </c>
      <c r="B234" s="2">
        <v>45301.666666666657</v>
      </c>
      <c r="C234" t="s">
        <v>15</v>
      </c>
      <c r="D234" t="s">
        <v>64</v>
      </c>
      <c r="E234" t="s">
        <v>68</v>
      </c>
      <c r="F234" t="s">
        <v>72</v>
      </c>
      <c r="G234">
        <v>5</v>
      </c>
      <c r="H234">
        <v>97.51</v>
      </c>
      <c r="I234">
        <v>0</v>
      </c>
      <c r="J234" t="s">
        <v>75</v>
      </c>
      <c r="K234" t="s">
        <v>77</v>
      </c>
      <c r="L234">
        <v>487.55</v>
      </c>
      <c r="M234">
        <v>0</v>
      </c>
      <c r="N234">
        <v>487.55</v>
      </c>
    </row>
    <row r="235" spans="1:14" x14ac:dyDescent="0.3">
      <c r="A235">
        <v>100234</v>
      </c>
      <c r="B235" s="2">
        <v>45301.708333333343</v>
      </c>
      <c r="C235" t="s">
        <v>15</v>
      </c>
      <c r="D235" t="s">
        <v>29</v>
      </c>
      <c r="E235" t="s">
        <v>66</v>
      </c>
      <c r="F235" t="s">
        <v>71</v>
      </c>
      <c r="G235">
        <v>1</v>
      </c>
      <c r="H235">
        <v>87.24</v>
      </c>
      <c r="I235">
        <v>10</v>
      </c>
      <c r="J235" t="s">
        <v>75</v>
      </c>
      <c r="K235" t="s">
        <v>77</v>
      </c>
      <c r="L235">
        <v>87.24</v>
      </c>
      <c r="M235">
        <v>8.7240000000000002</v>
      </c>
      <c r="N235">
        <v>78.515999999999991</v>
      </c>
    </row>
    <row r="236" spans="1:14" x14ac:dyDescent="0.3">
      <c r="A236">
        <v>100235</v>
      </c>
      <c r="B236" s="2">
        <v>45301.75</v>
      </c>
      <c r="C236" t="s">
        <v>15</v>
      </c>
      <c r="D236" t="s">
        <v>42</v>
      </c>
      <c r="E236" t="s">
        <v>67</v>
      </c>
      <c r="F236" t="s">
        <v>72</v>
      </c>
      <c r="G236">
        <v>2</v>
      </c>
      <c r="H236">
        <v>73.209999999999994</v>
      </c>
      <c r="I236">
        <v>5</v>
      </c>
      <c r="J236" t="s">
        <v>76</v>
      </c>
      <c r="K236" t="s">
        <v>77</v>
      </c>
      <c r="L236">
        <v>146.41999999999999</v>
      </c>
      <c r="M236">
        <v>7.3209999999999997</v>
      </c>
      <c r="N236">
        <v>139.09899999999999</v>
      </c>
    </row>
    <row r="237" spans="1:14" x14ac:dyDescent="0.3">
      <c r="A237">
        <v>100236</v>
      </c>
      <c r="B237" s="2">
        <v>45301.791666666657</v>
      </c>
      <c r="C237" t="s">
        <v>15</v>
      </c>
      <c r="D237" t="s">
        <v>44</v>
      </c>
      <c r="E237" t="s">
        <v>68</v>
      </c>
      <c r="F237" t="s">
        <v>72</v>
      </c>
      <c r="G237">
        <v>2</v>
      </c>
      <c r="H237">
        <v>11.14</v>
      </c>
      <c r="I237">
        <v>0</v>
      </c>
      <c r="J237" t="s">
        <v>73</v>
      </c>
      <c r="K237" t="s">
        <v>77</v>
      </c>
      <c r="L237">
        <v>22.28</v>
      </c>
      <c r="M237">
        <v>0</v>
      </c>
      <c r="N237">
        <v>22.28</v>
      </c>
    </row>
    <row r="238" spans="1:14" x14ac:dyDescent="0.3">
      <c r="A238">
        <v>100237</v>
      </c>
      <c r="B238" s="2">
        <v>45301.833333333343</v>
      </c>
      <c r="C238" t="s">
        <v>15</v>
      </c>
      <c r="D238" t="s">
        <v>29</v>
      </c>
      <c r="E238" t="s">
        <v>68</v>
      </c>
      <c r="F238" t="s">
        <v>72</v>
      </c>
      <c r="G238">
        <v>5</v>
      </c>
      <c r="H238">
        <v>57.3</v>
      </c>
      <c r="I238">
        <v>10</v>
      </c>
      <c r="J238" t="s">
        <v>76</v>
      </c>
      <c r="K238" t="s">
        <v>77</v>
      </c>
      <c r="L238">
        <v>286.5</v>
      </c>
      <c r="M238">
        <v>28.65</v>
      </c>
      <c r="N238">
        <v>257.85000000000002</v>
      </c>
    </row>
    <row r="239" spans="1:14" x14ac:dyDescent="0.3">
      <c r="A239">
        <v>100238</v>
      </c>
      <c r="B239" s="2">
        <v>45301.875</v>
      </c>
      <c r="C239" t="s">
        <v>15</v>
      </c>
      <c r="D239" t="s">
        <v>55</v>
      </c>
      <c r="E239" t="s">
        <v>69</v>
      </c>
      <c r="F239" t="s">
        <v>72</v>
      </c>
      <c r="G239">
        <v>1</v>
      </c>
      <c r="H239">
        <v>82.6</v>
      </c>
      <c r="I239">
        <v>5</v>
      </c>
      <c r="J239" t="s">
        <v>73</v>
      </c>
      <c r="K239" t="s">
        <v>77</v>
      </c>
      <c r="L239">
        <v>82.6</v>
      </c>
      <c r="M239">
        <v>4.13</v>
      </c>
      <c r="N239">
        <v>78.47</v>
      </c>
    </row>
    <row r="240" spans="1:14" x14ac:dyDescent="0.3">
      <c r="A240">
        <v>100239</v>
      </c>
      <c r="B240" s="2">
        <v>45301.916666666657</v>
      </c>
      <c r="C240" t="s">
        <v>14</v>
      </c>
      <c r="D240" t="s">
        <v>54</v>
      </c>
      <c r="E240" t="s">
        <v>70</v>
      </c>
      <c r="F240" t="s">
        <v>72</v>
      </c>
      <c r="G240">
        <v>4</v>
      </c>
      <c r="H240">
        <v>82.92</v>
      </c>
      <c r="I240">
        <v>15</v>
      </c>
      <c r="J240" t="s">
        <v>75</v>
      </c>
      <c r="K240" t="s">
        <v>77</v>
      </c>
      <c r="L240">
        <v>331.68</v>
      </c>
      <c r="M240">
        <v>49.752000000000002</v>
      </c>
      <c r="N240">
        <v>281.928</v>
      </c>
    </row>
    <row r="241" spans="1:14" x14ac:dyDescent="0.3">
      <c r="A241">
        <v>100240</v>
      </c>
      <c r="B241" s="2">
        <v>45301.958333333343</v>
      </c>
      <c r="C241" t="s">
        <v>15</v>
      </c>
      <c r="D241" t="s">
        <v>38</v>
      </c>
      <c r="E241" t="s">
        <v>68</v>
      </c>
      <c r="F241" t="s">
        <v>71</v>
      </c>
      <c r="G241">
        <v>3</v>
      </c>
      <c r="H241">
        <v>47.91</v>
      </c>
      <c r="I241">
        <v>10</v>
      </c>
      <c r="J241" t="s">
        <v>74</v>
      </c>
      <c r="K241" t="s">
        <v>77</v>
      </c>
      <c r="L241">
        <v>143.72999999999999</v>
      </c>
      <c r="M241">
        <v>14.372999999999999</v>
      </c>
      <c r="N241">
        <v>129.357</v>
      </c>
    </row>
    <row r="242" spans="1:14" x14ac:dyDescent="0.3">
      <c r="A242">
        <v>100241</v>
      </c>
      <c r="B242" s="2">
        <v>45302</v>
      </c>
      <c r="C242" t="s">
        <v>15</v>
      </c>
      <c r="D242" t="s">
        <v>58</v>
      </c>
      <c r="E242" t="s">
        <v>68</v>
      </c>
      <c r="F242" t="s">
        <v>71</v>
      </c>
      <c r="G242">
        <v>1</v>
      </c>
      <c r="H242">
        <v>113.29</v>
      </c>
      <c r="I242">
        <v>0</v>
      </c>
      <c r="J242" t="s">
        <v>73</v>
      </c>
      <c r="K242" t="s">
        <v>77</v>
      </c>
      <c r="L242">
        <v>113.29</v>
      </c>
      <c r="M242">
        <v>0</v>
      </c>
      <c r="N242">
        <v>113.29</v>
      </c>
    </row>
    <row r="243" spans="1:14" x14ac:dyDescent="0.3">
      <c r="A243">
        <v>100242</v>
      </c>
      <c r="B243" s="2">
        <v>45302.041666666657</v>
      </c>
      <c r="C243" t="s">
        <v>14</v>
      </c>
      <c r="D243" t="s">
        <v>51</v>
      </c>
      <c r="E243" t="s">
        <v>66</v>
      </c>
      <c r="F243" t="s">
        <v>71</v>
      </c>
      <c r="G243">
        <v>2</v>
      </c>
      <c r="H243">
        <v>24.25</v>
      </c>
      <c r="I243">
        <v>15</v>
      </c>
      <c r="J243" t="s">
        <v>75</v>
      </c>
      <c r="K243" t="s">
        <v>77</v>
      </c>
      <c r="L243">
        <v>48.5</v>
      </c>
      <c r="M243">
        <v>7.2749999999999986</v>
      </c>
      <c r="N243">
        <v>41.225000000000001</v>
      </c>
    </row>
    <row r="244" spans="1:14" x14ac:dyDescent="0.3">
      <c r="A244">
        <v>100243</v>
      </c>
      <c r="B244" s="2">
        <v>45302.083333333343</v>
      </c>
      <c r="C244" t="s">
        <v>15</v>
      </c>
      <c r="D244" t="s">
        <v>61</v>
      </c>
      <c r="E244" t="s">
        <v>66</v>
      </c>
      <c r="F244" t="s">
        <v>72</v>
      </c>
      <c r="G244">
        <v>5</v>
      </c>
      <c r="H244">
        <v>62.54</v>
      </c>
      <c r="I244">
        <v>5</v>
      </c>
      <c r="J244" t="s">
        <v>75</v>
      </c>
      <c r="K244" t="s">
        <v>77</v>
      </c>
      <c r="L244">
        <v>312.7</v>
      </c>
      <c r="M244">
        <v>15.635</v>
      </c>
      <c r="N244">
        <v>297.065</v>
      </c>
    </row>
    <row r="245" spans="1:14" x14ac:dyDescent="0.3">
      <c r="A245">
        <v>100244</v>
      </c>
      <c r="B245" s="2">
        <v>45302.125</v>
      </c>
      <c r="C245" t="s">
        <v>14</v>
      </c>
      <c r="D245" t="s">
        <v>45</v>
      </c>
      <c r="E245" t="s">
        <v>67</v>
      </c>
      <c r="F245" t="s">
        <v>72</v>
      </c>
      <c r="G245">
        <v>5</v>
      </c>
      <c r="H245">
        <v>84.45</v>
      </c>
      <c r="I245">
        <v>5</v>
      </c>
      <c r="J245" t="s">
        <v>74</v>
      </c>
      <c r="K245" t="s">
        <v>77</v>
      </c>
      <c r="L245">
        <v>422.25</v>
      </c>
      <c r="M245">
        <v>21.112500000000001</v>
      </c>
      <c r="N245">
        <v>401.13749999999999</v>
      </c>
    </row>
    <row r="246" spans="1:14" x14ac:dyDescent="0.3">
      <c r="A246">
        <v>100245</v>
      </c>
      <c r="B246" s="2">
        <v>45302.166666666657</v>
      </c>
      <c r="C246" t="s">
        <v>14</v>
      </c>
      <c r="D246" t="s">
        <v>50</v>
      </c>
      <c r="E246" t="s">
        <v>69</v>
      </c>
      <c r="F246" t="s">
        <v>72</v>
      </c>
      <c r="G246">
        <v>3</v>
      </c>
      <c r="H246">
        <v>85.17</v>
      </c>
      <c r="I246">
        <v>10</v>
      </c>
      <c r="J246" t="s">
        <v>75</v>
      </c>
      <c r="K246" t="s">
        <v>79</v>
      </c>
      <c r="L246">
        <v>255.51</v>
      </c>
      <c r="M246">
        <v>25.550999999999998</v>
      </c>
      <c r="N246">
        <v>229.959</v>
      </c>
    </row>
    <row r="247" spans="1:14" x14ac:dyDescent="0.3">
      <c r="A247">
        <v>100246</v>
      </c>
      <c r="B247" s="2">
        <v>45302.208333333343</v>
      </c>
      <c r="C247" t="s">
        <v>15</v>
      </c>
      <c r="D247" t="s">
        <v>26</v>
      </c>
      <c r="E247" t="s">
        <v>67</v>
      </c>
      <c r="F247" t="s">
        <v>71</v>
      </c>
      <c r="G247">
        <v>5</v>
      </c>
      <c r="H247">
        <v>79.59</v>
      </c>
      <c r="I247">
        <v>10</v>
      </c>
      <c r="J247" t="s">
        <v>75</v>
      </c>
      <c r="K247" t="s">
        <v>79</v>
      </c>
      <c r="L247">
        <v>397.95</v>
      </c>
      <c r="M247">
        <v>39.795000000000009</v>
      </c>
      <c r="N247">
        <v>358.15499999999997</v>
      </c>
    </row>
    <row r="248" spans="1:14" x14ac:dyDescent="0.3">
      <c r="A248">
        <v>100247</v>
      </c>
      <c r="B248" s="2">
        <v>45302.25</v>
      </c>
      <c r="C248" t="s">
        <v>14</v>
      </c>
      <c r="D248" t="s">
        <v>41</v>
      </c>
      <c r="E248" t="s">
        <v>66</v>
      </c>
      <c r="F248" t="s">
        <v>72</v>
      </c>
      <c r="G248">
        <v>5</v>
      </c>
      <c r="H248">
        <v>36.659999999999997</v>
      </c>
      <c r="I248">
        <v>10</v>
      </c>
      <c r="J248" t="s">
        <v>73</v>
      </c>
      <c r="K248" t="s">
        <v>77</v>
      </c>
      <c r="L248">
        <v>183.3</v>
      </c>
      <c r="M248">
        <v>18.329999999999998</v>
      </c>
      <c r="N248">
        <v>164.97</v>
      </c>
    </row>
    <row r="249" spans="1:14" x14ac:dyDescent="0.3">
      <c r="A249">
        <v>100248</v>
      </c>
      <c r="B249" s="2">
        <v>45302.291666666657</v>
      </c>
      <c r="C249" t="s">
        <v>14</v>
      </c>
      <c r="D249" t="s">
        <v>44</v>
      </c>
      <c r="E249" t="s">
        <v>70</v>
      </c>
      <c r="F249" t="s">
        <v>72</v>
      </c>
      <c r="G249">
        <v>1</v>
      </c>
      <c r="H249">
        <v>22.96</v>
      </c>
      <c r="I249">
        <v>5</v>
      </c>
      <c r="J249" t="s">
        <v>73</v>
      </c>
      <c r="K249" t="s">
        <v>77</v>
      </c>
      <c r="L249">
        <v>22.96</v>
      </c>
      <c r="M249">
        <v>1.1479999999999999</v>
      </c>
      <c r="N249">
        <v>21.812000000000001</v>
      </c>
    </row>
    <row r="250" spans="1:14" x14ac:dyDescent="0.3">
      <c r="A250">
        <v>100249</v>
      </c>
      <c r="B250" s="2">
        <v>45302.333333333343</v>
      </c>
      <c r="C250" t="s">
        <v>14</v>
      </c>
      <c r="D250" t="s">
        <v>35</v>
      </c>
      <c r="E250" t="s">
        <v>66</v>
      </c>
      <c r="F250" t="s">
        <v>72</v>
      </c>
      <c r="G250">
        <v>4</v>
      </c>
      <c r="H250">
        <v>78.13</v>
      </c>
      <c r="I250">
        <v>15</v>
      </c>
      <c r="J250" t="s">
        <v>74</v>
      </c>
      <c r="K250" t="s">
        <v>77</v>
      </c>
      <c r="L250">
        <v>312.52</v>
      </c>
      <c r="M250">
        <v>46.877999999999993</v>
      </c>
      <c r="N250">
        <v>265.642</v>
      </c>
    </row>
    <row r="251" spans="1:14" x14ac:dyDescent="0.3">
      <c r="A251">
        <v>100250</v>
      </c>
      <c r="B251" s="2">
        <v>45302.375</v>
      </c>
      <c r="C251" t="s">
        <v>14</v>
      </c>
      <c r="D251" t="s">
        <v>26</v>
      </c>
      <c r="E251" t="s">
        <v>69</v>
      </c>
      <c r="F251" t="s">
        <v>71</v>
      </c>
      <c r="G251">
        <v>3</v>
      </c>
      <c r="H251">
        <v>73.92</v>
      </c>
      <c r="I251">
        <v>5</v>
      </c>
      <c r="J251" t="s">
        <v>74</v>
      </c>
      <c r="K251" t="s">
        <v>77</v>
      </c>
      <c r="L251">
        <v>221.76</v>
      </c>
      <c r="M251">
        <v>11.087999999999999</v>
      </c>
      <c r="N251">
        <v>210.672</v>
      </c>
    </row>
    <row r="252" spans="1:14" x14ac:dyDescent="0.3">
      <c r="A252">
        <v>100251</v>
      </c>
      <c r="B252" s="2">
        <v>45302.416666666657</v>
      </c>
      <c r="C252" t="s">
        <v>15</v>
      </c>
      <c r="D252" t="s">
        <v>50</v>
      </c>
      <c r="E252" t="s">
        <v>66</v>
      </c>
      <c r="F252" t="s">
        <v>72</v>
      </c>
      <c r="G252">
        <v>1</v>
      </c>
      <c r="H252">
        <v>25.63</v>
      </c>
      <c r="I252">
        <v>0</v>
      </c>
      <c r="J252" t="s">
        <v>75</v>
      </c>
      <c r="K252" t="s">
        <v>77</v>
      </c>
      <c r="L252">
        <v>25.63</v>
      </c>
      <c r="M252">
        <v>0</v>
      </c>
      <c r="N252">
        <v>25.63</v>
      </c>
    </row>
    <row r="253" spans="1:14" x14ac:dyDescent="0.3">
      <c r="A253">
        <v>100252</v>
      </c>
      <c r="B253" s="2">
        <v>45302.458333333343</v>
      </c>
      <c r="C253" t="s">
        <v>14</v>
      </c>
      <c r="D253" t="s">
        <v>18</v>
      </c>
      <c r="E253" t="s">
        <v>69</v>
      </c>
      <c r="F253" t="s">
        <v>71</v>
      </c>
      <c r="G253">
        <v>4</v>
      </c>
      <c r="H253">
        <v>86.09</v>
      </c>
      <c r="I253">
        <v>5</v>
      </c>
      <c r="J253" t="s">
        <v>73</v>
      </c>
      <c r="K253" t="s">
        <v>77</v>
      </c>
      <c r="L253">
        <v>344.36</v>
      </c>
      <c r="M253">
        <v>17.218</v>
      </c>
      <c r="N253">
        <v>327.142</v>
      </c>
    </row>
    <row r="254" spans="1:14" x14ac:dyDescent="0.3">
      <c r="A254">
        <v>100253</v>
      </c>
      <c r="B254" s="2">
        <v>45302.5</v>
      </c>
      <c r="C254" t="s">
        <v>15</v>
      </c>
      <c r="D254" t="s">
        <v>42</v>
      </c>
      <c r="E254" t="s">
        <v>69</v>
      </c>
      <c r="F254" t="s">
        <v>72</v>
      </c>
      <c r="G254">
        <v>1</v>
      </c>
      <c r="H254">
        <v>57.34</v>
      </c>
      <c r="I254">
        <v>0</v>
      </c>
      <c r="J254" t="s">
        <v>74</v>
      </c>
      <c r="K254" t="s">
        <v>77</v>
      </c>
      <c r="L254">
        <v>57.34</v>
      </c>
      <c r="M254">
        <v>0</v>
      </c>
      <c r="N254">
        <v>57.34</v>
      </c>
    </row>
    <row r="255" spans="1:14" x14ac:dyDescent="0.3">
      <c r="A255">
        <v>100254</v>
      </c>
      <c r="B255" s="2">
        <v>45302.541666666657</v>
      </c>
      <c r="C255" t="s">
        <v>14</v>
      </c>
      <c r="D255" t="s">
        <v>40</v>
      </c>
      <c r="E255" t="s">
        <v>69</v>
      </c>
      <c r="F255" t="s">
        <v>71</v>
      </c>
      <c r="G255">
        <v>1</v>
      </c>
      <c r="H255">
        <v>81.790000000000006</v>
      </c>
      <c r="I255">
        <v>15</v>
      </c>
      <c r="J255" t="s">
        <v>74</v>
      </c>
      <c r="K255" t="s">
        <v>78</v>
      </c>
      <c r="L255">
        <v>81.790000000000006</v>
      </c>
      <c r="M255">
        <v>12.2685</v>
      </c>
      <c r="N255">
        <v>69.521500000000003</v>
      </c>
    </row>
    <row r="256" spans="1:14" x14ac:dyDescent="0.3">
      <c r="A256">
        <v>100255</v>
      </c>
      <c r="B256" s="2">
        <v>45302.583333333343</v>
      </c>
      <c r="C256" t="s">
        <v>14</v>
      </c>
      <c r="D256" t="s">
        <v>26</v>
      </c>
      <c r="E256" t="s">
        <v>69</v>
      </c>
      <c r="F256" t="s">
        <v>71</v>
      </c>
      <c r="G256">
        <v>5</v>
      </c>
      <c r="H256">
        <v>101.3</v>
      </c>
      <c r="I256">
        <v>10</v>
      </c>
      <c r="J256" t="s">
        <v>76</v>
      </c>
      <c r="K256" t="s">
        <v>77</v>
      </c>
      <c r="L256">
        <v>506.5</v>
      </c>
      <c r="M256">
        <v>50.650000000000013</v>
      </c>
      <c r="N256">
        <v>455.85</v>
      </c>
    </row>
    <row r="257" spans="1:14" x14ac:dyDescent="0.3">
      <c r="A257">
        <v>100256</v>
      </c>
      <c r="B257" s="2">
        <v>45302.625</v>
      </c>
      <c r="C257" t="s">
        <v>14</v>
      </c>
      <c r="D257" t="s">
        <v>26</v>
      </c>
      <c r="E257" t="s">
        <v>69</v>
      </c>
      <c r="F257" t="s">
        <v>71</v>
      </c>
      <c r="G257">
        <v>4</v>
      </c>
      <c r="H257">
        <v>24.52</v>
      </c>
      <c r="I257">
        <v>10</v>
      </c>
      <c r="J257" t="s">
        <v>74</v>
      </c>
      <c r="K257" t="s">
        <v>77</v>
      </c>
      <c r="L257">
        <v>98.08</v>
      </c>
      <c r="M257">
        <v>9.8079999999999998</v>
      </c>
      <c r="N257">
        <v>88.271999999999991</v>
      </c>
    </row>
    <row r="258" spans="1:14" x14ac:dyDescent="0.3">
      <c r="A258">
        <v>100257</v>
      </c>
      <c r="B258" s="2">
        <v>45302.666666666657</v>
      </c>
      <c r="C258" t="s">
        <v>14</v>
      </c>
      <c r="D258" t="s">
        <v>22</v>
      </c>
      <c r="E258" t="s">
        <v>70</v>
      </c>
      <c r="F258" t="s">
        <v>72</v>
      </c>
      <c r="G258">
        <v>3</v>
      </c>
      <c r="H258">
        <v>7.2</v>
      </c>
      <c r="I258">
        <v>5</v>
      </c>
      <c r="J258" t="s">
        <v>75</v>
      </c>
      <c r="K258" t="s">
        <v>77</v>
      </c>
      <c r="L258">
        <v>21.6</v>
      </c>
      <c r="M258">
        <v>1.08</v>
      </c>
      <c r="N258">
        <v>20.52</v>
      </c>
    </row>
    <row r="259" spans="1:14" x14ac:dyDescent="0.3">
      <c r="A259">
        <v>100258</v>
      </c>
      <c r="B259" s="2">
        <v>45302.708333333343</v>
      </c>
      <c r="C259" t="s">
        <v>15</v>
      </c>
      <c r="D259" t="s">
        <v>53</v>
      </c>
      <c r="E259" t="s">
        <v>67</v>
      </c>
      <c r="F259" t="s">
        <v>72</v>
      </c>
      <c r="G259">
        <v>3</v>
      </c>
      <c r="H259">
        <v>94.6</v>
      </c>
      <c r="I259">
        <v>10</v>
      </c>
      <c r="J259" t="s">
        <v>73</v>
      </c>
      <c r="K259" t="s">
        <v>77</v>
      </c>
      <c r="L259">
        <v>283.8</v>
      </c>
      <c r="M259">
        <v>28.38</v>
      </c>
      <c r="N259">
        <v>255.42</v>
      </c>
    </row>
    <row r="260" spans="1:14" x14ac:dyDescent="0.3">
      <c r="A260">
        <v>100259</v>
      </c>
      <c r="B260" s="2">
        <v>45302.75</v>
      </c>
      <c r="C260" t="s">
        <v>15</v>
      </c>
      <c r="D260" t="s">
        <v>33</v>
      </c>
      <c r="E260" t="s">
        <v>68</v>
      </c>
      <c r="F260" t="s">
        <v>71</v>
      </c>
      <c r="G260">
        <v>4</v>
      </c>
      <c r="H260">
        <v>75.12</v>
      </c>
      <c r="I260">
        <v>15</v>
      </c>
      <c r="J260" t="s">
        <v>74</v>
      </c>
      <c r="K260" t="s">
        <v>77</v>
      </c>
      <c r="L260">
        <v>300.48</v>
      </c>
      <c r="M260">
        <v>45.072000000000003</v>
      </c>
      <c r="N260">
        <v>255.40799999999999</v>
      </c>
    </row>
    <row r="261" spans="1:14" x14ac:dyDescent="0.3">
      <c r="A261">
        <v>100260</v>
      </c>
      <c r="B261" s="2">
        <v>45302.791666666657</v>
      </c>
      <c r="C261" t="s">
        <v>14</v>
      </c>
      <c r="D261" t="s">
        <v>39</v>
      </c>
      <c r="E261" t="s">
        <v>67</v>
      </c>
      <c r="F261" t="s">
        <v>71</v>
      </c>
      <c r="G261">
        <v>5</v>
      </c>
      <c r="H261">
        <v>85.46</v>
      </c>
      <c r="I261">
        <v>10</v>
      </c>
      <c r="J261" t="s">
        <v>76</v>
      </c>
      <c r="K261" t="s">
        <v>77</v>
      </c>
      <c r="L261">
        <v>427.3</v>
      </c>
      <c r="M261">
        <v>42.73</v>
      </c>
      <c r="N261">
        <v>384.56999999999988</v>
      </c>
    </row>
    <row r="262" spans="1:14" x14ac:dyDescent="0.3">
      <c r="A262">
        <v>100261</v>
      </c>
      <c r="B262" s="2">
        <v>45302.833333333343</v>
      </c>
      <c r="C262" t="s">
        <v>14</v>
      </c>
      <c r="D262" t="s">
        <v>33</v>
      </c>
      <c r="E262" t="s">
        <v>69</v>
      </c>
      <c r="F262" t="s">
        <v>72</v>
      </c>
      <c r="G262">
        <v>2</v>
      </c>
      <c r="H262">
        <v>101.39</v>
      </c>
      <c r="I262">
        <v>5</v>
      </c>
      <c r="J262" t="s">
        <v>73</v>
      </c>
      <c r="K262" t="s">
        <v>77</v>
      </c>
      <c r="L262">
        <v>202.78</v>
      </c>
      <c r="M262">
        <v>10.138999999999999</v>
      </c>
      <c r="N262">
        <v>192.64099999999999</v>
      </c>
    </row>
    <row r="263" spans="1:14" x14ac:dyDescent="0.3">
      <c r="A263">
        <v>100262</v>
      </c>
      <c r="B263" s="2">
        <v>45302.875</v>
      </c>
      <c r="C263" t="s">
        <v>15</v>
      </c>
      <c r="D263" t="s">
        <v>46</v>
      </c>
      <c r="E263" t="s">
        <v>70</v>
      </c>
      <c r="F263" t="s">
        <v>72</v>
      </c>
      <c r="G263">
        <v>1</v>
      </c>
      <c r="H263">
        <v>97.32</v>
      </c>
      <c r="I263">
        <v>15</v>
      </c>
      <c r="J263" t="s">
        <v>74</v>
      </c>
      <c r="K263" t="s">
        <v>77</v>
      </c>
      <c r="L263">
        <v>97.32</v>
      </c>
      <c r="M263">
        <v>14.598000000000001</v>
      </c>
      <c r="N263">
        <v>82.721999999999994</v>
      </c>
    </row>
    <row r="264" spans="1:14" x14ac:dyDescent="0.3">
      <c r="A264">
        <v>100263</v>
      </c>
      <c r="B264" s="2">
        <v>45302.916666666657</v>
      </c>
      <c r="C264" t="s">
        <v>14</v>
      </c>
      <c r="D264" t="s">
        <v>60</v>
      </c>
      <c r="E264" t="s">
        <v>66</v>
      </c>
      <c r="F264" t="s">
        <v>71</v>
      </c>
      <c r="G264">
        <v>5</v>
      </c>
      <c r="H264">
        <v>115.51</v>
      </c>
      <c r="I264">
        <v>0</v>
      </c>
      <c r="J264" t="s">
        <v>76</v>
      </c>
      <c r="K264" t="s">
        <v>77</v>
      </c>
      <c r="L264">
        <v>577.55000000000007</v>
      </c>
      <c r="M264">
        <v>0</v>
      </c>
      <c r="N264">
        <v>577.55000000000007</v>
      </c>
    </row>
    <row r="265" spans="1:14" x14ac:dyDescent="0.3">
      <c r="A265">
        <v>100264</v>
      </c>
      <c r="B265" s="2">
        <v>45302.958333333343</v>
      </c>
      <c r="C265" t="s">
        <v>14</v>
      </c>
      <c r="D265" t="s">
        <v>17</v>
      </c>
      <c r="E265" t="s">
        <v>70</v>
      </c>
      <c r="F265" t="s">
        <v>72</v>
      </c>
      <c r="G265">
        <v>4</v>
      </c>
      <c r="H265">
        <v>66.63</v>
      </c>
      <c r="I265">
        <v>5</v>
      </c>
      <c r="J265" t="s">
        <v>74</v>
      </c>
      <c r="K265" t="s">
        <v>77</v>
      </c>
      <c r="L265">
        <v>266.52</v>
      </c>
      <c r="M265">
        <v>13.326000000000001</v>
      </c>
      <c r="N265">
        <v>253.19399999999999</v>
      </c>
    </row>
    <row r="266" spans="1:14" x14ac:dyDescent="0.3">
      <c r="A266">
        <v>100265</v>
      </c>
      <c r="B266" s="2">
        <v>45303</v>
      </c>
      <c r="C266" t="s">
        <v>14</v>
      </c>
      <c r="D266" t="s">
        <v>48</v>
      </c>
      <c r="E266" t="s">
        <v>69</v>
      </c>
      <c r="F266" t="s">
        <v>72</v>
      </c>
      <c r="G266">
        <v>1</v>
      </c>
      <c r="H266">
        <v>61.18</v>
      </c>
      <c r="I266">
        <v>0</v>
      </c>
      <c r="J266" t="s">
        <v>73</v>
      </c>
      <c r="K266" t="s">
        <v>77</v>
      </c>
      <c r="L266">
        <v>61.18</v>
      </c>
      <c r="M266">
        <v>0</v>
      </c>
      <c r="N266">
        <v>61.18</v>
      </c>
    </row>
    <row r="267" spans="1:14" x14ac:dyDescent="0.3">
      <c r="A267">
        <v>100266</v>
      </c>
      <c r="B267" s="2">
        <v>45303.041666666657</v>
      </c>
      <c r="C267" t="s">
        <v>15</v>
      </c>
      <c r="D267" t="s">
        <v>46</v>
      </c>
      <c r="E267" t="s">
        <v>70</v>
      </c>
      <c r="F267" t="s">
        <v>72</v>
      </c>
      <c r="G267">
        <v>3</v>
      </c>
      <c r="H267">
        <v>51.22</v>
      </c>
      <c r="I267">
        <v>15</v>
      </c>
      <c r="J267" t="s">
        <v>73</v>
      </c>
      <c r="K267" t="s">
        <v>77</v>
      </c>
      <c r="L267">
        <v>153.66</v>
      </c>
      <c r="M267">
        <v>23.048999999999999</v>
      </c>
      <c r="N267">
        <v>130.61099999999999</v>
      </c>
    </row>
    <row r="268" spans="1:14" x14ac:dyDescent="0.3">
      <c r="A268">
        <v>100267</v>
      </c>
      <c r="B268" s="2">
        <v>45303.083333333343</v>
      </c>
      <c r="C268" t="s">
        <v>15</v>
      </c>
      <c r="D268" t="s">
        <v>54</v>
      </c>
      <c r="E268" t="s">
        <v>70</v>
      </c>
      <c r="F268" t="s">
        <v>72</v>
      </c>
      <c r="G268">
        <v>2</v>
      </c>
      <c r="H268">
        <v>22.67</v>
      </c>
      <c r="I268">
        <v>5</v>
      </c>
      <c r="J268" t="s">
        <v>73</v>
      </c>
      <c r="K268" t="s">
        <v>77</v>
      </c>
      <c r="L268">
        <v>45.34</v>
      </c>
      <c r="M268">
        <v>2.2669999999999999</v>
      </c>
      <c r="N268">
        <v>43.073</v>
      </c>
    </row>
    <row r="269" spans="1:14" x14ac:dyDescent="0.3">
      <c r="A269">
        <v>100268</v>
      </c>
      <c r="B269" s="2">
        <v>45303.125</v>
      </c>
      <c r="C269" t="s">
        <v>15</v>
      </c>
      <c r="D269" t="s">
        <v>50</v>
      </c>
      <c r="E269" t="s">
        <v>69</v>
      </c>
      <c r="F269" t="s">
        <v>71</v>
      </c>
      <c r="G269">
        <v>3</v>
      </c>
      <c r="H269">
        <v>70.849999999999994</v>
      </c>
      <c r="I269">
        <v>5</v>
      </c>
      <c r="J269" t="s">
        <v>75</v>
      </c>
      <c r="K269" t="s">
        <v>77</v>
      </c>
      <c r="L269">
        <v>212.55</v>
      </c>
      <c r="M269">
        <v>10.6275</v>
      </c>
      <c r="N269">
        <v>201.92250000000001</v>
      </c>
    </row>
    <row r="270" spans="1:14" x14ac:dyDescent="0.3">
      <c r="A270">
        <v>100269</v>
      </c>
      <c r="B270" s="2">
        <v>45303.166666666657</v>
      </c>
      <c r="C270" t="s">
        <v>14</v>
      </c>
      <c r="D270" t="s">
        <v>64</v>
      </c>
      <c r="E270" t="s">
        <v>70</v>
      </c>
      <c r="F270" t="s">
        <v>72</v>
      </c>
      <c r="G270">
        <v>4</v>
      </c>
      <c r="H270">
        <v>36.86</v>
      </c>
      <c r="I270">
        <v>15</v>
      </c>
      <c r="J270" t="s">
        <v>74</v>
      </c>
      <c r="K270" t="s">
        <v>77</v>
      </c>
      <c r="L270">
        <v>147.44</v>
      </c>
      <c r="M270">
        <v>22.116</v>
      </c>
      <c r="N270">
        <v>125.324</v>
      </c>
    </row>
    <row r="271" spans="1:14" x14ac:dyDescent="0.3">
      <c r="A271">
        <v>100270</v>
      </c>
      <c r="B271" s="2">
        <v>45303.208333333343</v>
      </c>
      <c r="C271" t="s">
        <v>14</v>
      </c>
      <c r="D271" t="s">
        <v>60</v>
      </c>
      <c r="E271" t="s">
        <v>68</v>
      </c>
      <c r="F271" t="s">
        <v>72</v>
      </c>
      <c r="G271">
        <v>1</v>
      </c>
      <c r="H271">
        <v>110.95</v>
      </c>
      <c r="I271">
        <v>10</v>
      </c>
      <c r="J271" t="s">
        <v>75</v>
      </c>
      <c r="K271" t="s">
        <v>77</v>
      </c>
      <c r="L271">
        <v>110.95</v>
      </c>
      <c r="M271">
        <v>11.095000000000001</v>
      </c>
      <c r="N271">
        <v>99.855000000000004</v>
      </c>
    </row>
    <row r="272" spans="1:14" x14ac:dyDescent="0.3">
      <c r="A272">
        <v>100271</v>
      </c>
      <c r="B272" s="2">
        <v>45303.25</v>
      </c>
      <c r="C272" t="s">
        <v>15</v>
      </c>
      <c r="D272" t="s">
        <v>46</v>
      </c>
      <c r="E272" t="s">
        <v>68</v>
      </c>
      <c r="F272" t="s">
        <v>71</v>
      </c>
      <c r="G272">
        <v>4</v>
      </c>
      <c r="H272">
        <v>72.069999999999993</v>
      </c>
      <c r="I272">
        <v>5</v>
      </c>
      <c r="J272" t="s">
        <v>73</v>
      </c>
      <c r="K272" t="s">
        <v>77</v>
      </c>
      <c r="L272">
        <v>288.27999999999997</v>
      </c>
      <c r="M272">
        <v>14.414</v>
      </c>
      <c r="N272">
        <v>273.86599999999999</v>
      </c>
    </row>
    <row r="273" spans="1:14" x14ac:dyDescent="0.3">
      <c r="A273">
        <v>100272</v>
      </c>
      <c r="B273" s="2">
        <v>45303.291666666657</v>
      </c>
      <c r="C273" t="s">
        <v>15</v>
      </c>
      <c r="D273" t="s">
        <v>26</v>
      </c>
      <c r="E273" t="s">
        <v>70</v>
      </c>
      <c r="F273" t="s">
        <v>71</v>
      </c>
      <c r="G273">
        <v>1</v>
      </c>
      <c r="H273">
        <v>73.180000000000007</v>
      </c>
      <c r="I273">
        <v>5</v>
      </c>
      <c r="J273" t="s">
        <v>76</v>
      </c>
      <c r="K273" t="s">
        <v>79</v>
      </c>
      <c r="L273">
        <v>73.180000000000007</v>
      </c>
      <c r="M273">
        <v>3.6590000000000011</v>
      </c>
      <c r="N273">
        <v>69.521000000000001</v>
      </c>
    </row>
    <row r="274" spans="1:14" x14ac:dyDescent="0.3">
      <c r="A274">
        <v>100273</v>
      </c>
      <c r="B274" s="2">
        <v>45303.333333333343</v>
      </c>
      <c r="C274" t="s">
        <v>15</v>
      </c>
      <c r="D274" t="s">
        <v>31</v>
      </c>
      <c r="E274" t="s">
        <v>66</v>
      </c>
      <c r="F274" t="s">
        <v>72</v>
      </c>
      <c r="G274">
        <v>5</v>
      </c>
      <c r="H274">
        <v>45.82</v>
      </c>
      <c r="I274">
        <v>0</v>
      </c>
      <c r="J274" t="s">
        <v>74</v>
      </c>
      <c r="K274" t="s">
        <v>77</v>
      </c>
      <c r="L274">
        <v>229.1</v>
      </c>
      <c r="M274">
        <v>0</v>
      </c>
      <c r="N274">
        <v>229.1</v>
      </c>
    </row>
    <row r="275" spans="1:14" x14ac:dyDescent="0.3">
      <c r="A275">
        <v>100274</v>
      </c>
      <c r="B275" s="2">
        <v>45303.375</v>
      </c>
      <c r="C275" t="s">
        <v>15</v>
      </c>
      <c r="D275" t="s">
        <v>19</v>
      </c>
      <c r="E275" t="s">
        <v>69</v>
      </c>
      <c r="F275" t="s">
        <v>72</v>
      </c>
      <c r="G275">
        <v>2</v>
      </c>
      <c r="H275">
        <v>10.98</v>
      </c>
      <c r="I275">
        <v>10</v>
      </c>
      <c r="J275" t="s">
        <v>75</v>
      </c>
      <c r="K275" t="s">
        <v>77</v>
      </c>
      <c r="L275">
        <v>21.96</v>
      </c>
      <c r="M275">
        <v>2.1960000000000002</v>
      </c>
      <c r="N275">
        <v>19.763999999999999</v>
      </c>
    </row>
    <row r="276" spans="1:14" x14ac:dyDescent="0.3">
      <c r="A276">
        <v>100275</v>
      </c>
      <c r="B276" s="2">
        <v>45303.416666666657</v>
      </c>
      <c r="C276" t="s">
        <v>14</v>
      </c>
      <c r="D276" t="s">
        <v>21</v>
      </c>
      <c r="E276" t="s">
        <v>68</v>
      </c>
      <c r="F276" t="s">
        <v>72</v>
      </c>
      <c r="G276">
        <v>5</v>
      </c>
      <c r="H276">
        <v>8.65</v>
      </c>
      <c r="I276">
        <v>0</v>
      </c>
      <c r="J276" t="s">
        <v>74</v>
      </c>
      <c r="K276" t="s">
        <v>77</v>
      </c>
      <c r="L276">
        <v>43.25</v>
      </c>
      <c r="M276">
        <v>0</v>
      </c>
      <c r="N276">
        <v>43.25</v>
      </c>
    </row>
    <row r="277" spans="1:14" x14ac:dyDescent="0.3">
      <c r="A277">
        <v>100276</v>
      </c>
      <c r="B277" s="2">
        <v>45303.458333333343</v>
      </c>
      <c r="C277" t="s">
        <v>15</v>
      </c>
      <c r="D277" t="s">
        <v>39</v>
      </c>
      <c r="E277" t="s">
        <v>66</v>
      </c>
      <c r="F277" t="s">
        <v>72</v>
      </c>
      <c r="G277">
        <v>5</v>
      </c>
      <c r="H277">
        <v>53.68</v>
      </c>
      <c r="I277">
        <v>0</v>
      </c>
      <c r="J277" t="s">
        <v>76</v>
      </c>
      <c r="K277" t="s">
        <v>78</v>
      </c>
      <c r="L277">
        <v>268.39999999999998</v>
      </c>
      <c r="M277">
        <v>0</v>
      </c>
      <c r="N277">
        <v>268.39999999999998</v>
      </c>
    </row>
    <row r="278" spans="1:14" x14ac:dyDescent="0.3">
      <c r="A278">
        <v>100277</v>
      </c>
      <c r="B278" s="2">
        <v>45303.5</v>
      </c>
      <c r="C278" t="s">
        <v>14</v>
      </c>
      <c r="D278" t="s">
        <v>53</v>
      </c>
      <c r="E278" t="s">
        <v>70</v>
      </c>
      <c r="F278" t="s">
        <v>71</v>
      </c>
      <c r="G278">
        <v>4</v>
      </c>
      <c r="H278">
        <v>14.73</v>
      </c>
      <c r="I278">
        <v>10</v>
      </c>
      <c r="J278" t="s">
        <v>75</v>
      </c>
      <c r="K278" t="s">
        <v>77</v>
      </c>
      <c r="L278">
        <v>58.92</v>
      </c>
      <c r="M278">
        <v>5.8920000000000003</v>
      </c>
      <c r="N278">
        <v>53.027999999999999</v>
      </c>
    </row>
    <row r="279" spans="1:14" x14ac:dyDescent="0.3">
      <c r="A279">
        <v>100278</v>
      </c>
      <c r="B279" s="2">
        <v>45303.541666666657</v>
      </c>
      <c r="C279" t="s">
        <v>15</v>
      </c>
      <c r="D279" t="s">
        <v>59</v>
      </c>
      <c r="E279" t="s">
        <v>66</v>
      </c>
      <c r="F279" t="s">
        <v>71</v>
      </c>
      <c r="G279">
        <v>2</v>
      </c>
      <c r="H279">
        <v>74.790000000000006</v>
      </c>
      <c r="I279">
        <v>10</v>
      </c>
      <c r="J279" t="s">
        <v>73</v>
      </c>
      <c r="K279" t="s">
        <v>77</v>
      </c>
      <c r="L279">
        <v>149.58000000000001</v>
      </c>
      <c r="M279">
        <v>14.958</v>
      </c>
      <c r="N279">
        <v>134.62200000000001</v>
      </c>
    </row>
    <row r="280" spans="1:14" x14ac:dyDescent="0.3">
      <c r="A280">
        <v>100279</v>
      </c>
      <c r="B280" s="2">
        <v>45303.583333333343</v>
      </c>
      <c r="C280" t="s">
        <v>14</v>
      </c>
      <c r="D280" t="s">
        <v>26</v>
      </c>
      <c r="E280" t="s">
        <v>67</v>
      </c>
      <c r="F280" t="s">
        <v>71</v>
      </c>
      <c r="G280">
        <v>1</v>
      </c>
      <c r="H280">
        <v>106.31</v>
      </c>
      <c r="I280">
        <v>15</v>
      </c>
      <c r="J280" t="s">
        <v>75</v>
      </c>
      <c r="K280" t="s">
        <v>77</v>
      </c>
      <c r="L280">
        <v>106.31</v>
      </c>
      <c r="M280">
        <v>15.9465</v>
      </c>
      <c r="N280">
        <v>90.363500000000002</v>
      </c>
    </row>
    <row r="281" spans="1:14" x14ac:dyDescent="0.3">
      <c r="A281">
        <v>100280</v>
      </c>
      <c r="B281" s="2">
        <v>45303.625</v>
      </c>
      <c r="C281" t="s">
        <v>15</v>
      </c>
      <c r="D281" t="s">
        <v>38</v>
      </c>
      <c r="E281" t="s">
        <v>68</v>
      </c>
      <c r="F281" t="s">
        <v>72</v>
      </c>
      <c r="G281">
        <v>1</v>
      </c>
      <c r="H281">
        <v>106.54</v>
      </c>
      <c r="I281">
        <v>10</v>
      </c>
      <c r="J281" t="s">
        <v>74</v>
      </c>
      <c r="K281" t="s">
        <v>77</v>
      </c>
      <c r="L281">
        <v>106.54</v>
      </c>
      <c r="M281">
        <v>10.654</v>
      </c>
      <c r="N281">
        <v>95.88600000000001</v>
      </c>
    </row>
    <row r="282" spans="1:14" x14ac:dyDescent="0.3">
      <c r="A282">
        <v>100281</v>
      </c>
      <c r="B282" s="2">
        <v>45303.666666666657</v>
      </c>
      <c r="C282" t="s">
        <v>15</v>
      </c>
      <c r="D282" t="s">
        <v>33</v>
      </c>
      <c r="E282" t="s">
        <v>70</v>
      </c>
      <c r="F282" t="s">
        <v>72</v>
      </c>
      <c r="G282">
        <v>3</v>
      </c>
      <c r="H282">
        <v>80.790000000000006</v>
      </c>
      <c r="I282">
        <v>5</v>
      </c>
      <c r="J282" t="s">
        <v>74</v>
      </c>
      <c r="K282" t="s">
        <v>77</v>
      </c>
      <c r="L282">
        <v>242.37</v>
      </c>
      <c r="M282">
        <v>12.118499999999999</v>
      </c>
      <c r="N282">
        <v>230.25149999999999</v>
      </c>
    </row>
    <row r="283" spans="1:14" x14ac:dyDescent="0.3">
      <c r="A283">
        <v>100282</v>
      </c>
      <c r="B283" s="2">
        <v>45303.708333333343</v>
      </c>
      <c r="C283" t="s">
        <v>15</v>
      </c>
      <c r="D283" t="s">
        <v>47</v>
      </c>
      <c r="E283" t="s">
        <v>69</v>
      </c>
      <c r="F283" t="s">
        <v>72</v>
      </c>
      <c r="G283">
        <v>1</v>
      </c>
      <c r="H283">
        <v>29.29</v>
      </c>
      <c r="I283">
        <v>10</v>
      </c>
      <c r="J283" t="s">
        <v>74</v>
      </c>
      <c r="K283" t="s">
        <v>77</v>
      </c>
      <c r="L283">
        <v>29.29</v>
      </c>
      <c r="M283">
        <v>2.9289999999999998</v>
      </c>
      <c r="N283">
        <v>26.361000000000001</v>
      </c>
    </row>
    <row r="284" spans="1:14" x14ac:dyDescent="0.3">
      <c r="A284">
        <v>100283</v>
      </c>
      <c r="B284" s="2">
        <v>45303.75</v>
      </c>
      <c r="C284" t="s">
        <v>15</v>
      </c>
      <c r="D284" t="s">
        <v>31</v>
      </c>
      <c r="E284" t="s">
        <v>70</v>
      </c>
      <c r="F284" t="s">
        <v>72</v>
      </c>
      <c r="G284">
        <v>4</v>
      </c>
      <c r="H284">
        <v>104.24</v>
      </c>
      <c r="I284">
        <v>15</v>
      </c>
      <c r="J284" t="s">
        <v>74</v>
      </c>
      <c r="K284" t="s">
        <v>77</v>
      </c>
      <c r="L284">
        <v>416.96</v>
      </c>
      <c r="M284">
        <v>62.543999999999997</v>
      </c>
      <c r="N284">
        <v>354.416</v>
      </c>
    </row>
    <row r="285" spans="1:14" x14ac:dyDescent="0.3">
      <c r="A285">
        <v>100284</v>
      </c>
      <c r="B285" s="2">
        <v>45303.791666666657</v>
      </c>
      <c r="C285" t="s">
        <v>14</v>
      </c>
      <c r="D285" t="s">
        <v>59</v>
      </c>
      <c r="E285" t="s">
        <v>69</v>
      </c>
      <c r="F285" t="s">
        <v>71</v>
      </c>
      <c r="G285">
        <v>5</v>
      </c>
      <c r="H285">
        <v>106.9</v>
      </c>
      <c r="I285">
        <v>15</v>
      </c>
      <c r="J285" t="s">
        <v>73</v>
      </c>
      <c r="K285" t="s">
        <v>78</v>
      </c>
      <c r="L285">
        <v>534.5</v>
      </c>
      <c r="M285">
        <v>80.174999999999997</v>
      </c>
      <c r="N285">
        <v>454.32499999999999</v>
      </c>
    </row>
    <row r="286" spans="1:14" x14ac:dyDescent="0.3">
      <c r="A286">
        <v>100285</v>
      </c>
      <c r="B286" s="2">
        <v>45303.833333333343</v>
      </c>
      <c r="C286" t="s">
        <v>15</v>
      </c>
      <c r="D286" t="s">
        <v>39</v>
      </c>
      <c r="E286" t="s">
        <v>70</v>
      </c>
      <c r="F286" t="s">
        <v>71</v>
      </c>
      <c r="G286">
        <v>5</v>
      </c>
      <c r="H286">
        <v>27.62</v>
      </c>
      <c r="I286">
        <v>15</v>
      </c>
      <c r="J286" t="s">
        <v>75</v>
      </c>
      <c r="K286" t="s">
        <v>77</v>
      </c>
      <c r="L286">
        <v>138.1</v>
      </c>
      <c r="M286">
        <v>20.715</v>
      </c>
      <c r="N286">
        <v>117.38500000000001</v>
      </c>
    </row>
    <row r="287" spans="1:14" x14ac:dyDescent="0.3">
      <c r="A287">
        <v>100286</v>
      </c>
      <c r="B287" s="2">
        <v>45303.875</v>
      </c>
      <c r="C287" t="s">
        <v>14</v>
      </c>
      <c r="D287" t="s">
        <v>55</v>
      </c>
      <c r="E287" t="s">
        <v>66</v>
      </c>
      <c r="F287" t="s">
        <v>72</v>
      </c>
      <c r="G287">
        <v>5</v>
      </c>
      <c r="H287">
        <v>89.8</v>
      </c>
      <c r="I287">
        <v>10</v>
      </c>
      <c r="J287" t="s">
        <v>73</v>
      </c>
      <c r="K287" t="s">
        <v>77</v>
      </c>
      <c r="L287">
        <v>449</v>
      </c>
      <c r="M287">
        <v>44.900000000000013</v>
      </c>
      <c r="N287">
        <v>404.1</v>
      </c>
    </row>
    <row r="288" spans="1:14" x14ac:dyDescent="0.3">
      <c r="A288">
        <v>100287</v>
      </c>
      <c r="B288" s="2">
        <v>45303.916666666657</v>
      </c>
      <c r="C288" t="s">
        <v>14</v>
      </c>
      <c r="D288" t="s">
        <v>41</v>
      </c>
      <c r="E288" t="s">
        <v>66</v>
      </c>
      <c r="F288" t="s">
        <v>71</v>
      </c>
      <c r="G288">
        <v>2</v>
      </c>
      <c r="H288">
        <v>37.950000000000003</v>
      </c>
      <c r="I288">
        <v>10</v>
      </c>
      <c r="J288" t="s">
        <v>73</v>
      </c>
      <c r="K288" t="s">
        <v>77</v>
      </c>
      <c r="L288">
        <v>75.900000000000006</v>
      </c>
      <c r="M288">
        <v>7.5900000000000007</v>
      </c>
      <c r="N288">
        <v>68.31</v>
      </c>
    </row>
    <row r="289" spans="1:14" x14ac:dyDescent="0.3">
      <c r="A289">
        <v>100288</v>
      </c>
      <c r="B289" s="2">
        <v>45303.958333333343</v>
      </c>
      <c r="C289" t="s">
        <v>14</v>
      </c>
      <c r="D289" t="s">
        <v>35</v>
      </c>
      <c r="E289" t="s">
        <v>66</v>
      </c>
      <c r="F289" t="s">
        <v>72</v>
      </c>
      <c r="G289">
        <v>1</v>
      </c>
      <c r="H289">
        <v>97.3</v>
      </c>
      <c r="I289">
        <v>0</v>
      </c>
      <c r="J289" t="s">
        <v>73</v>
      </c>
      <c r="K289" t="s">
        <v>77</v>
      </c>
      <c r="L289">
        <v>97.3</v>
      </c>
      <c r="M289">
        <v>0</v>
      </c>
      <c r="N289">
        <v>97.3</v>
      </c>
    </row>
    <row r="290" spans="1:14" x14ac:dyDescent="0.3">
      <c r="A290">
        <v>100289</v>
      </c>
      <c r="B290" s="2">
        <v>45304</v>
      </c>
      <c r="C290" t="s">
        <v>14</v>
      </c>
      <c r="D290" t="s">
        <v>58</v>
      </c>
      <c r="E290" t="s">
        <v>67</v>
      </c>
      <c r="F290" t="s">
        <v>72</v>
      </c>
      <c r="G290">
        <v>4</v>
      </c>
      <c r="H290">
        <v>119.68</v>
      </c>
      <c r="I290">
        <v>0</v>
      </c>
      <c r="J290" t="s">
        <v>74</v>
      </c>
      <c r="K290" t="s">
        <v>77</v>
      </c>
      <c r="L290">
        <v>478.72</v>
      </c>
      <c r="M290">
        <v>0</v>
      </c>
      <c r="N290">
        <v>478.72</v>
      </c>
    </row>
    <row r="291" spans="1:14" x14ac:dyDescent="0.3">
      <c r="A291">
        <v>100290</v>
      </c>
      <c r="B291" s="2">
        <v>45304.041666666657</v>
      </c>
      <c r="C291" t="s">
        <v>15</v>
      </c>
      <c r="D291" t="s">
        <v>28</v>
      </c>
      <c r="E291" t="s">
        <v>69</v>
      </c>
      <c r="F291" t="s">
        <v>71</v>
      </c>
      <c r="G291">
        <v>2</v>
      </c>
      <c r="H291">
        <v>8.4499999999999993</v>
      </c>
      <c r="I291">
        <v>5</v>
      </c>
      <c r="J291" t="s">
        <v>74</v>
      </c>
      <c r="K291" t="s">
        <v>77</v>
      </c>
      <c r="L291">
        <v>16.899999999999999</v>
      </c>
      <c r="M291">
        <v>0.84499999999999997</v>
      </c>
      <c r="N291">
        <v>16.055</v>
      </c>
    </row>
    <row r="292" spans="1:14" x14ac:dyDescent="0.3">
      <c r="A292">
        <v>100291</v>
      </c>
      <c r="B292" s="2">
        <v>45304.083333333343</v>
      </c>
      <c r="C292" t="s">
        <v>14</v>
      </c>
      <c r="D292" t="s">
        <v>26</v>
      </c>
      <c r="E292" t="s">
        <v>66</v>
      </c>
      <c r="F292" t="s">
        <v>72</v>
      </c>
      <c r="G292">
        <v>3</v>
      </c>
      <c r="H292">
        <v>108.2</v>
      </c>
      <c r="I292">
        <v>0</v>
      </c>
      <c r="J292" t="s">
        <v>74</v>
      </c>
      <c r="K292" t="s">
        <v>77</v>
      </c>
      <c r="L292">
        <v>324.60000000000002</v>
      </c>
      <c r="M292">
        <v>0</v>
      </c>
      <c r="N292">
        <v>324.60000000000002</v>
      </c>
    </row>
    <row r="293" spans="1:14" x14ac:dyDescent="0.3">
      <c r="A293">
        <v>100292</v>
      </c>
      <c r="B293" s="2">
        <v>45304.125</v>
      </c>
      <c r="C293" t="s">
        <v>14</v>
      </c>
      <c r="D293" t="s">
        <v>41</v>
      </c>
      <c r="E293" t="s">
        <v>67</v>
      </c>
      <c r="F293" t="s">
        <v>72</v>
      </c>
      <c r="G293">
        <v>4</v>
      </c>
      <c r="H293">
        <v>76.599999999999994</v>
      </c>
      <c r="I293">
        <v>5</v>
      </c>
      <c r="J293" t="s">
        <v>75</v>
      </c>
      <c r="K293" t="s">
        <v>77</v>
      </c>
      <c r="L293">
        <v>306.39999999999998</v>
      </c>
      <c r="M293">
        <v>15.32</v>
      </c>
      <c r="N293">
        <v>291.08</v>
      </c>
    </row>
    <row r="294" spans="1:14" x14ac:dyDescent="0.3">
      <c r="A294">
        <v>100293</v>
      </c>
      <c r="B294" s="2">
        <v>45304.166666666657</v>
      </c>
      <c r="C294" t="s">
        <v>14</v>
      </c>
      <c r="D294" t="s">
        <v>53</v>
      </c>
      <c r="E294" t="s">
        <v>69</v>
      </c>
      <c r="F294" t="s">
        <v>71</v>
      </c>
      <c r="G294">
        <v>4</v>
      </c>
      <c r="H294">
        <v>116.94</v>
      </c>
      <c r="I294">
        <v>15</v>
      </c>
      <c r="J294" t="s">
        <v>76</v>
      </c>
      <c r="K294" t="s">
        <v>77</v>
      </c>
      <c r="L294">
        <v>467.76</v>
      </c>
      <c r="M294">
        <v>70.164000000000001</v>
      </c>
      <c r="N294">
        <v>397.596</v>
      </c>
    </row>
    <row r="295" spans="1:14" x14ac:dyDescent="0.3">
      <c r="A295">
        <v>100294</v>
      </c>
      <c r="B295" s="2">
        <v>45304.208333333343</v>
      </c>
      <c r="C295" t="s">
        <v>15</v>
      </c>
      <c r="D295" t="s">
        <v>51</v>
      </c>
      <c r="E295" t="s">
        <v>70</v>
      </c>
      <c r="F295" t="s">
        <v>72</v>
      </c>
      <c r="G295">
        <v>4</v>
      </c>
      <c r="H295">
        <v>58.48</v>
      </c>
      <c r="I295">
        <v>0</v>
      </c>
      <c r="J295" t="s">
        <v>74</v>
      </c>
      <c r="K295" t="s">
        <v>77</v>
      </c>
      <c r="L295">
        <v>233.92</v>
      </c>
      <c r="M295">
        <v>0</v>
      </c>
      <c r="N295">
        <v>233.92</v>
      </c>
    </row>
    <row r="296" spans="1:14" x14ac:dyDescent="0.3">
      <c r="A296">
        <v>100295</v>
      </c>
      <c r="B296" s="2">
        <v>45304.25</v>
      </c>
      <c r="C296" t="s">
        <v>15</v>
      </c>
      <c r="D296" t="s">
        <v>19</v>
      </c>
      <c r="E296" t="s">
        <v>67</v>
      </c>
      <c r="F296" t="s">
        <v>72</v>
      </c>
      <c r="G296">
        <v>5</v>
      </c>
      <c r="H296">
        <v>102.45</v>
      </c>
      <c r="I296">
        <v>10</v>
      </c>
      <c r="J296" t="s">
        <v>75</v>
      </c>
      <c r="K296" t="s">
        <v>77</v>
      </c>
      <c r="L296">
        <v>512.25</v>
      </c>
      <c r="M296">
        <v>51.225000000000001</v>
      </c>
      <c r="N296">
        <v>461.02499999999998</v>
      </c>
    </row>
    <row r="297" spans="1:14" x14ac:dyDescent="0.3">
      <c r="A297">
        <v>100296</v>
      </c>
      <c r="B297" s="2">
        <v>45304.291666666657</v>
      </c>
      <c r="C297" t="s">
        <v>15</v>
      </c>
      <c r="D297" t="s">
        <v>18</v>
      </c>
      <c r="E297" t="s">
        <v>68</v>
      </c>
      <c r="F297" t="s">
        <v>71</v>
      </c>
      <c r="G297">
        <v>4</v>
      </c>
      <c r="H297">
        <v>12.18</v>
      </c>
      <c r="I297">
        <v>0</v>
      </c>
      <c r="J297" t="s">
        <v>74</v>
      </c>
      <c r="K297" t="s">
        <v>77</v>
      </c>
      <c r="L297">
        <v>48.72</v>
      </c>
      <c r="M297">
        <v>0</v>
      </c>
      <c r="N297">
        <v>48.72</v>
      </c>
    </row>
    <row r="298" spans="1:14" x14ac:dyDescent="0.3">
      <c r="A298">
        <v>100297</v>
      </c>
      <c r="B298" s="2">
        <v>45304.333333333343</v>
      </c>
      <c r="C298" t="s">
        <v>15</v>
      </c>
      <c r="D298" t="s">
        <v>19</v>
      </c>
      <c r="E298" t="s">
        <v>67</v>
      </c>
      <c r="F298" t="s">
        <v>72</v>
      </c>
      <c r="G298">
        <v>1</v>
      </c>
      <c r="H298">
        <v>43.56</v>
      </c>
      <c r="I298">
        <v>5</v>
      </c>
      <c r="J298" t="s">
        <v>74</v>
      </c>
      <c r="K298" t="s">
        <v>77</v>
      </c>
      <c r="L298">
        <v>43.56</v>
      </c>
      <c r="M298">
        <v>2.1779999999999999</v>
      </c>
      <c r="N298">
        <v>41.382000000000012</v>
      </c>
    </row>
    <row r="299" spans="1:14" x14ac:dyDescent="0.3">
      <c r="A299">
        <v>100298</v>
      </c>
      <c r="B299" s="2">
        <v>45304.375</v>
      </c>
      <c r="C299" t="s">
        <v>14</v>
      </c>
      <c r="D299" t="s">
        <v>38</v>
      </c>
      <c r="E299" t="s">
        <v>67</v>
      </c>
      <c r="F299" t="s">
        <v>71</v>
      </c>
      <c r="G299">
        <v>4</v>
      </c>
      <c r="H299">
        <v>12.71</v>
      </c>
      <c r="I299">
        <v>0</v>
      </c>
      <c r="J299" t="s">
        <v>73</v>
      </c>
      <c r="K299" t="s">
        <v>78</v>
      </c>
      <c r="L299">
        <v>50.84</v>
      </c>
      <c r="M299">
        <v>0</v>
      </c>
      <c r="N299">
        <v>50.84</v>
      </c>
    </row>
    <row r="300" spans="1:14" x14ac:dyDescent="0.3">
      <c r="A300">
        <v>100299</v>
      </c>
      <c r="B300" s="2">
        <v>45304.416666666657</v>
      </c>
      <c r="C300" t="s">
        <v>14</v>
      </c>
      <c r="D300" t="s">
        <v>57</v>
      </c>
      <c r="E300" t="s">
        <v>69</v>
      </c>
      <c r="F300" t="s">
        <v>72</v>
      </c>
      <c r="G300">
        <v>5</v>
      </c>
      <c r="H300">
        <v>117.16</v>
      </c>
      <c r="I300">
        <v>15</v>
      </c>
      <c r="J300" t="s">
        <v>73</v>
      </c>
      <c r="K300" t="s">
        <v>78</v>
      </c>
      <c r="L300">
        <v>585.79999999999995</v>
      </c>
      <c r="M300">
        <v>87.86999999999999</v>
      </c>
      <c r="N300">
        <v>497.92999999999989</v>
      </c>
    </row>
    <row r="301" spans="1:14" x14ac:dyDescent="0.3">
      <c r="A301">
        <v>100300</v>
      </c>
      <c r="B301" s="2">
        <v>45304.458333333343</v>
      </c>
      <c r="C301" t="s">
        <v>15</v>
      </c>
      <c r="D301" t="s">
        <v>29</v>
      </c>
      <c r="E301" t="s">
        <v>70</v>
      </c>
      <c r="F301" t="s">
        <v>71</v>
      </c>
      <c r="G301">
        <v>4</v>
      </c>
      <c r="H301">
        <v>98.95</v>
      </c>
      <c r="I301">
        <v>10</v>
      </c>
      <c r="J301" t="s">
        <v>73</v>
      </c>
      <c r="K301" t="s">
        <v>77</v>
      </c>
      <c r="L301">
        <v>395.8</v>
      </c>
      <c r="M301">
        <v>39.580000000000013</v>
      </c>
      <c r="N301">
        <v>356.22</v>
      </c>
    </row>
    <row r="302" spans="1:14" x14ac:dyDescent="0.3">
      <c r="A302">
        <v>100301</v>
      </c>
      <c r="B302" s="2">
        <v>45304.5</v>
      </c>
      <c r="C302" t="s">
        <v>14</v>
      </c>
      <c r="D302" t="s">
        <v>36</v>
      </c>
      <c r="E302" t="s">
        <v>68</v>
      </c>
      <c r="F302" t="s">
        <v>71</v>
      </c>
      <c r="G302">
        <v>3</v>
      </c>
      <c r="H302">
        <v>103.04</v>
      </c>
      <c r="I302">
        <v>5</v>
      </c>
      <c r="J302" t="s">
        <v>75</v>
      </c>
      <c r="K302" t="s">
        <v>77</v>
      </c>
      <c r="L302">
        <v>309.12</v>
      </c>
      <c r="M302">
        <v>15.456</v>
      </c>
      <c r="N302">
        <v>293.66399999999999</v>
      </c>
    </row>
    <row r="303" spans="1:14" x14ac:dyDescent="0.3">
      <c r="A303">
        <v>100302</v>
      </c>
      <c r="B303" s="2">
        <v>45304.541666666657</v>
      </c>
      <c r="C303" t="s">
        <v>14</v>
      </c>
      <c r="D303" t="s">
        <v>41</v>
      </c>
      <c r="E303" t="s">
        <v>66</v>
      </c>
      <c r="F303" t="s">
        <v>71</v>
      </c>
      <c r="G303">
        <v>3</v>
      </c>
      <c r="H303">
        <v>112.87</v>
      </c>
      <c r="I303">
        <v>10</v>
      </c>
      <c r="J303" t="s">
        <v>76</v>
      </c>
      <c r="K303" t="s">
        <v>77</v>
      </c>
      <c r="L303">
        <v>338.61</v>
      </c>
      <c r="M303">
        <v>33.860999999999997</v>
      </c>
      <c r="N303">
        <v>304.74900000000002</v>
      </c>
    </row>
    <row r="304" spans="1:14" x14ac:dyDescent="0.3">
      <c r="A304">
        <v>100303</v>
      </c>
      <c r="B304" s="2">
        <v>45304.583333333343</v>
      </c>
      <c r="C304" t="s">
        <v>14</v>
      </c>
      <c r="D304" t="s">
        <v>52</v>
      </c>
      <c r="E304" t="s">
        <v>66</v>
      </c>
      <c r="F304" t="s">
        <v>72</v>
      </c>
      <c r="G304">
        <v>5</v>
      </c>
      <c r="H304">
        <v>14.79</v>
      </c>
      <c r="I304">
        <v>10</v>
      </c>
      <c r="J304" t="s">
        <v>76</v>
      </c>
      <c r="K304" t="s">
        <v>77</v>
      </c>
      <c r="L304">
        <v>73.949999999999989</v>
      </c>
      <c r="M304">
        <v>7.3949999999999996</v>
      </c>
      <c r="N304">
        <v>66.554999999999993</v>
      </c>
    </row>
    <row r="305" spans="1:14" x14ac:dyDescent="0.3">
      <c r="A305">
        <v>100304</v>
      </c>
      <c r="B305" s="2">
        <v>45304.625</v>
      </c>
      <c r="C305" t="s">
        <v>15</v>
      </c>
      <c r="D305" t="s">
        <v>47</v>
      </c>
      <c r="E305" t="s">
        <v>67</v>
      </c>
      <c r="F305" t="s">
        <v>71</v>
      </c>
      <c r="G305">
        <v>1</v>
      </c>
      <c r="H305">
        <v>49.34</v>
      </c>
      <c r="I305">
        <v>5</v>
      </c>
      <c r="J305" t="s">
        <v>75</v>
      </c>
      <c r="K305" t="s">
        <v>77</v>
      </c>
      <c r="L305">
        <v>49.34</v>
      </c>
      <c r="M305">
        <v>2.467000000000001</v>
      </c>
      <c r="N305">
        <v>46.872999999999998</v>
      </c>
    </row>
    <row r="306" spans="1:14" x14ac:dyDescent="0.3">
      <c r="A306">
        <v>100305</v>
      </c>
      <c r="B306" s="2">
        <v>45304.666666666657</v>
      </c>
      <c r="C306" t="s">
        <v>15</v>
      </c>
      <c r="D306" t="s">
        <v>50</v>
      </c>
      <c r="E306" t="s">
        <v>69</v>
      </c>
      <c r="F306" t="s">
        <v>71</v>
      </c>
      <c r="G306">
        <v>1</v>
      </c>
      <c r="H306">
        <v>13.17</v>
      </c>
      <c r="I306">
        <v>10</v>
      </c>
      <c r="J306" t="s">
        <v>74</v>
      </c>
      <c r="K306" t="s">
        <v>77</v>
      </c>
      <c r="L306">
        <v>13.17</v>
      </c>
      <c r="M306">
        <v>1.3169999999999999</v>
      </c>
      <c r="N306">
        <v>11.853</v>
      </c>
    </row>
    <row r="307" spans="1:14" x14ac:dyDescent="0.3">
      <c r="A307">
        <v>100306</v>
      </c>
      <c r="B307" s="2">
        <v>45304.708333333343</v>
      </c>
      <c r="C307" t="s">
        <v>14</v>
      </c>
      <c r="D307" t="s">
        <v>39</v>
      </c>
      <c r="E307" t="s">
        <v>69</v>
      </c>
      <c r="F307" t="s">
        <v>71</v>
      </c>
      <c r="G307">
        <v>2</v>
      </c>
      <c r="H307">
        <v>29.24</v>
      </c>
      <c r="I307">
        <v>10</v>
      </c>
      <c r="J307" t="s">
        <v>75</v>
      </c>
      <c r="K307" t="s">
        <v>77</v>
      </c>
      <c r="L307">
        <v>58.48</v>
      </c>
      <c r="M307">
        <v>5.8479999999999999</v>
      </c>
      <c r="N307">
        <v>52.631999999999998</v>
      </c>
    </row>
    <row r="308" spans="1:14" x14ac:dyDescent="0.3">
      <c r="A308">
        <v>100307</v>
      </c>
      <c r="B308" s="2">
        <v>45304.75</v>
      </c>
      <c r="C308" t="s">
        <v>15</v>
      </c>
      <c r="D308" t="s">
        <v>64</v>
      </c>
      <c r="E308" t="s">
        <v>66</v>
      </c>
      <c r="F308" t="s">
        <v>71</v>
      </c>
      <c r="G308">
        <v>5</v>
      </c>
      <c r="H308">
        <v>31.38</v>
      </c>
      <c r="I308">
        <v>0</v>
      </c>
      <c r="J308" t="s">
        <v>74</v>
      </c>
      <c r="K308" t="s">
        <v>77</v>
      </c>
      <c r="L308">
        <v>156.9</v>
      </c>
      <c r="M308">
        <v>0</v>
      </c>
      <c r="N308">
        <v>156.9</v>
      </c>
    </row>
    <row r="309" spans="1:14" x14ac:dyDescent="0.3">
      <c r="A309">
        <v>100308</v>
      </c>
      <c r="B309" s="2">
        <v>45304.791666666657</v>
      </c>
      <c r="C309" t="s">
        <v>15</v>
      </c>
      <c r="D309" t="s">
        <v>20</v>
      </c>
      <c r="E309" t="s">
        <v>68</v>
      </c>
      <c r="F309" t="s">
        <v>71</v>
      </c>
      <c r="G309">
        <v>4</v>
      </c>
      <c r="H309">
        <v>58.95</v>
      </c>
      <c r="I309">
        <v>10</v>
      </c>
      <c r="J309" t="s">
        <v>75</v>
      </c>
      <c r="K309" t="s">
        <v>77</v>
      </c>
      <c r="L309">
        <v>235.8</v>
      </c>
      <c r="M309">
        <v>23.58</v>
      </c>
      <c r="N309">
        <v>212.22</v>
      </c>
    </row>
    <row r="310" spans="1:14" x14ac:dyDescent="0.3">
      <c r="A310">
        <v>100309</v>
      </c>
      <c r="B310" s="2">
        <v>45304.833333333343</v>
      </c>
      <c r="C310" t="s">
        <v>15</v>
      </c>
      <c r="D310" t="s">
        <v>62</v>
      </c>
      <c r="E310" t="s">
        <v>70</v>
      </c>
      <c r="F310" t="s">
        <v>72</v>
      </c>
      <c r="G310">
        <v>5</v>
      </c>
      <c r="H310">
        <v>35.880000000000003</v>
      </c>
      <c r="I310">
        <v>10</v>
      </c>
      <c r="J310" t="s">
        <v>75</v>
      </c>
      <c r="K310" t="s">
        <v>77</v>
      </c>
      <c r="L310">
        <v>179.4</v>
      </c>
      <c r="M310">
        <v>17.940000000000001</v>
      </c>
      <c r="N310">
        <v>161.46</v>
      </c>
    </row>
    <row r="311" spans="1:14" x14ac:dyDescent="0.3">
      <c r="A311">
        <v>100310</v>
      </c>
      <c r="B311" s="2">
        <v>45304.875</v>
      </c>
      <c r="C311" t="s">
        <v>15</v>
      </c>
      <c r="D311" t="s">
        <v>48</v>
      </c>
      <c r="E311" t="s">
        <v>68</v>
      </c>
      <c r="F311" t="s">
        <v>72</v>
      </c>
      <c r="G311">
        <v>2</v>
      </c>
      <c r="H311">
        <v>16.61</v>
      </c>
      <c r="I311">
        <v>10</v>
      </c>
      <c r="J311" t="s">
        <v>75</v>
      </c>
      <c r="K311" t="s">
        <v>77</v>
      </c>
      <c r="L311">
        <v>33.22</v>
      </c>
      <c r="M311">
        <v>3.3220000000000001</v>
      </c>
      <c r="N311">
        <v>29.898</v>
      </c>
    </row>
    <row r="312" spans="1:14" x14ac:dyDescent="0.3">
      <c r="A312">
        <v>100311</v>
      </c>
      <c r="B312" s="2">
        <v>45304.916666666657</v>
      </c>
      <c r="C312" t="s">
        <v>15</v>
      </c>
      <c r="D312" t="s">
        <v>18</v>
      </c>
      <c r="E312" t="s">
        <v>70</v>
      </c>
      <c r="F312" t="s">
        <v>72</v>
      </c>
      <c r="G312">
        <v>5</v>
      </c>
      <c r="H312">
        <v>24.26</v>
      </c>
      <c r="I312">
        <v>10</v>
      </c>
      <c r="J312" t="s">
        <v>76</v>
      </c>
      <c r="K312" t="s">
        <v>77</v>
      </c>
      <c r="L312">
        <v>121.3</v>
      </c>
      <c r="M312">
        <v>12.13</v>
      </c>
      <c r="N312">
        <v>109.17</v>
      </c>
    </row>
    <row r="313" spans="1:14" x14ac:dyDescent="0.3">
      <c r="A313">
        <v>100312</v>
      </c>
      <c r="B313" s="2">
        <v>45304.958333333343</v>
      </c>
      <c r="C313" t="s">
        <v>14</v>
      </c>
      <c r="D313" t="s">
        <v>26</v>
      </c>
      <c r="E313" t="s">
        <v>66</v>
      </c>
      <c r="F313" t="s">
        <v>72</v>
      </c>
      <c r="G313">
        <v>5</v>
      </c>
      <c r="H313">
        <v>21.94</v>
      </c>
      <c r="I313">
        <v>5</v>
      </c>
      <c r="J313" t="s">
        <v>73</v>
      </c>
      <c r="K313" t="s">
        <v>77</v>
      </c>
      <c r="L313">
        <v>109.7</v>
      </c>
      <c r="M313">
        <v>5.4850000000000003</v>
      </c>
      <c r="N313">
        <v>104.215</v>
      </c>
    </row>
    <row r="314" spans="1:14" x14ac:dyDescent="0.3">
      <c r="A314">
        <v>100313</v>
      </c>
      <c r="B314" s="2">
        <v>45305</v>
      </c>
      <c r="C314" t="s">
        <v>15</v>
      </c>
      <c r="D314" t="s">
        <v>34</v>
      </c>
      <c r="E314" t="s">
        <v>70</v>
      </c>
      <c r="F314" t="s">
        <v>72</v>
      </c>
      <c r="G314">
        <v>2</v>
      </c>
      <c r="H314">
        <v>116.9</v>
      </c>
      <c r="I314">
        <v>15</v>
      </c>
      <c r="J314" t="s">
        <v>75</v>
      </c>
      <c r="K314" t="s">
        <v>77</v>
      </c>
      <c r="L314">
        <v>233.8</v>
      </c>
      <c r="M314">
        <v>35.07</v>
      </c>
      <c r="N314">
        <v>198.73</v>
      </c>
    </row>
    <row r="315" spans="1:14" x14ac:dyDescent="0.3">
      <c r="A315">
        <v>100314</v>
      </c>
      <c r="B315" s="2">
        <v>45305.041666666657</v>
      </c>
      <c r="C315" t="s">
        <v>14</v>
      </c>
      <c r="D315" t="s">
        <v>32</v>
      </c>
      <c r="E315" t="s">
        <v>69</v>
      </c>
      <c r="F315" t="s">
        <v>72</v>
      </c>
      <c r="G315">
        <v>1</v>
      </c>
      <c r="H315">
        <v>92.32</v>
      </c>
      <c r="I315">
        <v>0</v>
      </c>
      <c r="J315" t="s">
        <v>76</v>
      </c>
      <c r="K315" t="s">
        <v>77</v>
      </c>
      <c r="L315">
        <v>92.32</v>
      </c>
      <c r="M315">
        <v>0</v>
      </c>
      <c r="N315">
        <v>92.32</v>
      </c>
    </row>
    <row r="316" spans="1:14" x14ac:dyDescent="0.3">
      <c r="A316">
        <v>100315</v>
      </c>
      <c r="B316" s="2">
        <v>45305.083333333343</v>
      </c>
      <c r="C316" t="s">
        <v>14</v>
      </c>
      <c r="D316" t="s">
        <v>28</v>
      </c>
      <c r="E316" t="s">
        <v>67</v>
      </c>
      <c r="F316" t="s">
        <v>72</v>
      </c>
      <c r="G316">
        <v>4</v>
      </c>
      <c r="H316">
        <v>116.29</v>
      </c>
      <c r="I316">
        <v>10</v>
      </c>
      <c r="J316" t="s">
        <v>73</v>
      </c>
      <c r="K316" t="s">
        <v>77</v>
      </c>
      <c r="L316">
        <v>465.16</v>
      </c>
      <c r="M316">
        <v>46.516000000000012</v>
      </c>
      <c r="N316">
        <v>418.64400000000001</v>
      </c>
    </row>
    <row r="317" spans="1:14" x14ac:dyDescent="0.3">
      <c r="A317">
        <v>100316</v>
      </c>
      <c r="B317" s="2">
        <v>45305.125</v>
      </c>
      <c r="C317" t="s">
        <v>15</v>
      </c>
      <c r="D317" t="s">
        <v>49</v>
      </c>
      <c r="E317" t="s">
        <v>67</v>
      </c>
      <c r="F317" t="s">
        <v>71</v>
      </c>
      <c r="G317">
        <v>2</v>
      </c>
      <c r="H317">
        <v>55.57</v>
      </c>
      <c r="I317">
        <v>10</v>
      </c>
      <c r="J317" t="s">
        <v>73</v>
      </c>
      <c r="K317" t="s">
        <v>77</v>
      </c>
      <c r="L317">
        <v>111.14</v>
      </c>
      <c r="M317">
        <v>11.114000000000001</v>
      </c>
      <c r="N317">
        <v>100.026</v>
      </c>
    </row>
    <row r="318" spans="1:14" x14ac:dyDescent="0.3">
      <c r="A318">
        <v>100317</v>
      </c>
      <c r="B318" s="2">
        <v>45305.166666666657</v>
      </c>
      <c r="C318" t="s">
        <v>14</v>
      </c>
      <c r="D318" t="s">
        <v>32</v>
      </c>
      <c r="E318" t="s">
        <v>66</v>
      </c>
      <c r="F318" t="s">
        <v>72</v>
      </c>
      <c r="G318">
        <v>3</v>
      </c>
      <c r="H318">
        <v>37.01</v>
      </c>
      <c r="I318">
        <v>5</v>
      </c>
      <c r="J318" t="s">
        <v>75</v>
      </c>
      <c r="K318" t="s">
        <v>77</v>
      </c>
      <c r="L318">
        <v>111.03</v>
      </c>
      <c r="M318">
        <v>5.5515000000000008</v>
      </c>
      <c r="N318">
        <v>105.4785</v>
      </c>
    </row>
    <row r="319" spans="1:14" x14ac:dyDescent="0.3">
      <c r="A319">
        <v>100318</v>
      </c>
      <c r="B319" s="2">
        <v>45305.208333333343</v>
      </c>
      <c r="C319" t="s">
        <v>14</v>
      </c>
      <c r="D319" t="s">
        <v>58</v>
      </c>
      <c r="E319" t="s">
        <v>69</v>
      </c>
      <c r="F319" t="s">
        <v>71</v>
      </c>
      <c r="G319">
        <v>1</v>
      </c>
      <c r="H319">
        <v>96.8</v>
      </c>
      <c r="I319">
        <v>15</v>
      </c>
      <c r="J319" t="s">
        <v>74</v>
      </c>
      <c r="K319" t="s">
        <v>77</v>
      </c>
      <c r="L319">
        <v>96.8</v>
      </c>
      <c r="M319">
        <v>14.52</v>
      </c>
      <c r="N319">
        <v>82.28</v>
      </c>
    </row>
    <row r="320" spans="1:14" x14ac:dyDescent="0.3">
      <c r="A320">
        <v>100319</v>
      </c>
      <c r="B320" s="2">
        <v>45305.25</v>
      </c>
      <c r="C320" t="s">
        <v>14</v>
      </c>
      <c r="D320" t="s">
        <v>31</v>
      </c>
      <c r="E320" t="s">
        <v>68</v>
      </c>
      <c r="F320" t="s">
        <v>71</v>
      </c>
      <c r="G320">
        <v>3</v>
      </c>
      <c r="H320">
        <v>42.52</v>
      </c>
      <c r="I320">
        <v>10</v>
      </c>
      <c r="J320" t="s">
        <v>74</v>
      </c>
      <c r="K320" t="s">
        <v>77</v>
      </c>
      <c r="L320">
        <v>127.56</v>
      </c>
      <c r="M320">
        <v>12.756</v>
      </c>
      <c r="N320">
        <v>114.804</v>
      </c>
    </row>
    <row r="321" spans="1:14" x14ac:dyDescent="0.3">
      <c r="A321">
        <v>100320</v>
      </c>
      <c r="B321" s="2">
        <v>45305.291666666657</v>
      </c>
      <c r="C321" t="s">
        <v>15</v>
      </c>
      <c r="D321" t="s">
        <v>20</v>
      </c>
      <c r="E321" t="s">
        <v>69</v>
      </c>
      <c r="F321" t="s">
        <v>72</v>
      </c>
      <c r="G321">
        <v>1</v>
      </c>
      <c r="H321">
        <v>39.43</v>
      </c>
      <c r="I321">
        <v>5</v>
      </c>
      <c r="J321" t="s">
        <v>74</v>
      </c>
      <c r="K321" t="s">
        <v>77</v>
      </c>
      <c r="L321">
        <v>39.43</v>
      </c>
      <c r="M321">
        <v>1.9715</v>
      </c>
      <c r="N321">
        <v>37.458500000000001</v>
      </c>
    </row>
    <row r="322" spans="1:14" x14ac:dyDescent="0.3">
      <c r="A322">
        <v>100321</v>
      </c>
      <c r="B322" s="2">
        <v>45305.333333333343</v>
      </c>
      <c r="C322" t="s">
        <v>15</v>
      </c>
      <c r="D322" t="s">
        <v>54</v>
      </c>
      <c r="E322" t="s">
        <v>67</v>
      </c>
      <c r="F322" t="s">
        <v>71</v>
      </c>
      <c r="G322">
        <v>4</v>
      </c>
      <c r="H322">
        <v>31.74</v>
      </c>
      <c r="I322">
        <v>0</v>
      </c>
      <c r="J322" t="s">
        <v>75</v>
      </c>
      <c r="K322" t="s">
        <v>77</v>
      </c>
      <c r="L322">
        <v>126.96</v>
      </c>
      <c r="M322">
        <v>0</v>
      </c>
      <c r="N322">
        <v>126.96</v>
      </c>
    </row>
    <row r="323" spans="1:14" x14ac:dyDescent="0.3">
      <c r="A323">
        <v>100322</v>
      </c>
      <c r="B323" s="2">
        <v>45305.375</v>
      </c>
      <c r="C323" t="s">
        <v>14</v>
      </c>
      <c r="D323" t="s">
        <v>31</v>
      </c>
      <c r="E323" t="s">
        <v>67</v>
      </c>
      <c r="F323" t="s">
        <v>71</v>
      </c>
      <c r="G323">
        <v>4</v>
      </c>
      <c r="H323">
        <v>19.91</v>
      </c>
      <c r="I323">
        <v>0</v>
      </c>
      <c r="J323" t="s">
        <v>74</v>
      </c>
      <c r="K323" t="s">
        <v>77</v>
      </c>
      <c r="L323">
        <v>79.64</v>
      </c>
      <c r="M323">
        <v>0</v>
      </c>
      <c r="N323">
        <v>79.64</v>
      </c>
    </row>
    <row r="324" spans="1:14" x14ac:dyDescent="0.3">
      <c r="A324">
        <v>100323</v>
      </c>
      <c r="B324" s="2">
        <v>45305.416666666657</v>
      </c>
      <c r="C324" t="s">
        <v>15</v>
      </c>
      <c r="D324" t="s">
        <v>19</v>
      </c>
      <c r="E324" t="s">
        <v>69</v>
      </c>
      <c r="F324" t="s">
        <v>71</v>
      </c>
      <c r="G324">
        <v>5</v>
      </c>
      <c r="H324">
        <v>34.49</v>
      </c>
      <c r="I324">
        <v>10</v>
      </c>
      <c r="J324" t="s">
        <v>76</v>
      </c>
      <c r="K324" t="s">
        <v>77</v>
      </c>
      <c r="L324">
        <v>172.45</v>
      </c>
      <c r="M324">
        <v>17.245000000000001</v>
      </c>
      <c r="N324">
        <v>155.20500000000001</v>
      </c>
    </row>
    <row r="325" spans="1:14" x14ac:dyDescent="0.3">
      <c r="A325">
        <v>100324</v>
      </c>
      <c r="B325" s="2">
        <v>45305.458333333343</v>
      </c>
      <c r="C325" t="s">
        <v>15</v>
      </c>
      <c r="D325" t="s">
        <v>36</v>
      </c>
      <c r="E325" t="s">
        <v>69</v>
      </c>
      <c r="F325" t="s">
        <v>71</v>
      </c>
      <c r="G325">
        <v>3</v>
      </c>
      <c r="H325">
        <v>45.86</v>
      </c>
      <c r="I325">
        <v>10</v>
      </c>
      <c r="J325" t="s">
        <v>76</v>
      </c>
      <c r="K325" t="s">
        <v>78</v>
      </c>
      <c r="L325">
        <v>137.58000000000001</v>
      </c>
      <c r="M325">
        <v>13.757999999999999</v>
      </c>
      <c r="N325">
        <v>123.822</v>
      </c>
    </row>
    <row r="326" spans="1:14" x14ac:dyDescent="0.3">
      <c r="A326">
        <v>100325</v>
      </c>
      <c r="B326" s="2">
        <v>45305.5</v>
      </c>
      <c r="C326" t="s">
        <v>15</v>
      </c>
      <c r="D326" t="s">
        <v>50</v>
      </c>
      <c r="E326" t="s">
        <v>67</v>
      </c>
      <c r="F326" t="s">
        <v>72</v>
      </c>
      <c r="G326">
        <v>1</v>
      </c>
      <c r="H326">
        <v>82.51</v>
      </c>
      <c r="I326">
        <v>15</v>
      </c>
      <c r="J326" t="s">
        <v>76</v>
      </c>
      <c r="K326" t="s">
        <v>77</v>
      </c>
      <c r="L326">
        <v>82.51</v>
      </c>
      <c r="M326">
        <v>12.3765</v>
      </c>
      <c r="N326">
        <v>70.133499999999998</v>
      </c>
    </row>
    <row r="327" spans="1:14" x14ac:dyDescent="0.3">
      <c r="A327">
        <v>100326</v>
      </c>
      <c r="B327" s="2">
        <v>45305.541666666657</v>
      </c>
      <c r="C327" t="s">
        <v>15</v>
      </c>
      <c r="D327" t="s">
        <v>17</v>
      </c>
      <c r="E327" t="s">
        <v>68</v>
      </c>
      <c r="F327" t="s">
        <v>72</v>
      </c>
      <c r="G327">
        <v>4</v>
      </c>
      <c r="H327">
        <v>12.19</v>
      </c>
      <c r="I327">
        <v>15</v>
      </c>
      <c r="J327" t="s">
        <v>76</v>
      </c>
      <c r="K327" t="s">
        <v>77</v>
      </c>
      <c r="L327">
        <v>48.76</v>
      </c>
      <c r="M327">
        <v>7.3139999999999992</v>
      </c>
      <c r="N327">
        <v>41.445999999999998</v>
      </c>
    </row>
    <row r="328" spans="1:14" x14ac:dyDescent="0.3">
      <c r="A328">
        <v>100327</v>
      </c>
      <c r="B328" s="2">
        <v>45305.583333333343</v>
      </c>
      <c r="C328" t="s">
        <v>14</v>
      </c>
      <c r="D328" t="s">
        <v>16</v>
      </c>
      <c r="E328" t="s">
        <v>66</v>
      </c>
      <c r="F328" t="s">
        <v>72</v>
      </c>
      <c r="G328">
        <v>2</v>
      </c>
      <c r="H328">
        <v>29.21</v>
      </c>
      <c r="I328">
        <v>10</v>
      </c>
      <c r="J328" t="s">
        <v>73</v>
      </c>
      <c r="K328" t="s">
        <v>77</v>
      </c>
      <c r="L328">
        <v>58.42</v>
      </c>
      <c r="M328">
        <v>5.8420000000000014</v>
      </c>
      <c r="N328">
        <v>52.578000000000003</v>
      </c>
    </row>
    <row r="329" spans="1:14" x14ac:dyDescent="0.3">
      <c r="A329">
        <v>100328</v>
      </c>
      <c r="B329" s="2">
        <v>45305.625</v>
      </c>
      <c r="C329" t="s">
        <v>14</v>
      </c>
      <c r="D329" t="s">
        <v>17</v>
      </c>
      <c r="E329" t="s">
        <v>66</v>
      </c>
      <c r="F329" t="s">
        <v>72</v>
      </c>
      <c r="G329">
        <v>4</v>
      </c>
      <c r="H329">
        <v>98.04</v>
      </c>
      <c r="I329">
        <v>5</v>
      </c>
      <c r="J329" t="s">
        <v>76</v>
      </c>
      <c r="K329" t="s">
        <v>77</v>
      </c>
      <c r="L329">
        <v>392.16</v>
      </c>
      <c r="M329">
        <v>19.608000000000001</v>
      </c>
      <c r="N329">
        <v>372.55200000000002</v>
      </c>
    </row>
    <row r="330" spans="1:14" x14ac:dyDescent="0.3">
      <c r="A330">
        <v>100329</v>
      </c>
      <c r="B330" s="2">
        <v>45305.666666666657</v>
      </c>
      <c r="C330" t="s">
        <v>15</v>
      </c>
      <c r="D330" t="s">
        <v>39</v>
      </c>
      <c r="E330" t="s">
        <v>69</v>
      </c>
      <c r="F330" t="s">
        <v>72</v>
      </c>
      <c r="G330">
        <v>2</v>
      </c>
      <c r="H330">
        <v>21.9</v>
      </c>
      <c r="I330">
        <v>15</v>
      </c>
      <c r="J330" t="s">
        <v>74</v>
      </c>
      <c r="K330" t="s">
        <v>78</v>
      </c>
      <c r="L330">
        <v>43.8</v>
      </c>
      <c r="M330">
        <v>6.5699999999999994</v>
      </c>
      <c r="N330">
        <v>37.229999999999997</v>
      </c>
    </row>
    <row r="331" spans="1:14" x14ac:dyDescent="0.3">
      <c r="A331">
        <v>100330</v>
      </c>
      <c r="B331" s="2">
        <v>45305.708333333343</v>
      </c>
      <c r="C331" t="s">
        <v>15</v>
      </c>
      <c r="D331" t="s">
        <v>59</v>
      </c>
      <c r="E331" t="s">
        <v>66</v>
      </c>
      <c r="F331" t="s">
        <v>72</v>
      </c>
      <c r="G331">
        <v>1</v>
      </c>
      <c r="H331">
        <v>44.4</v>
      </c>
      <c r="I331">
        <v>10</v>
      </c>
      <c r="J331" t="s">
        <v>75</v>
      </c>
      <c r="K331" t="s">
        <v>77</v>
      </c>
      <c r="L331">
        <v>44.4</v>
      </c>
      <c r="M331">
        <v>4.4400000000000004</v>
      </c>
      <c r="N331">
        <v>39.96</v>
      </c>
    </row>
    <row r="332" spans="1:14" x14ac:dyDescent="0.3">
      <c r="A332">
        <v>100331</v>
      </c>
      <c r="B332" s="2">
        <v>45305.75</v>
      </c>
      <c r="C332" t="s">
        <v>14</v>
      </c>
      <c r="D332" t="s">
        <v>60</v>
      </c>
      <c r="E332" t="s">
        <v>67</v>
      </c>
      <c r="F332" t="s">
        <v>72</v>
      </c>
      <c r="G332">
        <v>4</v>
      </c>
      <c r="H332">
        <v>104.44</v>
      </c>
      <c r="I332">
        <v>15</v>
      </c>
      <c r="J332" t="s">
        <v>74</v>
      </c>
      <c r="K332" t="s">
        <v>77</v>
      </c>
      <c r="L332">
        <v>417.76</v>
      </c>
      <c r="M332">
        <v>62.663999999999987</v>
      </c>
      <c r="N332">
        <v>355.096</v>
      </c>
    </row>
    <row r="333" spans="1:14" x14ac:dyDescent="0.3">
      <c r="A333">
        <v>100332</v>
      </c>
      <c r="B333" s="2">
        <v>45305.791666666657</v>
      </c>
      <c r="C333" t="s">
        <v>14</v>
      </c>
      <c r="D333" t="s">
        <v>47</v>
      </c>
      <c r="E333" t="s">
        <v>67</v>
      </c>
      <c r="F333" t="s">
        <v>72</v>
      </c>
      <c r="G333">
        <v>4</v>
      </c>
      <c r="H333">
        <v>22.82</v>
      </c>
      <c r="I333">
        <v>10</v>
      </c>
      <c r="J333" t="s">
        <v>76</v>
      </c>
      <c r="K333" t="s">
        <v>77</v>
      </c>
      <c r="L333">
        <v>91.28</v>
      </c>
      <c r="M333">
        <v>9.1280000000000001</v>
      </c>
      <c r="N333">
        <v>82.152000000000001</v>
      </c>
    </row>
    <row r="334" spans="1:14" x14ac:dyDescent="0.3">
      <c r="A334">
        <v>100333</v>
      </c>
      <c r="B334" s="2">
        <v>45305.833333333343</v>
      </c>
      <c r="C334" t="s">
        <v>15</v>
      </c>
      <c r="D334" t="s">
        <v>25</v>
      </c>
      <c r="E334" t="s">
        <v>69</v>
      </c>
      <c r="F334" t="s">
        <v>72</v>
      </c>
      <c r="G334">
        <v>1</v>
      </c>
      <c r="H334">
        <v>14.51</v>
      </c>
      <c r="I334">
        <v>0</v>
      </c>
      <c r="J334" t="s">
        <v>73</v>
      </c>
      <c r="K334" t="s">
        <v>77</v>
      </c>
      <c r="L334">
        <v>14.51</v>
      </c>
      <c r="M334">
        <v>0</v>
      </c>
      <c r="N334">
        <v>14.51</v>
      </c>
    </row>
    <row r="335" spans="1:14" x14ac:dyDescent="0.3">
      <c r="A335">
        <v>100334</v>
      </c>
      <c r="B335" s="2">
        <v>45305.875</v>
      </c>
      <c r="C335" t="s">
        <v>14</v>
      </c>
      <c r="D335" t="s">
        <v>33</v>
      </c>
      <c r="E335" t="s">
        <v>69</v>
      </c>
      <c r="F335" t="s">
        <v>72</v>
      </c>
      <c r="G335">
        <v>4</v>
      </c>
      <c r="H335">
        <v>60.72</v>
      </c>
      <c r="I335">
        <v>10</v>
      </c>
      <c r="J335" t="s">
        <v>76</v>
      </c>
      <c r="K335" t="s">
        <v>77</v>
      </c>
      <c r="L335">
        <v>242.88</v>
      </c>
      <c r="M335">
        <v>24.288</v>
      </c>
      <c r="N335">
        <v>218.59200000000001</v>
      </c>
    </row>
    <row r="336" spans="1:14" x14ac:dyDescent="0.3">
      <c r="A336">
        <v>100335</v>
      </c>
      <c r="B336" s="2">
        <v>45305.916666666657</v>
      </c>
      <c r="C336" t="s">
        <v>15</v>
      </c>
      <c r="D336" t="s">
        <v>46</v>
      </c>
      <c r="E336" t="s">
        <v>69</v>
      </c>
      <c r="F336" t="s">
        <v>71</v>
      </c>
      <c r="G336">
        <v>2</v>
      </c>
      <c r="H336">
        <v>39.78</v>
      </c>
      <c r="I336">
        <v>0</v>
      </c>
      <c r="J336" t="s">
        <v>75</v>
      </c>
      <c r="K336" t="s">
        <v>77</v>
      </c>
      <c r="L336">
        <v>79.56</v>
      </c>
      <c r="M336">
        <v>0</v>
      </c>
      <c r="N336">
        <v>79.56</v>
      </c>
    </row>
    <row r="337" spans="1:14" x14ac:dyDescent="0.3">
      <c r="A337">
        <v>100336</v>
      </c>
      <c r="B337" s="2">
        <v>45305.958333333343</v>
      </c>
      <c r="C337" t="s">
        <v>15</v>
      </c>
      <c r="D337" t="s">
        <v>38</v>
      </c>
      <c r="E337" t="s">
        <v>68</v>
      </c>
      <c r="F337" t="s">
        <v>72</v>
      </c>
      <c r="G337">
        <v>4</v>
      </c>
      <c r="H337">
        <v>69.790000000000006</v>
      </c>
      <c r="I337">
        <v>15</v>
      </c>
      <c r="J337" t="s">
        <v>74</v>
      </c>
      <c r="K337" t="s">
        <v>77</v>
      </c>
      <c r="L337">
        <v>279.16000000000003</v>
      </c>
      <c r="M337">
        <v>41.874000000000002</v>
      </c>
      <c r="N337">
        <v>237.286</v>
      </c>
    </row>
    <row r="338" spans="1:14" x14ac:dyDescent="0.3">
      <c r="A338">
        <v>100337</v>
      </c>
      <c r="B338" s="2">
        <v>45306</v>
      </c>
      <c r="C338" t="s">
        <v>14</v>
      </c>
      <c r="D338" t="s">
        <v>28</v>
      </c>
      <c r="E338" t="s">
        <v>66</v>
      </c>
      <c r="F338" t="s">
        <v>71</v>
      </c>
      <c r="G338">
        <v>3</v>
      </c>
      <c r="H338">
        <v>97.44</v>
      </c>
      <c r="I338">
        <v>10</v>
      </c>
      <c r="J338" t="s">
        <v>75</v>
      </c>
      <c r="K338" t="s">
        <v>77</v>
      </c>
      <c r="L338">
        <v>292.32</v>
      </c>
      <c r="M338">
        <v>29.231999999999999</v>
      </c>
      <c r="N338">
        <v>263.08800000000002</v>
      </c>
    </row>
    <row r="339" spans="1:14" x14ac:dyDescent="0.3">
      <c r="A339">
        <v>100338</v>
      </c>
      <c r="B339" s="2">
        <v>45306.041666666657</v>
      </c>
      <c r="C339" t="s">
        <v>14</v>
      </c>
      <c r="D339" t="s">
        <v>58</v>
      </c>
      <c r="E339" t="s">
        <v>69</v>
      </c>
      <c r="F339" t="s">
        <v>71</v>
      </c>
      <c r="G339">
        <v>5</v>
      </c>
      <c r="H339">
        <v>20.77</v>
      </c>
      <c r="I339">
        <v>15</v>
      </c>
      <c r="J339" t="s">
        <v>75</v>
      </c>
      <c r="K339" t="s">
        <v>77</v>
      </c>
      <c r="L339">
        <v>103.85</v>
      </c>
      <c r="M339">
        <v>15.577500000000001</v>
      </c>
      <c r="N339">
        <v>88.272499999999994</v>
      </c>
    </row>
    <row r="340" spans="1:14" x14ac:dyDescent="0.3">
      <c r="A340">
        <v>100339</v>
      </c>
      <c r="B340" s="2">
        <v>45306.083333333343</v>
      </c>
      <c r="C340" t="s">
        <v>15</v>
      </c>
      <c r="D340" t="s">
        <v>34</v>
      </c>
      <c r="E340" t="s">
        <v>70</v>
      </c>
      <c r="F340" t="s">
        <v>71</v>
      </c>
      <c r="G340">
        <v>2</v>
      </c>
      <c r="H340">
        <v>71.78</v>
      </c>
      <c r="I340">
        <v>0</v>
      </c>
      <c r="J340" t="s">
        <v>75</v>
      </c>
      <c r="K340" t="s">
        <v>78</v>
      </c>
      <c r="L340">
        <v>143.56</v>
      </c>
      <c r="M340">
        <v>0</v>
      </c>
      <c r="N340">
        <v>143.56</v>
      </c>
    </row>
    <row r="341" spans="1:14" x14ac:dyDescent="0.3">
      <c r="A341">
        <v>100340</v>
      </c>
      <c r="B341" s="2">
        <v>45306.125</v>
      </c>
      <c r="C341" t="s">
        <v>15</v>
      </c>
      <c r="D341" t="s">
        <v>52</v>
      </c>
      <c r="E341" t="s">
        <v>70</v>
      </c>
      <c r="F341" t="s">
        <v>71</v>
      </c>
      <c r="G341">
        <v>3</v>
      </c>
      <c r="H341">
        <v>63.13</v>
      </c>
      <c r="I341">
        <v>10</v>
      </c>
      <c r="J341" t="s">
        <v>74</v>
      </c>
      <c r="K341" t="s">
        <v>77</v>
      </c>
      <c r="L341">
        <v>189.39</v>
      </c>
      <c r="M341">
        <v>18.939</v>
      </c>
      <c r="N341">
        <v>170.45099999999999</v>
      </c>
    </row>
    <row r="342" spans="1:14" x14ac:dyDescent="0.3">
      <c r="A342">
        <v>100341</v>
      </c>
      <c r="B342" s="2">
        <v>45306.166666666657</v>
      </c>
      <c r="C342" t="s">
        <v>14</v>
      </c>
      <c r="D342" t="s">
        <v>39</v>
      </c>
      <c r="E342" t="s">
        <v>67</v>
      </c>
      <c r="F342" t="s">
        <v>72</v>
      </c>
      <c r="G342">
        <v>1</v>
      </c>
      <c r="H342">
        <v>21.57</v>
      </c>
      <c r="I342">
        <v>15</v>
      </c>
      <c r="J342" t="s">
        <v>76</v>
      </c>
      <c r="K342" t="s">
        <v>77</v>
      </c>
      <c r="L342">
        <v>21.57</v>
      </c>
      <c r="M342">
        <v>3.2355</v>
      </c>
      <c r="N342">
        <v>18.334499999999998</v>
      </c>
    </row>
    <row r="343" spans="1:14" x14ac:dyDescent="0.3">
      <c r="A343">
        <v>100342</v>
      </c>
      <c r="B343" s="2">
        <v>45306.208333333343</v>
      </c>
      <c r="C343" t="s">
        <v>15</v>
      </c>
      <c r="D343" t="s">
        <v>17</v>
      </c>
      <c r="E343" t="s">
        <v>66</v>
      </c>
      <c r="F343" t="s">
        <v>71</v>
      </c>
      <c r="G343">
        <v>2</v>
      </c>
      <c r="H343">
        <v>76.760000000000005</v>
      </c>
      <c r="I343">
        <v>0</v>
      </c>
      <c r="J343" t="s">
        <v>75</v>
      </c>
      <c r="K343" t="s">
        <v>77</v>
      </c>
      <c r="L343">
        <v>153.52000000000001</v>
      </c>
      <c r="M343">
        <v>0</v>
      </c>
      <c r="N343">
        <v>153.52000000000001</v>
      </c>
    </row>
    <row r="344" spans="1:14" x14ac:dyDescent="0.3">
      <c r="A344">
        <v>100343</v>
      </c>
      <c r="B344" s="2">
        <v>45306.25</v>
      </c>
      <c r="C344" t="s">
        <v>14</v>
      </c>
      <c r="D344" t="s">
        <v>44</v>
      </c>
      <c r="E344" t="s">
        <v>69</v>
      </c>
      <c r="F344" t="s">
        <v>72</v>
      </c>
      <c r="G344">
        <v>5</v>
      </c>
      <c r="H344">
        <v>36.47</v>
      </c>
      <c r="I344">
        <v>15</v>
      </c>
      <c r="J344" t="s">
        <v>74</v>
      </c>
      <c r="K344" t="s">
        <v>77</v>
      </c>
      <c r="L344">
        <v>182.35</v>
      </c>
      <c r="M344">
        <v>27.352499999999999</v>
      </c>
      <c r="N344">
        <v>154.9975</v>
      </c>
    </row>
    <row r="345" spans="1:14" x14ac:dyDescent="0.3">
      <c r="A345">
        <v>100344</v>
      </c>
      <c r="B345" s="2">
        <v>45306.291666666657</v>
      </c>
      <c r="C345" t="s">
        <v>15</v>
      </c>
      <c r="D345" t="s">
        <v>57</v>
      </c>
      <c r="E345" t="s">
        <v>70</v>
      </c>
      <c r="F345" t="s">
        <v>72</v>
      </c>
      <c r="G345">
        <v>5</v>
      </c>
      <c r="H345">
        <v>61.1</v>
      </c>
      <c r="I345">
        <v>5</v>
      </c>
      <c r="J345" t="s">
        <v>73</v>
      </c>
      <c r="K345" t="s">
        <v>77</v>
      </c>
      <c r="L345">
        <v>305.5</v>
      </c>
      <c r="M345">
        <v>15.275</v>
      </c>
      <c r="N345">
        <v>290.22500000000002</v>
      </c>
    </row>
    <row r="346" spans="1:14" x14ac:dyDescent="0.3">
      <c r="A346">
        <v>100345</v>
      </c>
      <c r="B346" s="2">
        <v>45306.333333333343</v>
      </c>
      <c r="C346" t="s">
        <v>14</v>
      </c>
      <c r="D346" t="s">
        <v>25</v>
      </c>
      <c r="E346" t="s">
        <v>66</v>
      </c>
      <c r="F346" t="s">
        <v>71</v>
      </c>
      <c r="G346">
        <v>1</v>
      </c>
      <c r="H346">
        <v>14.46</v>
      </c>
      <c r="I346">
        <v>0</v>
      </c>
      <c r="J346" t="s">
        <v>74</v>
      </c>
      <c r="K346" t="s">
        <v>77</v>
      </c>
      <c r="L346">
        <v>14.46</v>
      </c>
      <c r="M346">
        <v>0</v>
      </c>
      <c r="N346">
        <v>14.46</v>
      </c>
    </row>
    <row r="347" spans="1:14" x14ac:dyDescent="0.3">
      <c r="A347">
        <v>100346</v>
      </c>
      <c r="B347" s="2">
        <v>45306.375</v>
      </c>
      <c r="C347" t="s">
        <v>14</v>
      </c>
      <c r="D347" t="s">
        <v>25</v>
      </c>
      <c r="E347" t="s">
        <v>67</v>
      </c>
      <c r="F347" t="s">
        <v>72</v>
      </c>
      <c r="G347">
        <v>1</v>
      </c>
      <c r="H347">
        <v>57.85</v>
      </c>
      <c r="I347">
        <v>0</v>
      </c>
      <c r="J347" t="s">
        <v>73</v>
      </c>
      <c r="K347" t="s">
        <v>77</v>
      </c>
      <c r="L347">
        <v>57.85</v>
      </c>
      <c r="M347">
        <v>0</v>
      </c>
      <c r="N347">
        <v>57.85</v>
      </c>
    </row>
    <row r="348" spans="1:14" x14ac:dyDescent="0.3">
      <c r="A348">
        <v>100347</v>
      </c>
      <c r="B348" s="2">
        <v>45306.416666666657</v>
      </c>
      <c r="C348" t="s">
        <v>14</v>
      </c>
      <c r="D348" t="s">
        <v>36</v>
      </c>
      <c r="E348" t="s">
        <v>68</v>
      </c>
      <c r="F348" t="s">
        <v>71</v>
      </c>
      <c r="G348">
        <v>2</v>
      </c>
      <c r="H348">
        <v>40.24</v>
      </c>
      <c r="I348">
        <v>0</v>
      </c>
      <c r="J348" t="s">
        <v>74</v>
      </c>
      <c r="K348" t="s">
        <v>77</v>
      </c>
      <c r="L348">
        <v>80.48</v>
      </c>
      <c r="M348">
        <v>0</v>
      </c>
      <c r="N348">
        <v>80.48</v>
      </c>
    </row>
    <row r="349" spans="1:14" x14ac:dyDescent="0.3">
      <c r="A349">
        <v>100348</v>
      </c>
      <c r="B349" s="2">
        <v>45306.458333333343</v>
      </c>
      <c r="C349" t="s">
        <v>15</v>
      </c>
      <c r="D349" t="s">
        <v>54</v>
      </c>
      <c r="E349" t="s">
        <v>66</v>
      </c>
      <c r="F349" t="s">
        <v>71</v>
      </c>
      <c r="G349">
        <v>4</v>
      </c>
      <c r="H349">
        <v>99.57</v>
      </c>
      <c r="I349">
        <v>10</v>
      </c>
      <c r="J349" t="s">
        <v>76</v>
      </c>
      <c r="K349" t="s">
        <v>79</v>
      </c>
      <c r="L349">
        <v>398.28</v>
      </c>
      <c r="M349">
        <v>39.828000000000003</v>
      </c>
      <c r="N349">
        <v>358.452</v>
      </c>
    </row>
    <row r="350" spans="1:14" x14ac:dyDescent="0.3">
      <c r="A350">
        <v>100349</v>
      </c>
      <c r="B350" s="2">
        <v>45306.5</v>
      </c>
      <c r="C350" t="s">
        <v>15</v>
      </c>
      <c r="D350" t="s">
        <v>42</v>
      </c>
      <c r="E350" t="s">
        <v>66</v>
      </c>
      <c r="F350" t="s">
        <v>72</v>
      </c>
      <c r="G350">
        <v>1</v>
      </c>
      <c r="H350">
        <v>11.55</v>
      </c>
      <c r="I350">
        <v>10</v>
      </c>
      <c r="J350" t="s">
        <v>75</v>
      </c>
      <c r="K350" t="s">
        <v>77</v>
      </c>
      <c r="L350">
        <v>11.55</v>
      </c>
      <c r="M350">
        <v>1.155</v>
      </c>
      <c r="N350">
        <v>10.395</v>
      </c>
    </row>
    <row r="351" spans="1:14" x14ac:dyDescent="0.3">
      <c r="A351">
        <v>100350</v>
      </c>
      <c r="B351" s="2">
        <v>45306.541666666657</v>
      </c>
      <c r="C351" t="s">
        <v>14</v>
      </c>
      <c r="D351" t="s">
        <v>23</v>
      </c>
      <c r="E351" t="s">
        <v>68</v>
      </c>
      <c r="F351" t="s">
        <v>72</v>
      </c>
      <c r="G351">
        <v>4</v>
      </c>
      <c r="H351">
        <v>53.14</v>
      </c>
      <c r="I351">
        <v>10</v>
      </c>
      <c r="J351" t="s">
        <v>76</v>
      </c>
      <c r="K351" t="s">
        <v>77</v>
      </c>
      <c r="L351">
        <v>212.56</v>
      </c>
      <c r="M351">
        <v>21.256</v>
      </c>
      <c r="N351">
        <v>191.304</v>
      </c>
    </row>
    <row r="352" spans="1:14" x14ac:dyDescent="0.3">
      <c r="A352">
        <v>100351</v>
      </c>
      <c r="B352" s="2">
        <v>45306.583333333343</v>
      </c>
      <c r="C352" t="s">
        <v>15</v>
      </c>
      <c r="D352" t="s">
        <v>55</v>
      </c>
      <c r="E352" t="s">
        <v>66</v>
      </c>
      <c r="F352" t="s">
        <v>71</v>
      </c>
      <c r="G352">
        <v>3</v>
      </c>
      <c r="H352">
        <v>57.72</v>
      </c>
      <c r="I352">
        <v>5</v>
      </c>
      <c r="J352" t="s">
        <v>74</v>
      </c>
      <c r="K352" t="s">
        <v>78</v>
      </c>
      <c r="L352">
        <v>173.16</v>
      </c>
      <c r="M352">
        <v>8.6579999999999995</v>
      </c>
      <c r="N352">
        <v>164.50200000000001</v>
      </c>
    </row>
    <row r="353" spans="1:14" x14ac:dyDescent="0.3">
      <c r="A353">
        <v>100352</v>
      </c>
      <c r="B353" s="2">
        <v>45306.625</v>
      </c>
      <c r="C353" t="s">
        <v>14</v>
      </c>
      <c r="D353" t="s">
        <v>39</v>
      </c>
      <c r="E353" t="s">
        <v>67</v>
      </c>
      <c r="F353" t="s">
        <v>72</v>
      </c>
      <c r="G353">
        <v>5</v>
      </c>
      <c r="H353">
        <v>88.38</v>
      </c>
      <c r="I353">
        <v>5</v>
      </c>
      <c r="J353" t="s">
        <v>75</v>
      </c>
      <c r="K353" t="s">
        <v>77</v>
      </c>
      <c r="L353">
        <v>441.9</v>
      </c>
      <c r="M353">
        <v>22.094999999999999</v>
      </c>
      <c r="N353">
        <v>419.80499999999989</v>
      </c>
    </row>
    <row r="354" spans="1:14" x14ac:dyDescent="0.3">
      <c r="A354">
        <v>100353</v>
      </c>
      <c r="B354" s="2">
        <v>45306.666666666657</v>
      </c>
      <c r="C354" t="s">
        <v>14</v>
      </c>
      <c r="D354" t="s">
        <v>45</v>
      </c>
      <c r="E354" t="s">
        <v>67</v>
      </c>
      <c r="F354" t="s">
        <v>72</v>
      </c>
      <c r="G354">
        <v>4</v>
      </c>
      <c r="H354">
        <v>71.040000000000006</v>
      </c>
      <c r="I354">
        <v>0</v>
      </c>
      <c r="J354" t="s">
        <v>73</v>
      </c>
      <c r="K354" t="s">
        <v>77</v>
      </c>
      <c r="L354">
        <v>284.16000000000003</v>
      </c>
      <c r="M354">
        <v>0</v>
      </c>
      <c r="N354">
        <v>284.16000000000003</v>
      </c>
    </row>
    <row r="355" spans="1:14" x14ac:dyDescent="0.3">
      <c r="A355">
        <v>100354</v>
      </c>
      <c r="B355" s="2">
        <v>45306.708333333343</v>
      </c>
      <c r="C355" t="s">
        <v>15</v>
      </c>
      <c r="D355" t="s">
        <v>50</v>
      </c>
      <c r="E355" t="s">
        <v>68</v>
      </c>
      <c r="F355" t="s">
        <v>72</v>
      </c>
      <c r="G355">
        <v>5</v>
      </c>
      <c r="H355">
        <v>81.73</v>
      </c>
      <c r="I355">
        <v>5</v>
      </c>
      <c r="J355" t="s">
        <v>74</v>
      </c>
      <c r="K355" t="s">
        <v>77</v>
      </c>
      <c r="L355">
        <v>408.65</v>
      </c>
      <c r="M355">
        <v>20.432500000000001</v>
      </c>
      <c r="N355">
        <v>388.21749999999997</v>
      </c>
    </row>
    <row r="356" spans="1:14" x14ac:dyDescent="0.3">
      <c r="A356">
        <v>100355</v>
      </c>
      <c r="B356" s="2">
        <v>45306.75</v>
      </c>
      <c r="C356" t="s">
        <v>15</v>
      </c>
      <c r="D356" t="s">
        <v>52</v>
      </c>
      <c r="E356" t="s">
        <v>69</v>
      </c>
      <c r="F356" t="s">
        <v>71</v>
      </c>
      <c r="G356">
        <v>4</v>
      </c>
      <c r="H356">
        <v>94.36</v>
      </c>
      <c r="I356">
        <v>15</v>
      </c>
      <c r="J356" t="s">
        <v>75</v>
      </c>
      <c r="K356" t="s">
        <v>77</v>
      </c>
      <c r="L356">
        <v>377.44</v>
      </c>
      <c r="M356">
        <v>56.616</v>
      </c>
      <c r="N356">
        <v>320.82400000000001</v>
      </c>
    </row>
    <row r="357" spans="1:14" x14ac:dyDescent="0.3">
      <c r="A357">
        <v>100356</v>
      </c>
      <c r="B357" s="2">
        <v>45306.791666666657</v>
      </c>
      <c r="C357" t="s">
        <v>14</v>
      </c>
      <c r="D357" t="s">
        <v>33</v>
      </c>
      <c r="E357" t="s">
        <v>70</v>
      </c>
      <c r="F357" t="s">
        <v>71</v>
      </c>
      <c r="G357">
        <v>3</v>
      </c>
      <c r="H357">
        <v>104.15</v>
      </c>
      <c r="I357">
        <v>0</v>
      </c>
      <c r="J357" t="s">
        <v>73</v>
      </c>
      <c r="K357" t="s">
        <v>79</v>
      </c>
      <c r="L357">
        <v>312.45</v>
      </c>
      <c r="M357">
        <v>0</v>
      </c>
      <c r="N357">
        <v>312.45</v>
      </c>
    </row>
    <row r="358" spans="1:14" x14ac:dyDescent="0.3">
      <c r="A358">
        <v>100357</v>
      </c>
      <c r="B358" s="2">
        <v>45306.833333333343</v>
      </c>
      <c r="C358" t="s">
        <v>15</v>
      </c>
      <c r="D358" t="s">
        <v>25</v>
      </c>
      <c r="E358" t="s">
        <v>69</v>
      </c>
      <c r="F358" t="s">
        <v>72</v>
      </c>
      <c r="G358">
        <v>1</v>
      </c>
      <c r="H358">
        <v>41.1</v>
      </c>
      <c r="I358">
        <v>0</v>
      </c>
      <c r="J358" t="s">
        <v>73</v>
      </c>
      <c r="K358" t="s">
        <v>79</v>
      </c>
      <c r="L358">
        <v>41.1</v>
      </c>
      <c r="M358">
        <v>0</v>
      </c>
      <c r="N358">
        <v>41.1</v>
      </c>
    </row>
    <row r="359" spans="1:14" x14ac:dyDescent="0.3">
      <c r="A359">
        <v>100358</v>
      </c>
      <c r="B359" s="2">
        <v>45306.875</v>
      </c>
      <c r="C359" t="s">
        <v>15</v>
      </c>
      <c r="D359" t="s">
        <v>40</v>
      </c>
      <c r="E359" t="s">
        <v>66</v>
      </c>
      <c r="F359" t="s">
        <v>72</v>
      </c>
      <c r="G359">
        <v>3</v>
      </c>
      <c r="H359">
        <v>66.87</v>
      </c>
      <c r="I359">
        <v>15</v>
      </c>
      <c r="J359" t="s">
        <v>76</v>
      </c>
      <c r="K359" t="s">
        <v>77</v>
      </c>
      <c r="L359">
        <v>200.61</v>
      </c>
      <c r="M359">
        <v>30.0915</v>
      </c>
      <c r="N359">
        <v>170.51849999999999</v>
      </c>
    </row>
    <row r="360" spans="1:14" x14ac:dyDescent="0.3">
      <c r="A360">
        <v>100359</v>
      </c>
      <c r="B360" s="2">
        <v>45306.916666666657</v>
      </c>
      <c r="C360" t="s">
        <v>14</v>
      </c>
      <c r="D360" t="s">
        <v>50</v>
      </c>
      <c r="E360" t="s">
        <v>70</v>
      </c>
      <c r="F360" t="s">
        <v>72</v>
      </c>
      <c r="G360">
        <v>1</v>
      </c>
      <c r="H360">
        <v>101.61</v>
      </c>
      <c r="I360">
        <v>0</v>
      </c>
      <c r="J360" t="s">
        <v>74</v>
      </c>
      <c r="K360" t="s">
        <v>77</v>
      </c>
      <c r="L360">
        <v>101.61</v>
      </c>
      <c r="M360">
        <v>0</v>
      </c>
      <c r="N360">
        <v>101.61</v>
      </c>
    </row>
    <row r="361" spans="1:14" x14ac:dyDescent="0.3">
      <c r="A361">
        <v>100360</v>
      </c>
      <c r="B361" s="2">
        <v>45306.958333333343</v>
      </c>
      <c r="C361" t="s">
        <v>14</v>
      </c>
      <c r="D361" t="s">
        <v>28</v>
      </c>
      <c r="E361" t="s">
        <v>68</v>
      </c>
      <c r="F361" t="s">
        <v>72</v>
      </c>
      <c r="G361">
        <v>1</v>
      </c>
      <c r="H361">
        <v>118.79</v>
      </c>
      <c r="I361">
        <v>5</v>
      </c>
      <c r="J361" t="s">
        <v>73</v>
      </c>
      <c r="K361" t="s">
        <v>77</v>
      </c>
      <c r="L361">
        <v>118.79</v>
      </c>
      <c r="M361">
        <v>5.9395000000000007</v>
      </c>
      <c r="N361">
        <v>112.8505</v>
      </c>
    </row>
    <row r="362" spans="1:14" x14ac:dyDescent="0.3">
      <c r="A362">
        <v>100361</v>
      </c>
      <c r="B362" s="2">
        <v>45307</v>
      </c>
      <c r="C362" t="s">
        <v>15</v>
      </c>
      <c r="D362" t="s">
        <v>51</v>
      </c>
      <c r="E362" t="s">
        <v>68</v>
      </c>
      <c r="F362" t="s">
        <v>72</v>
      </c>
      <c r="G362">
        <v>5</v>
      </c>
      <c r="H362">
        <v>107.29</v>
      </c>
      <c r="I362">
        <v>10</v>
      </c>
      <c r="J362" t="s">
        <v>75</v>
      </c>
      <c r="K362" t="s">
        <v>77</v>
      </c>
      <c r="L362">
        <v>536.45000000000005</v>
      </c>
      <c r="M362">
        <v>53.64500000000001</v>
      </c>
      <c r="N362">
        <v>482.80500000000012</v>
      </c>
    </row>
    <row r="363" spans="1:14" x14ac:dyDescent="0.3">
      <c r="A363">
        <v>100362</v>
      </c>
      <c r="B363" s="2">
        <v>45307.041666666657</v>
      </c>
      <c r="C363" t="s">
        <v>14</v>
      </c>
      <c r="D363" t="s">
        <v>52</v>
      </c>
      <c r="E363" t="s">
        <v>70</v>
      </c>
      <c r="F363" t="s">
        <v>71</v>
      </c>
      <c r="G363">
        <v>3</v>
      </c>
      <c r="H363">
        <v>47.72</v>
      </c>
      <c r="I363">
        <v>15</v>
      </c>
      <c r="J363" t="s">
        <v>73</v>
      </c>
      <c r="K363" t="s">
        <v>77</v>
      </c>
      <c r="L363">
        <v>143.16</v>
      </c>
      <c r="M363">
        <v>21.474</v>
      </c>
      <c r="N363">
        <v>121.68600000000001</v>
      </c>
    </row>
    <row r="364" spans="1:14" x14ac:dyDescent="0.3">
      <c r="A364">
        <v>100363</v>
      </c>
      <c r="B364" s="2">
        <v>45307.083333333343</v>
      </c>
      <c r="C364" t="s">
        <v>14</v>
      </c>
      <c r="D364" t="s">
        <v>41</v>
      </c>
      <c r="E364" t="s">
        <v>67</v>
      </c>
      <c r="F364" t="s">
        <v>72</v>
      </c>
      <c r="G364">
        <v>4</v>
      </c>
      <c r="H364">
        <v>27.44</v>
      </c>
      <c r="I364">
        <v>5</v>
      </c>
      <c r="J364" t="s">
        <v>73</v>
      </c>
      <c r="K364" t="s">
        <v>77</v>
      </c>
      <c r="L364">
        <v>109.76</v>
      </c>
      <c r="M364">
        <v>5.4880000000000004</v>
      </c>
      <c r="N364">
        <v>104.27200000000001</v>
      </c>
    </row>
    <row r="365" spans="1:14" x14ac:dyDescent="0.3">
      <c r="A365">
        <v>100364</v>
      </c>
      <c r="B365" s="2">
        <v>45307.125</v>
      </c>
      <c r="C365" t="s">
        <v>15</v>
      </c>
      <c r="D365" t="s">
        <v>53</v>
      </c>
      <c r="E365" t="s">
        <v>70</v>
      </c>
      <c r="F365" t="s">
        <v>71</v>
      </c>
      <c r="G365">
        <v>3</v>
      </c>
      <c r="H365">
        <v>61.28</v>
      </c>
      <c r="I365">
        <v>15</v>
      </c>
      <c r="J365" t="s">
        <v>76</v>
      </c>
      <c r="K365" t="s">
        <v>79</v>
      </c>
      <c r="L365">
        <v>183.84</v>
      </c>
      <c r="M365">
        <v>27.576000000000001</v>
      </c>
      <c r="N365">
        <v>156.26400000000001</v>
      </c>
    </row>
    <row r="366" spans="1:14" x14ac:dyDescent="0.3">
      <c r="A366">
        <v>100365</v>
      </c>
      <c r="B366" s="2">
        <v>45307.166666666657</v>
      </c>
      <c r="C366" t="s">
        <v>14</v>
      </c>
      <c r="D366" t="s">
        <v>30</v>
      </c>
      <c r="E366" t="s">
        <v>66</v>
      </c>
      <c r="F366" t="s">
        <v>72</v>
      </c>
      <c r="G366">
        <v>5</v>
      </c>
      <c r="H366">
        <v>90.29</v>
      </c>
      <c r="I366">
        <v>15</v>
      </c>
      <c r="J366" t="s">
        <v>76</v>
      </c>
      <c r="K366" t="s">
        <v>78</v>
      </c>
      <c r="L366">
        <v>451.45</v>
      </c>
      <c r="M366">
        <v>67.717500000000001</v>
      </c>
      <c r="N366">
        <v>383.73250000000007</v>
      </c>
    </row>
    <row r="367" spans="1:14" x14ac:dyDescent="0.3">
      <c r="A367">
        <v>100366</v>
      </c>
      <c r="B367" s="2">
        <v>45307.208333333343</v>
      </c>
      <c r="C367" t="s">
        <v>14</v>
      </c>
      <c r="D367" t="s">
        <v>35</v>
      </c>
      <c r="E367" t="s">
        <v>67</v>
      </c>
      <c r="F367" t="s">
        <v>71</v>
      </c>
      <c r="G367">
        <v>1</v>
      </c>
      <c r="H367">
        <v>61.65</v>
      </c>
      <c r="I367">
        <v>0</v>
      </c>
      <c r="J367" t="s">
        <v>75</v>
      </c>
      <c r="K367" t="s">
        <v>77</v>
      </c>
      <c r="L367">
        <v>61.65</v>
      </c>
      <c r="M367">
        <v>0</v>
      </c>
      <c r="N367">
        <v>61.65</v>
      </c>
    </row>
    <row r="368" spans="1:14" x14ac:dyDescent="0.3">
      <c r="A368">
        <v>100367</v>
      </c>
      <c r="B368" s="2">
        <v>45307.25</v>
      </c>
      <c r="C368" t="s">
        <v>15</v>
      </c>
      <c r="D368" t="s">
        <v>61</v>
      </c>
      <c r="E368" t="s">
        <v>68</v>
      </c>
      <c r="F368" t="s">
        <v>72</v>
      </c>
      <c r="G368">
        <v>5</v>
      </c>
      <c r="H368">
        <v>60.57</v>
      </c>
      <c r="I368">
        <v>0</v>
      </c>
      <c r="J368" t="s">
        <v>76</v>
      </c>
      <c r="K368" t="s">
        <v>77</v>
      </c>
      <c r="L368">
        <v>302.85000000000002</v>
      </c>
      <c r="M368">
        <v>0</v>
      </c>
      <c r="N368">
        <v>302.85000000000002</v>
      </c>
    </row>
    <row r="369" spans="1:14" x14ac:dyDescent="0.3">
      <c r="A369">
        <v>100368</v>
      </c>
      <c r="B369" s="2">
        <v>45307.291666666657</v>
      </c>
      <c r="C369" t="s">
        <v>15</v>
      </c>
      <c r="D369" t="s">
        <v>30</v>
      </c>
      <c r="E369" t="s">
        <v>70</v>
      </c>
      <c r="F369" t="s">
        <v>71</v>
      </c>
      <c r="G369">
        <v>2</v>
      </c>
      <c r="H369">
        <v>101.4</v>
      </c>
      <c r="I369">
        <v>5</v>
      </c>
      <c r="J369" t="s">
        <v>73</v>
      </c>
      <c r="K369" t="s">
        <v>77</v>
      </c>
      <c r="L369">
        <v>202.8</v>
      </c>
      <c r="M369">
        <v>10.14</v>
      </c>
      <c r="N369">
        <v>192.66</v>
      </c>
    </row>
    <row r="370" spans="1:14" x14ac:dyDescent="0.3">
      <c r="A370">
        <v>100369</v>
      </c>
      <c r="B370" s="2">
        <v>45307.333333333343</v>
      </c>
      <c r="C370" t="s">
        <v>14</v>
      </c>
      <c r="D370" t="s">
        <v>27</v>
      </c>
      <c r="E370" t="s">
        <v>69</v>
      </c>
      <c r="F370" t="s">
        <v>72</v>
      </c>
      <c r="G370">
        <v>2</v>
      </c>
      <c r="H370">
        <v>46.56</v>
      </c>
      <c r="I370">
        <v>15</v>
      </c>
      <c r="J370" t="s">
        <v>73</v>
      </c>
      <c r="K370" t="s">
        <v>77</v>
      </c>
      <c r="L370">
        <v>93.12</v>
      </c>
      <c r="M370">
        <v>13.968</v>
      </c>
      <c r="N370">
        <v>79.152000000000001</v>
      </c>
    </row>
    <row r="371" spans="1:14" x14ac:dyDescent="0.3">
      <c r="A371">
        <v>100370</v>
      </c>
      <c r="B371" s="2">
        <v>45307.375</v>
      </c>
      <c r="C371" t="s">
        <v>14</v>
      </c>
      <c r="D371" t="s">
        <v>54</v>
      </c>
      <c r="E371" t="s">
        <v>69</v>
      </c>
      <c r="F371" t="s">
        <v>71</v>
      </c>
      <c r="G371">
        <v>4</v>
      </c>
      <c r="H371">
        <v>103.88</v>
      </c>
      <c r="I371">
        <v>0</v>
      </c>
      <c r="J371" t="s">
        <v>76</v>
      </c>
      <c r="K371" t="s">
        <v>77</v>
      </c>
      <c r="L371">
        <v>415.52</v>
      </c>
      <c r="M371">
        <v>0</v>
      </c>
      <c r="N371">
        <v>415.52</v>
      </c>
    </row>
    <row r="372" spans="1:14" x14ac:dyDescent="0.3">
      <c r="A372">
        <v>100371</v>
      </c>
      <c r="B372" s="2">
        <v>45307.416666666657</v>
      </c>
      <c r="C372" t="s">
        <v>15</v>
      </c>
      <c r="D372" t="s">
        <v>55</v>
      </c>
      <c r="E372" t="s">
        <v>66</v>
      </c>
      <c r="F372" t="s">
        <v>71</v>
      </c>
      <c r="G372">
        <v>5</v>
      </c>
      <c r="H372">
        <v>51.78</v>
      </c>
      <c r="I372">
        <v>0</v>
      </c>
      <c r="J372" t="s">
        <v>73</v>
      </c>
      <c r="K372" t="s">
        <v>77</v>
      </c>
      <c r="L372">
        <v>258.89999999999998</v>
      </c>
      <c r="M372">
        <v>0</v>
      </c>
      <c r="N372">
        <v>258.89999999999998</v>
      </c>
    </row>
    <row r="373" spans="1:14" x14ac:dyDescent="0.3">
      <c r="A373">
        <v>100372</v>
      </c>
      <c r="B373" s="2">
        <v>45307.458333333343</v>
      </c>
      <c r="C373" t="s">
        <v>15</v>
      </c>
      <c r="D373" t="s">
        <v>56</v>
      </c>
      <c r="E373" t="s">
        <v>69</v>
      </c>
      <c r="F373" t="s">
        <v>71</v>
      </c>
      <c r="G373">
        <v>4</v>
      </c>
      <c r="H373">
        <v>42.75</v>
      </c>
      <c r="I373">
        <v>15</v>
      </c>
      <c r="J373" t="s">
        <v>73</v>
      </c>
      <c r="K373" t="s">
        <v>77</v>
      </c>
      <c r="L373">
        <v>171</v>
      </c>
      <c r="M373">
        <v>25.65</v>
      </c>
      <c r="N373">
        <v>145.35</v>
      </c>
    </row>
    <row r="374" spans="1:14" x14ac:dyDescent="0.3">
      <c r="A374">
        <v>100373</v>
      </c>
      <c r="B374" s="2">
        <v>45307.5</v>
      </c>
      <c r="C374" t="s">
        <v>15</v>
      </c>
      <c r="D374" t="s">
        <v>54</v>
      </c>
      <c r="E374" t="s">
        <v>70</v>
      </c>
      <c r="F374" t="s">
        <v>71</v>
      </c>
      <c r="G374">
        <v>4</v>
      </c>
      <c r="H374">
        <v>57.21</v>
      </c>
      <c r="I374">
        <v>5</v>
      </c>
      <c r="J374" t="s">
        <v>75</v>
      </c>
      <c r="K374" t="s">
        <v>77</v>
      </c>
      <c r="L374">
        <v>228.84</v>
      </c>
      <c r="M374">
        <v>11.442</v>
      </c>
      <c r="N374">
        <v>217.398</v>
      </c>
    </row>
    <row r="375" spans="1:14" x14ac:dyDescent="0.3">
      <c r="A375">
        <v>100374</v>
      </c>
      <c r="B375" s="2">
        <v>45307.541666666657</v>
      </c>
      <c r="C375" t="s">
        <v>15</v>
      </c>
      <c r="D375" t="s">
        <v>52</v>
      </c>
      <c r="E375" t="s">
        <v>70</v>
      </c>
      <c r="F375" t="s">
        <v>71</v>
      </c>
      <c r="G375">
        <v>2</v>
      </c>
      <c r="H375">
        <v>92.68</v>
      </c>
      <c r="I375">
        <v>5</v>
      </c>
      <c r="J375" t="s">
        <v>76</v>
      </c>
      <c r="K375" t="s">
        <v>77</v>
      </c>
      <c r="L375">
        <v>185.36</v>
      </c>
      <c r="M375">
        <v>9.2680000000000007</v>
      </c>
      <c r="N375">
        <v>176.09200000000001</v>
      </c>
    </row>
    <row r="376" spans="1:14" x14ac:dyDescent="0.3">
      <c r="A376">
        <v>100375</v>
      </c>
      <c r="B376" s="2">
        <v>45307.583333333343</v>
      </c>
      <c r="C376" t="s">
        <v>14</v>
      </c>
      <c r="D376" t="s">
        <v>37</v>
      </c>
      <c r="E376" t="s">
        <v>69</v>
      </c>
      <c r="F376" t="s">
        <v>71</v>
      </c>
      <c r="G376">
        <v>4</v>
      </c>
      <c r="H376">
        <v>19.489999999999998</v>
      </c>
      <c r="I376">
        <v>15</v>
      </c>
      <c r="J376" t="s">
        <v>73</v>
      </c>
      <c r="K376" t="s">
        <v>78</v>
      </c>
      <c r="L376">
        <v>77.959999999999994</v>
      </c>
      <c r="M376">
        <v>11.694000000000001</v>
      </c>
      <c r="N376">
        <v>66.265999999999991</v>
      </c>
    </row>
    <row r="377" spans="1:14" x14ac:dyDescent="0.3">
      <c r="A377">
        <v>100376</v>
      </c>
      <c r="B377" s="2">
        <v>45307.625</v>
      </c>
      <c r="C377" t="s">
        <v>15</v>
      </c>
      <c r="D377" t="s">
        <v>47</v>
      </c>
      <c r="E377" t="s">
        <v>70</v>
      </c>
      <c r="F377" t="s">
        <v>72</v>
      </c>
      <c r="G377">
        <v>2</v>
      </c>
      <c r="H377">
        <v>27.59</v>
      </c>
      <c r="I377">
        <v>5</v>
      </c>
      <c r="J377" t="s">
        <v>76</v>
      </c>
      <c r="K377" t="s">
        <v>77</v>
      </c>
      <c r="L377">
        <v>55.18</v>
      </c>
      <c r="M377">
        <v>2.7589999999999999</v>
      </c>
      <c r="N377">
        <v>52.420999999999999</v>
      </c>
    </row>
    <row r="378" spans="1:14" x14ac:dyDescent="0.3">
      <c r="A378">
        <v>100377</v>
      </c>
      <c r="B378" s="2">
        <v>45307.666666666657</v>
      </c>
      <c r="C378" t="s">
        <v>15</v>
      </c>
      <c r="D378" t="s">
        <v>18</v>
      </c>
      <c r="E378" t="s">
        <v>66</v>
      </c>
      <c r="F378" t="s">
        <v>71</v>
      </c>
      <c r="G378">
        <v>1</v>
      </c>
      <c r="H378">
        <v>114.42</v>
      </c>
      <c r="I378">
        <v>0</v>
      </c>
      <c r="J378" t="s">
        <v>75</v>
      </c>
      <c r="K378" t="s">
        <v>77</v>
      </c>
      <c r="L378">
        <v>114.42</v>
      </c>
      <c r="M378">
        <v>0</v>
      </c>
      <c r="N378">
        <v>114.42</v>
      </c>
    </row>
    <row r="379" spans="1:14" x14ac:dyDescent="0.3">
      <c r="A379">
        <v>100378</v>
      </c>
      <c r="B379" s="2">
        <v>45307.708333333343</v>
      </c>
      <c r="C379" t="s">
        <v>14</v>
      </c>
      <c r="D379" t="s">
        <v>49</v>
      </c>
      <c r="E379" t="s">
        <v>67</v>
      </c>
      <c r="F379" t="s">
        <v>72</v>
      </c>
      <c r="G379">
        <v>5</v>
      </c>
      <c r="H379">
        <v>25.18</v>
      </c>
      <c r="I379">
        <v>15</v>
      </c>
      <c r="J379" t="s">
        <v>76</v>
      </c>
      <c r="K379" t="s">
        <v>77</v>
      </c>
      <c r="L379">
        <v>125.9</v>
      </c>
      <c r="M379">
        <v>18.885000000000002</v>
      </c>
      <c r="N379">
        <v>107.015</v>
      </c>
    </row>
    <row r="380" spans="1:14" x14ac:dyDescent="0.3">
      <c r="A380">
        <v>100379</v>
      </c>
      <c r="B380" s="2">
        <v>45307.75</v>
      </c>
      <c r="C380" t="s">
        <v>15</v>
      </c>
      <c r="D380" t="s">
        <v>59</v>
      </c>
      <c r="E380" t="s">
        <v>66</v>
      </c>
      <c r="F380" t="s">
        <v>72</v>
      </c>
      <c r="G380">
        <v>4</v>
      </c>
      <c r="H380">
        <v>70.290000000000006</v>
      </c>
      <c r="I380">
        <v>0</v>
      </c>
      <c r="J380" t="s">
        <v>73</v>
      </c>
      <c r="K380" t="s">
        <v>77</v>
      </c>
      <c r="L380">
        <v>281.16000000000003</v>
      </c>
      <c r="M380">
        <v>0</v>
      </c>
      <c r="N380">
        <v>281.16000000000003</v>
      </c>
    </row>
    <row r="381" spans="1:14" x14ac:dyDescent="0.3">
      <c r="A381">
        <v>100380</v>
      </c>
      <c r="B381" s="2">
        <v>45307.791666666657</v>
      </c>
      <c r="C381" t="s">
        <v>14</v>
      </c>
      <c r="D381" t="s">
        <v>18</v>
      </c>
      <c r="E381" t="s">
        <v>66</v>
      </c>
      <c r="F381" t="s">
        <v>72</v>
      </c>
      <c r="G381">
        <v>2</v>
      </c>
      <c r="H381">
        <v>71.62</v>
      </c>
      <c r="I381">
        <v>10</v>
      </c>
      <c r="J381" t="s">
        <v>76</v>
      </c>
      <c r="K381" t="s">
        <v>79</v>
      </c>
      <c r="L381">
        <v>143.24</v>
      </c>
      <c r="M381">
        <v>14.324</v>
      </c>
      <c r="N381">
        <v>128.916</v>
      </c>
    </row>
    <row r="382" spans="1:14" x14ac:dyDescent="0.3">
      <c r="A382">
        <v>100381</v>
      </c>
      <c r="B382" s="2">
        <v>45307.833333333343</v>
      </c>
      <c r="C382" t="s">
        <v>15</v>
      </c>
      <c r="D382" t="s">
        <v>30</v>
      </c>
      <c r="E382" t="s">
        <v>70</v>
      </c>
      <c r="F382" t="s">
        <v>72</v>
      </c>
      <c r="G382">
        <v>3</v>
      </c>
      <c r="H382">
        <v>61.31</v>
      </c>
      <c r="I382">
        <v>10</v>
      </c>
      <c r="J382" t="s">
        <v>73</v>
      </c>
      <c r="K382" t="s">
        <v>77</v>
      </c>
      <c r="L382">
        <v>183.93</v>
      </c>
      <c r="M382">
        <v>18.393000000000001</v>
      </c>
      <c r="N382">
        <v>165.53700000000001</v>
      </c>
    </row>
    <row r="383" spans="1:14" x14ac:dyDescent="0.3">
      <c r="A383">
        <v>100382</v>
      </c>
      <c r="B383" s="2">
        <v>45307.875</v>
      </c>
      <c r="C383" t="s">
        <v>15</v>
      </c>
      <c r="D383" t="s">
        <v>16</v>
      </c>
      <c r="E383" t="s">
        <v>67</v>
      </c>
      <c r="F383" t="s">
        <v>72</v>
      </c>
      <c r="G383">
        <v>4</v>
      </c>
      <c r="H383">
        <v>79.150000000000006</v>
      </c>
      <c r="I383">
        <v>5</v>
      </c>
      <c r="J383" t="s">
        <v>73</v>
      </c>
      <c r="K383" t="s">
        <v>77</v>
      </c>
      <c r="L383">
        <v>316.60000000000002</v>
      </c>
      <c r="M383">
        <v>15.83</v>
      </c>
      <c r="N383">
        <v>300.77</v>
      </c>
    </row>
    <row r="384" spans="1:14" x14ac:dyDescent="0.3">
      <c r="A384">
        <v>100383</v>
      </c>
      <c r="B384" s="2">
        <v>45307.916666666657</v>
      </c>
      <c r="C384" t="s">
        <v>15</v>
      </c>
      <c r="D384" t="s">
        <v>18</v>
      </c>
      <c r="E384" t="s">
        <v>70</v>
      </c>
      <c r="F384" t="s">
        <v>71</v>
      </c>
      <c r="G384">
        <v>1</v>
      </c>
      <c r="H384">
        <v>31.43</v>
      </c>
      <c r="I384">
        <v>10</v>
      </c>
      <c r="J384" t="s">
        <v>73</v>
      </c>
      <c r="K384" t="s">
        <v>77</v>
      </c>
      <c r="L384">
        <v>31.43</v>
      </c>
      <c r="M384">
        <v>3.1429999999999998</v>
      </c>
      <c r="N384">
        <v>28.286999999999999</v>
      </c>
    </row>
    <row r="385" spans="1:14" x14ac:dyDescent="0.3">
      <c r="A385">
        <v>100384</v>
      </c>
      <c r="B385" s="2">
        <v>45307.958333333343</v>
      </c>
      <c r="C385" t="s">
        <v>14</v>
      </c>
      <c r="D385" t="s">
        <v>29</v>
      </c>
      <c r="E385" t="s">
        <v>68</v>
      </c>
      <c r="F385" t="s">
        <v>71</v>
      </c>
      <c r="G385">
        <v>1</v>
      </c>
      <c r="H385">
        <v>68.56</v>
      </c>
      <c r="I385">
        <v>0</v>
      </c>
      <c r="J385" t="s">
        <v>75</v>
      </c>
      <c r="K385" t="s">
        <v>77</v>
      </c>
      <c r="L385">
        <v>68.56</v>
      </c>
      <c r="M385">
        <v>0</v>
      </c>
      <c r="N385">
        <v>68.56</v>
      </c>
    </row>
    <row r="386" spans="1:14" x14ac:dyDescent="0.3">
      <c r="A386">
        <v>100385</v>
      </c>
      <c r="B386" s="2">
        <v>45308</v>
      </c>
      <c r="C386" t="s">
        <v>14</v>
      </c>
      <c r="D386" t="s">
        <v>31</v>
      </c>
      <c r="E386" t="s">
        <v>70</v>
      </c>
      <c r="F386" t="s">
        <v>71</v>
      </c>
      <c r="G386">
        <v>3</v>
      </c>
      <c r="H386">
        <v>47.8</v>
      </c>
      <c r="I386">
        <v>10</v>
      </c>
      <c r="J386" t="s">
        <v>76</v>
      </c>
      <c r="K386" t="s">
        <v>77</v>
      </c>
      <c r="L386">
        <v>143.4</v>
      </c>
      <c r="M386">
        <v>14.34</v>
      </c>
      <c r="N386">
        <v>129.06</v>
      </c>
    </row>
    <row r="387" spans="1:14" x14ac:dyDescent="0.3">
      <c r="A387">
        <v>100386</v>
      </c>
      <c r="B387" s="2">
        <v>45308.041666666657</v>
      </c>
      <c r="C387" t="s">
        <v>15</v>
      </c>
      <c r="D387" t="s">
        <v>52</v>
      </c>
      <c r="E387" t="s">
        <v>70</v>
      </c>
      <c r="F387" t="s">
        <v>72</v>
      </c>
      <c r="G387">
        <v>2</v>
      </c>
      <c r="H387">
        <v>81.09</v>
      </c>
      <c r="I387">
        <v>0</v>
      </c>
      <c r="J387" t="s">
        <v>75</v>
      </c>
      <c r="K387" t="s">
        <v>77</v>
      </c>
      <c r="L387">
        <v>162.18</v>
      </c>
      <c r="M387">
        <v>0</v>
      </c>
      <c r="N387">
        <v>162.18</v>
      </c>
    </row>
    <row r="388" spans="1:14" x14ac:dyDescent="0.3">
      <c r="A388">
        <v>100387</v>
      </c>
      <c r="B388" s="2">
        <v>45308.083333333343</v>
      </c>
      <c r="C388" t="s">
        <v>14</v>
      </c>
      <c r="D388" t="s">
        <v>54</v>
      </c>
      <c r="E388" t="s">
        <v>70</v>
      </c>
      <c r="F388" t="s">
        <v>71</v>
      </c>
      <c r="G388">
        <v>4</v>
      </c>
      <c r="H388">
        <v>21.24</v>
      </c>
      <c r="I388">
        <v>5</v>
      </c>
      <c r="J388" t="s">
        <v>76</v>
      </c>
      <c r="K388" t="s">
        <v>77</v>
      </c>
      <c r="L388">
        <v>84.96</v>
      </c>
      <c r="M388">
        <v>4.2480000000000002</v>
      </c>
      <c r="N388">
        <v>80.711999999999989</v>
      </c>
    </row>
    <row r="389" spans="1:14" x14ac:dyDescent="0.3">
      <c r="A389">
        <v>100388</v>
      </c>
      <c r="B389" s="2">
        <v>45308.125</v>
      </c>
      <c r="C389" t="s">
        <v>14</v>
      </c>
      <c r="D389" t="s">
        <v>54</v>
      </c>
      <c r="E389" t="s">
        <v>67</v>
      </c>
      <c r="F389" t="s">
        <v>71</v>
      </c>
      <c r="G389">
        <v>2</v>
      </c>
      <c r="H389">
        <v>70.650000000000006</v>
      </c>
      <c r="I389">
        <v>5</v>
      </c>
      <c r="J389" t="s">
        <v>75</v>
      </c>
      <c r="K389" t="s">
        <v>77</v>
      </c>
      <c r="L389">
        <v>141.30000000000001</v>
      </c>
      <c r="M389">
        <v>7.0650000000000013</v>
      </c>
      <c r="N389">
        <v>134.23500000000001</v>
      </c>
    </row>
    <row r="390" spans="1:14" x14ac:dyDescent="0.3">
      <c r="A390">
        <v>100389</v>
      </c>
      <c r="B390" s="2">
        <v>45308.166666666657</v>
      </c>
      <c r="C390" t="s">
        <v>14</v>
      </c>
      <c r="D390" t="s">
        <v>56</v>
      </c>
      <c r="E390" t="s">
        <v>70</v>
      </c>
      <c r="F390" t="s">
        <v>71</v>
      </c>
      <c r="G390">
        <v>1</v>
      </c>
      <c r="H390">
        <v>26.31</v>
      </c>
      <c r="I390">
        <v>0</v>
      </c>
      <c r="J390" t="s">
        <v>74</v>
      </c>
      <c r="K390" t="s">
        <v>77</v>
      </c>
      <c r="L390">
        <v>26.31</v>
      </c>
      <c r="M390">
        <v>0</v>
      </c>
      <c r="N390">
        <v>26.31</v>
      </c>
    </row>
    <row r="391" spans="1:14" x14ac:dyDescent="0.3">
      <c r="A391">
        <v>100390</v>
      </c>
      <c r="B391" s="2">
        <v>45308.208333333343</v>
      </c>
      <c r="C391" t="s">
        <v>14</v>
      </c>
      <c r="D391" t="s">
        <v>26</v>
      </c>
      <c r="E391" t="s">
        <v>67</v>
      </c>
      <c r="F391" t="s">
        <v>71</v>
      </c>
      <c r="G391">
        <v>2</v>
      </c>
      <c r="H391">
        <v>37.04</v>
      </c>
      <c r="I391">
        <v>10</v>
      </c>
      <c r="J391" t="s">
        <v>73</v>
      </c>
      <c r="K391" t="s">
        <v>77</v>
      </c>
      <c r="L391">
        <v>74.08</v>
      </c>
      <c r="M391">
        <v>7.4080000000000004</v>
      </c>
      <c r="N391">
        <v>66.671999999999997</v>
      </c>
    </row>
    <row r="392" spans="1:14" x14ac:dyDescent="0.3">
      <c r="A392">
        <v>100391</v>
      </c>
      <c r="B392" s="2">
        <v>45308.25</v>
      </c>
      <c r="C392" t="s">
        <v>14</v>
      </c>
      <c r="D392" t="s">
        <v>26</v>
      </c>
      <c r="E392" t="s">
        <v>69</v>
      </c>
      <c r="F392" t="s">
        <v>71</v>
      </c>
      <c r="G392">
        <v>1</v>
      </c>
      <c r="H392">
        <v>30.15</v>
      </c>
      <c r="I392">
        <v>5</v>
      </c>
      <c r="J392" t="s">
        <v>73</v>
      </c>
      <c r="K392" t="s">
        <v>77</v>
      </c>
      <c r="L392">
        <v>30.15</v>
      </c>
      <c r="M392">
        <v>1.5075000000000001</v>
      </c>
      <c r="N392">
        <v>28.642499999999998</v>
      </c>
    </row>
    <row r="393" spans="1:14" x14ac:dyDescent="0.3">
      <c r="A393">
        <v>100392</v>
      </c>
      <c r="B393" s="2">
        <v>45308.291666666657</v>
      </c>
      <c r="C393" t="s">
        <v>14</v>
      </c>
      <c r="D393" t="s">
        <v>48</v>
      </c>
      <c r="E393" t="s">
        <v>68</v>
      </c>
      <c r="F393" t="s">
        <v>72</v>
      </c>
      <c r="G393">
        <v>2</v>
      </c>
      <c r="H393">
        <v>26.03</v>
      </c>
      <c r="I393">
        <v>15</v>
      </c>
      <c r="J393" t="s">
        <v>75</v>
      </c>
      <c r="K393" t="s">
        <v>77</v>
      </c>
      <c r="L393">
        <v>52.06</v>
      </c>
      <c r="M393">
        <v>7.8090000000000002</v>
      </c>
      <c r="N393">
        <v>44.250999999999998</v>
      </c>
    </row>
    <row r="394" spans="1:14" x14ac:dyDescent="0.3">
      <c r="A394">
        <v>100393</v>
      </c>
      <c r="B394" s="2">
        <v>45308.333333333343</v>
      </c>
      <c r="C394" t="s">
        <v>15</v>
      </c>
      <c r="D394" t="s">
        <v>65</v>
      </c>
      <c r="E394" t="s">
        <v>67</v>
      </c>
      <c r="F394" t="s">
        <v>71</v>
      </c>
      <c r="G394">
        <v>3</v>
      </c>
      <c r="H394">
        <v>99.96</v>
      </c>
      <c r="I394">
        <v>5</v>
      </c>
      <c r="J394" t="s">
        <v>74</v>
      </c>
      <c r="K394" t="s">
        <v>78</v>
      </c>
      <c r="L394">
        <v>299.88</v>
      </c>
      <c r="M394">
        <v>14.994</v>
      </c>
      <c r="N394">
        <v>284.88600000000002</v>
      </c>
    </row>
    <row r="395" spans="1:14" x14ac:dyDescent="0.3">
      <c r="A395">
        <v>100394</v>
      </c>
      <c r="B395" s="2">
        <v>45308.375</v>
      </c>
      <c r="C395" t="s">
        <v>15</v>
      </c>
      <c r="D395" t="s">
        <v>55</v>
      </c>
      <c r="E395" t="s">
        <v>69</v>
      </c>
      <c r="F395" t="s">
        <v>72</v>
      </c>
      <c r="G395">
        <v>5</v>
      </c>
      <c r="H395">
        <v>37.86</v>
      </c>
      <c r="I395">
        <v>10</v>
      </c>
      <c r="J395" t="s">
        <v>73</v>
      </c>
      <c r="K395" t="s">
        <v>78</v>
      </c>
      <c r="L395">
        <v>189.3</v>
      </c>
      <c r="M395">
        <v>18.93</v>
      </c>
      <c r="N395">
        <v>170.37</v>
      </c>
    </row>
    <row r="396" spans="1:14" x14ac:dyDescent="0.3">
      <c r="A396">
        <v>100395</v>
      </c>
      <c r="B396" s="2">
        <v>45308.416666666657</v>
      </c>
      <c r="C396" t="s">
        <v>14</v>
      </c>
      <c r="D396" t="s">
        <v>61</v>
      </c>
      <c r="E396" t="s">
        <v>67</v>
      </c>
      <c r="F396" t="s">
        <v>72</v>
      </c>
      <c r="G396">
        <v>3</v>
      </c>
      <c r="H396">
        <v>111.62</v>
      </c>
      <c r="I396">
        <v>15</v>
      </c>
      <c r="J396" t="s">
        <v>76</v>
      </c>
      <c r="K396" t="s">
        <v>77</v>
      </c>
      <c r="L396">
        <v>334.86</v>
      </c>
      <c r="M396">
        <v>50.228999999999999</v>
      </c>
      <c r="N396">
        <v>284.63099999999997</v>
      </c>
    </row>
    <row r="397" spans="1:14" x14ac:dyDescent="0.3">
      <c r="A397">
        <v>100396</v>
      </c>
      <c r="B397" s="2">
        <v>45308.458333333343</v>
      </c>
      <c r="C397" t="s">
        <v>15</v>
      </c>
      <c r="D397" t="s">
        <v>59</v>
      </c>
      <c r="E397" t="s">
        <v>67</v>
      </c>
      <c r="F397" t="s">
        <v>72</v>
      </c>
      <c r="G397">
        <v>3</v>
      </c>
      <c r="H397">
        <v>116.54</v>
      </c>
      <c r="I397">
        <v>10</v>
      </c>
      <c r="J397" t="s">
        <v>75</v>
      </c>
      <c r="K397" t="s">
        <v>77</v>
      </c>
      <c r="L397">
        <v>349.62</v>
      </c>
      <c r="M397">
        <v>34.962000000000003</v>
      </c>
      <c r="N397">
        <v>314.65800000000002</v>
      </c>
    </row>
    <row r="398" spans="1:14" x14ac:dyDescent="0.3">
      <c r="A398">
        <v>100397</v>
      </c>
      <c r="B398" s="2">
        <v>45308.5</v>
      </c>
      <c r="C398" t="s">
        <v>15</v>
      </c>
      <c r="D398" t="s">
        <v>29</v>
      </c>
      <c r="E398" t="s">
        <v>68</v>
      </c>
      <c r="F398" t="s">
        <v>72</v>
      </c>
      <c r="G398">
        <v>5</v>
      </c>
      <c r="H398">
        <v>70.69</v>
      </c>
      <c r="I398">
        <v>0</v>
      </c>
      <c r="J398" t="s">
        <v>73</v>
      </c>
      <c r="K398" t="s">
        <v>77</v>
      </c>
      <c r="L398">
        <v>353.45</v>
      </c>
      <c r="M398">
        <v>0</v>
      </c>
      <c r="N398">
        <v>353.45</v>
      </c>
    </row>
    <row r="399" spans="1:14" x14ac:dyDescent="0.3">
      <c r="A399">
        <v>100398</v>
      </c>
      <c r="B399" s="2">
        <v>45308.541666666657</v>
      </c>
      <c r="C399" t="s">
        <v>15</v>
      </c>
      <c r="D399" t="s">
        <v>23</v>
      </c>
      <c r="E399" t="s">
        <v>66</v>
      </c>
      <c r="F399" t="s">
        <v>72</v>
      </c>
      <c r="G399">
        <v>5</v>
      </c>
      <c r="H399">
        <v>21.45</v>
      </c>
      <c r="I399">
        <v>15</v>
      </c>
      <c r="J399" t="s">
        <v>73</v>
      </c>
      <c r="K399" t="s">
        <v>77</v>
      </c>
      <c r="L399">
        <v>107.25</v>
      </c>
      <c r="M399">
        <v>16.087499999999999</v>
      </c>
      <c r="N399">
        <v>91.162499999999994</v>
      </c>
    </row>
    <row r="400" spans="1:14" x14ac:dyDescent="0.3">
      <c r="A400">
        <v>100399</v>
      </c>
      <c r="B400" s="2">
        <v>45308.583333333343</v>
      </c>
      <c r="C400" t="s">
        <v>15</v>
      </c>
      <c r="D400" t="s">
        <v>18</v>
      </c>
      <c r="E400" t="s">
        <v>66</v>
      </c>
      <c r="F400" t="s">
        <v>71</v>
      </c>
      <c r="G400">
        <v>4</v>
      </c>
      <c r="H400">
        <v>48.07</v>
      </c>
      <c r="I400">
        <v>10</v>
      </c>
      <c r="J400" t="s">
        <v>75</v>
      </c>
      <c r="K400" t="s">
        <v>77</v>
      </c>
      <c r="L400">
        <v>192.28</v>
      </c>
      <c r="M400">
        <v>19.228000000000002</v>
      </c>
      <c r="N400">
        <v>173.05199999999999</v>
      </c>
    </row>
    <row r="401" spans="1:14" x14ac:dyDescent="0.3">
      <c r="A401">
        <v>100400</v>
      </c>
      <c r="B401" s="2">
        <v>45308.625</v>
      </c>
      <c r="C401" t="s">
        <v>14</v>
      </c>
      <c r="D401" t="s">
        <v>33</v>
      </c>
      <c r="E401" t="s">
        <v>67</v>
      </c>
      <c r="F401" t="s">
        <v>71</v>
      </c>
      <c r="G401">
        <v>4</v>
      </c>
      <c r="H401">
        <v>96.74</v>
      </c>
      <c r="I401">
        <v>15</v>
      </c>
      <c r="J401" t="s">
        <v>75</v>
      </c>
      <c r="K401" t="s">
        <v>77</v>
      </c>
      <c r="L401">
        <v>386.96</v>
      </c>
      <c r="M401">
        <v>58.043999999999997</v>
      </c>
      <c r="N401">
        <v>328.916</v>
      </c>
    </row>
    <row r="402" spans="1:14" x14ac:dyDescent="0.3">
      <c r="A402">
        <v>100401</v>
      </c>
      <c r="B402" s="2">
        <v>45308.666666666657</v>
      </c>
      <c r="C402" t="s">
        <v>15</v>
      </c>
      <c r="D402" t="s">
        <v>56</v>
      </c>
      <c r="E402" t="s">
        <v>70</v>
      </c>
      <c r="F402" t="s">
        <v>71</v>
      </c>
      <c r="G402">
        <v>3</v>
      </c>
      <c r="H402">
        <v>47.25</v>
      </c>
      <c r="I402">
        <v>10</v>
      </c>
      <c r="J402" t="s">
        <v>76</v>
      </c>
      <c r="K402" t="s">
        <v>77</v>
      </c>
      <c r="L402">
        <v>141.75</v>
      </c>
      <c r="M402">
        <v>14.175000000000001</v>
      </c>
      <c r="N402">
        <v>127.575</v>
      </c>
    </row>
    <row r="403" spans="1:14" x14ac:dyDescent="0.3">
      <c r="A403">
        <v>100402</v>
      </c>
      <c r="B403" s="2">
        <v>45308.708333333343</v>
      </c>
      <c r="C403" t="s">
        <v>15</v>
      </c>
      <c r="D403" t="s">
        <v>43</v>
      </c>
      <c r="E403" t="s">
        <v>69</v>
      </c>
      <c r="F403" t="s">
        <v>72</v>
      </c>
      <c r="G403">
        <v>3</v>
      </c>
      <c r="H403">
        <v>15.01</v>
      </c>
      <c r="I403">
        <v>15</v>
      </c>
      <c r="J403" t="s">
        <v>76</v>
      </c>
      <c r="K403" t="s">
        <v>77</v>
      </c>
      <c r="L403">
        <v>45.03</v>
      </c>
      <c r="M403">
        <v>6.7545000000000002</v>
      </c>
      <c r="N403">
        <v>38.275500000000001</v>
      </c>
    </row>
    <row r="404" spans="1:14" x14ac:dyDescent="0.3">
      <c r="A404">
        <v>100403</v>
      </c>
      <c r="B404" s="2">
        <v>45308.75</v>
      </c>
      <c r="C404" t="s">
        <v>14</v>
      </c>
      <c r="D404" t="s">
        <v>64</v>
      </c>
      <c r="E404" t="s">
        <v>70</v>
      </c>
      <c r="F404" t="s">
        <v>71</v>
      </c>
      <c r="G404">
        <v>1</v>
      </c>
      <c r="H404">
        <v>69.03</v>
      </c>
      <c r="I404">
        <v>10</v>
      </c>
      <c r="J404" t="s">
        <v>73</v>
      </c>
      <c r="K404" t="s">
        <v>78</v>
      </c>
      <c r="L404">
        <v>69.03</v>
      </c>
      <c r="M404">
        <v>6.9029999999999996</v>
      </c>
      <c r="N404">
        <v>62.127000000000002</v>
      </c>
    </row>
    <row r="405" spans="1:14" x14ac:dyDescent="0.3">
      <c r="A405">
        <v>100404</v>
      </c>
      <c r="B405" s="2">
        <v>45308.791666666657</v>
      </c>
      <c r="C405" t="s">
        <v>14</v>
      </c>
      <c r="D405" t="s">
        <v>23</v>
      </c>
      <c r="E405" t="s">
        <v>70</v>
      </c>
      <c r="F405" t="s">
        <v>71</v>
      </c>
      <c r="G405">
        <v>1</v>
      </c>
      <c r="H405">
        <v>102.19</v>
      </c>
      <c r="I405">
        <v>0</v>
      </c>
      <c r="J405" t="s">
        <v>73</v>
      </c>
      <c r="K405" t="s">
        <v>77</v>
      </c>
      <c r="L405">
        <v>102.19</v>
      </c>
      <c r="M405">
        <v>0</v>
      </c>
      <c r="N405">
        <v>102.19</v>
      </c>
    </row>
    <row r="406" spans="1:14" x14ac:dyDescent="0.3">
      <c r="A406">
        <v>100405</v>
      </c>
      <c r="B406" s="2">
        <v>45308.833333333343</v>
      </c>
      <c r="C406" t="s">
        <v>15</v>
      </c>
      <c r="D406" t="s">
        <v>47</v>
      </c>
      <c r="E406" t="s">
        <v>67</v>
      </c>
      <c r="F406" t="s">
        <v>72</v>
      </c>
      <c r="G406">
        <v>4</v>
      </c>
      <c r="H406">
        <v>96.53</v>
      </c>
      <c r="I406">
        <v>15</v>
      </c>
      <c r="J406" t="s">
        <v>75</v>
      </c>
      <c r="K406" t="s">
        <v>77</v>
      </c>
      <c r="L406">
        <v>386.12</v>
      </c>
      <c r="M406">
        <v>57.917999999999999</v>
      </c>
      <c r="N406">
        <v>328.202</v>
      </c>
    </row>
    <row r="407" spans="1:14" x14ac:dyDescent="0.3">
      <c r="A407">
        <v>100406</v>
      </c>
      <c r="B407" s="2">
        <v>45308.875</v>
      </c>
      <c r="C407" t="s">
        <v>15</v>
      </c>
      <c r="D407" t="s">
        <v>18</v>
      </c>
      <c r="E407" t="s">
        <v>67</v>
      </c>
      <c r="F407" t="s">
        <v>72</v>
      </c>
      <c r="G407">
        <v>4</v>
      </c>
      <c r="H407">
        <v>25.14</v>
      </c>
      <c r="I407">
        <v>15</v>
      </c>
      <c r="J407" t="s">
        <v>73</v>
      </c>
      <c r="K407" t="s">
        <v>77</v>
      </c>
      <c r="L407">
        <v>100.56</v>
      </c>
      <c r="M407">
        <v>15.084</v>
      </c>
      <c r="N407">
        <v>85.475999999999999</v>
      </c>
    </row>
    <row r="408" spans="1:14" x14ac:dyDescent="0.3">
      <c r="A408">
        <v>100407</v>
      </c>
      <c r="B408" s="2">
        <v>45308.916666666657</v>
      </c>
      <c r="C408" t="s">
        <v>15</v>
      </c>
      <c r="D408" t="s">
        <v>50</v>
      </c>
      <c r="E408" t="s">
        <v>67</v>
      </c>
      <c r="F408" t="s">
        <v>72</v>
      </c>
      <c r="G408">
        <v>1</v>
      </c>
      <c r="H408">
        <v>82.37</v>
      </c>
      <c r="I408">
        <v>15</v>
      </c>
      <c r="J408" t="s">
        <v>73</v>
      </c>
      <c r="K408" t="s">
        <v>77</v>
      </c>
      <c r="L408">
        <v>82.37</v>
      </c>
      <c r="M408">
        <v>12.355499999999999</v>
      </c>
      <c r="N408">
        <v>70.014499999999998</v>
      </c>
    </row>
    <row r="409" spans="1:14" x14ac:dyDescent="0.3">
      <c r="A409">
        <v>100408</v>
      </c>
      <c r="B409" s="2">
        <v>45308.958333333343</v>
      </c>
      <c r="C409" t="s">
        <v>15</v>
      </c>
      <c r="D409" t="s">
        <v>43</v>
      </c>
      <c r="E409" t="s">
        <v>67</v>
      </c>
      <c r="F409" t="s">
        <v>72</v>
      </c>
      <c r="G409">
        <v>1</v>
      </c>
      <c r="H409">
        <v>30.36</v>
      </c>
      <c r="I409">
        <v>15</v>
      </c>
      <c r="J409" t="s">
        <v>75</v>
      </c>
      <c r="K409" t="s">
        <v>78</v>
      </c>
      <c r="L409">
        <v>30.36</v>
      </c>
      <c r="M409">
        <v>4.5539999999999994</v>
      </c>
      <c r="N409">
        <v>25.806000000000001</v>
      </c>
    </row>
    <row r="410" spans="1:14" x14ac:dyDescent="0.3">
      <c r="A410">
        <v>100409</v>
      </c>
      <c r="B410" s="2">
        <v>45309</v>
      </c>
      <c r="C410" t="s">
        <v>15</v>
      </c>
      <c r="D410" t="s">
        <v>18</v>
      </c>
      <c r="E410" t="s">
        <v>66</v>
      </c>
      <c r="F410" t="s">
        <v>71</v>
      </c>
      <c r="G410">
        <v>2</v>
      </c>
      <c r="H410">
        <v>30.09</v>
      </c>
      <c r="I410">
        <v>0</v>
      </c>
      <c r="J410" t="s">
        <v>73</v>
      </c>
      <c r="K410" t="s">
        <v>77</v>
      </c>
      <c r="L410">
        <v>60.18</v>
      </c>
      <c r="M410">
        <v>0</v>
      </c>
      <c r="N410">
        <v>60.18</v>
      </c>
    </row>
    <row r="411" spans="1:14" x14ac:dyDescent="0.3">
      <c r="A411">
        <v>100410</v>
      </c>
      <c r="B411" s="2">
        <v>45309.041666666657</v>
      </c>
      <c r="C411" t="s">
        <v>15</v>
      </c>
      <c r="D411" t="s">
        <v>53</v>
      </c>
      <c r="E411" t="s">
        <v>67</v>
      </c>
      <c r="F411" t="s">
        <v>72</v>
      </c>
      <c r="G411">
        <v>2</v>
      </c>
      <c r="H411">
        <v>105.52</v>
      </c>
      <c r="I411">
        <v>15</v>
      </c>
      <c r="J411" t="s">
        <v>73</v>
      </c>
      <c r="K411" t="s">
        <v>77</v>
      </c>
      <c r="L411">
        <v>211.04</v>
      </c>
      <c r="M411">
        <v>31.655999999999999</v>
      </c>
      <c r="N411">
        <v>179.38399999999999</v>
      </c>
    </row>
    <row r="412" spans="1:14" x14ac:dyDescent="0.3">
      <c r="A412">
        <v>100411</v>
      </c>
      <c r="B412" s="2">
        <v>45309.083333333343</v>
      </c>
      <c r="C412" t="s">
        <v>14</v>
      </c>
      <c r="D412" t="s">
        <v>42</v>
      </c>
      <c r="E412" t="s">
        <v>66</v>
      </c>
      <c r="F412" t="s">
        <v>72</v>
      </c>
      <c r="G412">
        <v>1</v>
      </c>
      <c r="H412">
        <v>33.71</v>
      </c>
      <c r="I412">
        <v>5</v>
      </c>
      <c r="J412" t="s">
        <v>74</v>
      </c>
      <c r="K412" t="s">
        <v>77</v>
      </c>
      <c r="L412">
        <v>33.71</v>
      </c>
      <c r="M412">
        <v>1.6855</v>
      </c>
      <c r="N412">
        <v>32.024500000000003</v>
      </c>
    </row>
    <row r="413" spans="1:14" x14ac:dyDescent="0.3">
      <c r="A413">
        <v>100412</v>
      </c>
      <c r="B413" s="2">
        <v>45309.125</v>
      </c>
      <c r="C413" t="s">
        <v>15</v>
      </c>
      <c r="D413" t="s">
        <v>31</v>
      </c>
      <c r="E413" t="s">
        <v>66</v>
      </c>
      <c r="F413" t="s">
        <v>71</v>
      </c>
      <c r="G413">
        <v>2</v>
      </c>
      <c r="H413">
        <v>35.270000000000003</v>
      </c>
      <c r="I413">
        <v>0</v>
      </c>
      <c r="J413" t="s">
        <v>76</v>
      </c>
      <c r="K413" t="s">
        <v>77</v>
      </c>
      <c r="L413">
        <v>70.540000000000006</v>
      </c>
      <c r="M413">
        <v>0</v>
      </c>
      <c r="N413">
        <v>70.540000000000006</v>
      </c>
    </row>
    <row r="414" spans="1:14" x14ac:dyDescent="0.3">
      <c r="A414">
        <v>100413</v>
      </c>
      <c r="B414" s="2">
        <v>45309.166666666657</v>
      </c>
      <c r="C414" t="s">
        <v>15</v>
      </c>
      <c r="D414" t="s">
        <v>32</v>
      </c>
      <c r="E414" t="s">
        <v>67</v>
      </c>
      <c r="F414" t="s">
        <v>71</v>
      </c>
      <c r="G414">
        <v>5</v>
      </c>
      <c r="H414">
        <v>5.08</v>
      </c>
      <c r="I414">
        <v>5</v>
      </c>
      <c r="J414" t="s">
        <v>75</v>
      </c>
      <c r="K414" t="s">
        <v>77</v>
      </c>
      <c r="L414">
        <v>25.4</v>
      </c>
      <c r="M414">
        <v>1.27</v>
      </c>
      <c r="N414">
        <v>24.13</v>
      </c>
    </row>
    <row r="415" spans="1:14" x14ac:dyDescent="0.3">
      <c r="A415">
        <v>100414</v>
      </c>
      <c r="B415" s="2">
        <v>45309.208333333343</v>
      </c>
      <c r="C415" t="s">
        <v>14</v>
      </c>
      <c r="D415" t="s">
        <v>28</v>
      </c>
      <c r="E415" t="s">
        <v>68</v>
      </c>
      <c r="F415" t="s">
        <v>72</v>
      </c>
      <c r="G415">
        <v>4</v>
      </c>
      <c r="H415">
        <v>105.13</v>
      </c>
      <c r="I415">
        <v>15</v>
      </c>
      <c r="J415" t="s">
        <v>74</v>
      </c>
      <c r="K415" t="s">
        <v>77</v>
      </c>
      <c r="L415">
        <v>420.52</v>
      </c>
      <c r="M415">
        <v>63.078000000000003</v>
      </c>
      <c r="N415">
        <v>357.44200000000001</v>
      </c>
    </row>
    <row r="416" spans="1:14" x14ac:dyDescent="0.3">
      <c r="A416">
        <v>100415</v>
      </c>
      <c r="B416" s="2">
        <v>45309.25</v>
      </c>
      <c r="C416" t="s">
        <v>14</v>
      </c>
      <c r="D416" t="s">
        <v>32</v>
      </c>
      <c r="E416" t="s">
        <v>69</v>
      </c>
      <c r="F416" t="s">
        <v>71</v>
      </c>
      <c r="G416">
        <v>4</v>
      </c>
      <c r="H416">
        <v>96.15</v>
      </c>
      <c r="I416">
        <v>10</v>
      </c>
      <c r="J416" t="s">
        <v>76</v>
      </c>
      <c r="K416" t="s">
        <v>77</v>
      </c>
      <c r="L416">
        <v>384.6</v>
      </c>
      <c r="M416">
        <v>38.460000000000008</v>
      </c>
      <c r="N416">
        <v>346.14</v>
      </c>
    </row>
    <row r="417" spans="1:14" x14ac:dyDescent="0.3">
      <c r="A417">
        <v>100416</v>
      </c>
      <c r="B417" s="2">
        <v>45309.291666666657</v>
      </c>
      <c r="C417" t="s">
        <v>14</v>
      </c>
      <c r="D417" t="s">
        <v>18</v>
      </c>
      <c r="E417" t="s">
        <v>70</v>
      </c>
      <c r="F417" t="s">
        <v>72</v>
      </c>
      <c r="G417">
        <v>1</v>
      </c>
      <c r="H417">
        <v>77.14</v>
      </c>
      <c r="I417">
        <v>5</v>
      </c>
      <c r="J417" t="s">
        <v>76</v>
      </c>
      <c r="K417" t="s">
        <v>77</v>
      </c>
      <c r="L417">
        <v>77.14</v>
      </c>
      <c r="M417">
        <v>3.8570000000000002</v>
      </c>
      <c r="N417">
        <v>73.283000000000001</v>
      </c>
    </row>
    <row r="418" spans="1:14" x14ac:dyDescent="0.3">
      <c r="A418">
        <v>100417</v>
      </c>
      <c r="B418" s="2">
        <v>45309.333333333343</v>
      </c>
      <c r="C418" t="s">
        <v>14</v>
      </c>
      <c r="D418" t="s">
        <v>47</v>
      </c>
      <c r="E418" t="s">
        <v>66</v>
      </c>
      <c r="F418" t="s">
        <v>72</v>
      </c>
      <c r="G418">
        <v>3</v>
      </c>
      <c r="H418">
        <v>91.28</v>
      </c>
      <c r="I418">
        <v>15</v>
      </c>
      <c r="J418" t="s">
        <v>76</v>
      </c>
      <c r="K418" t="s">
        <v>77</v>
      </c>
      <c r="L418">
        <v>273.83999999999997</v>
      </c>
      <c r="M418">
        <v>41.076000000000001</v>
      </c>
      <c r="N418">
        <v>232.76400000000001</v>
      </c>
    </row>
    <row r="419" spans="1:14" x14ac:dyDescent="0.3">
      <c r="A419">
        <v>100418</v>
      </c>
      <c r="B419" s="2">
        <v>45309.375</v>
      </c>
      <c r="C419" t="s">
        <v>15</v>
      </c>
      <c r="D419" t="s">
        <v>20</v>
      </c>
      <c r="E419" t="s">
        <v>69</v>
      </c>
      <c r="F419" t="s">
        <v>71</v>
      </c>
      <c r="G419">
        <v>1</v>
      </c>
      <c r="H419">
        <v>22.49</v>
      </c>
      <c r="I419">
        <v>5</v>
      </c>
      <c r="J419" t="s">
        <v>74</v>
      </c>
      <c r="K419" t="s">
        <v>77</v>
      </c>
      <c r="L419">
        <v>22.49</v>
      </c>
      <c r="M419">
        <v>1.1245000000000001</v>
      </c>
      <c r="N419">
        <v>21.365500000000001</v>
      </c>
    </row>
    <row r="420" spans="1:14" x14ac:dyDescent="0.3">
      <c r="A420">
        <v>100419</v>
      </c>
      <c r="B420" s="2">
        <v>45309.416666666657</v>
      </c>
      <c r="C420" t="s">
        <v>15</v>
      </c>
      <c r="D420" t="s">
        <v>46</v>
      </c>
      <c r="E420" t="s">
        <v>68</v>
      </c>
      <c r="F420" t="s">
        <v>71</v>
      </c>
      <c r="G420">
        <v>2</v>
      </c>
      <c r="H420">
        <v>57.71</v>
      </c>
      <c r="I420">
        <v>15</v>
      </c>
      <c r="J420" t="s">
        <v>74</v>
      </c>
      <c r="K420" t="s">
        <v>77</v>
      </c>
      <c r="L420">
        <v>115.42</v>
      </c>
      <c r="M420">
        <v>17.312999999999999</v>
      </c>
      <c r="N420">
        <v>98.106999999999999</v>
      </c>
    </row>
    <row r="421" spans="1:14" x14ac:dyDescent="0.3">
      <c r="A421">
        <v>100420</v>
      </c>
      <c r="B421" s="2">
        <v>45309.458333333343</v>
      </c>
      <c r="C421" t="s">
        <v>15</v>
      </c>
      <c r="D421" t="s">
        <v>29</v>
      </c>
      <c r="E421" t="s">
        <v>70</v>
      </c>
      <c r="F421" t="s">
        <v>72</v>
      </c>
      <c r="G421">
        <v>3</v>
      </c>
      <c r="H421">
        <v>45.39</v>
      </c>
      <c r="I421">
        <v>15</v>
      </c>
      <c r="J421" t="s">
        <v>76</v>
      </c>
      <c r="K421" t="s">
        <v>77</v>
      </c>
      <c r="L421">
        <v>136.16999999999999</v>
      </c>
      <c r="M421">
        <v>20.4255</v>
      </c>
      <c r="N421">
        <v>115.7445</v>
      </c>
    </row>
    <row r="422" spans="1:14" x14ac:dyDescent="0.3">
      <c r="A422">
        <v>100421</v>
      </c>
      <c r="B422" s="2">
        <v>45309.5</v>
      </c>
      <c r="C422" t="s">
        <v>15</v>
      </c>
      <c r="D422" t="s">
        <v>64</v>
      </c>
      <c r="E422" t="s">
        <v>70</v>
      </c>
      <c r="F422" t="s">
        <v>72</v>
      </c>
      <c r="G422">
        <v>2</v>
      </c>
      <c r="H422">
        <v>15.78</v>
      </c>
      <c r="I422">
        <v>15</v>
      </c>
      <c r="J422" t="s">
        <v>73</v>
      </c>
      <c r="K422" t="s">
        <v>77</v>
      </c>
      <c r="L422">
        <v>31.56</v>
      </c>
      <c r="M422">
        <v>4.734</v>
      </c>
      <c r="N422">
        <v>26.826000000000001</v>
      </c>
    </row>
    <row r="423" spans="1:14" x14ac:dyDescent="0.3">
      <c r="A423">
        <v>100422</v>
      </c>
      <c r="B423" s="2">
        <v>45309.541666666657</v>
      </c>
      <c r="C423" t="s">
        <v>15</v>
      </c>
      <c r="D423" t="s">
        <v>35</v>
      </c>
      <c r="E423" t="s">
        <v>66</v>
      </c>
      <c r="F423" t="s">
        <v>72</v>
      </c>
      <c r="G423">
        <v>5</v>
      </c>
      <c r="H423">
        <v>60.91</v>
      </c>
      <c r="I423">
        <v>10</v>
      </c>
      <c r="J423" t="s">
        <v>73</v>
      </c>
      <c r="K423" t="s">
        <v>77</v>
      </c>
      <c r="L423">
        <v>304.55</v>
      </c>
      <c r="M423">
        <v>30.454999999999998</v>
      </c>
      <c r="N423">
        <v>274.09500000000003</v>
      </c>
    </row>
    <row r="424" spans="1:14" x14ac:dyDescent="0.3">
      <c r="A424">
        <v>100423</v>
      </c>
      <c r="B424" s="2">
        <v>45309.583333333343</v>
      </c>
      <c r="C424" t="s">
        <v>15</v>
      </c>
      <c r="D424" t="s">
        <v>60</v>
      </c>
      <c r="E424" t="s">
        <v>67</v>
      </c>
      <c r="F424" t="s">
        <v>71</v>
      </c>
      <c r="G424">
        <v>2</v>
      </c>
      <c r="H424">
        <v>110.89</v>
      </c>
      <c r="I424">
        <v>5</v>
      </c>
      <c r="J424" t="s">
        <v>74</v>
      </c>
      <c r="K424" t="s">
        <v>77</v>
      </c>
      <c r="L424">
        <v>221.78</v>
      </c>
      <c r="M424">
        <v>11.089</v>
      </c>
      <c r="N424">
        <v>210.691</v>
      </c>
    </row>
    <row r="425" spans="1:14" x14ac:dyDescent="0.3">
      <c r="A425">
        <v>100424</v>
      </c>
      <c r="B425" s="2">
        <v>45309.625</v>
      </c>
      <c r="C425" t="s">
        <v>14</v>
      </c>
      <c r="D425" t="s">
        <v>59</v>
      </c>
      <c r="E425" t="s">
        <v>68</v>
      </c>
      <c r="F425" t="s">
        <v>72</v>
      </c>
      <c r="G425">
        <v>5</v>
      </c>
      <c r="H425">
        <v>9.61</v>
      </c>
      <c r="I425">
        <v>0</v>
      </c>
      <c r="J425" t="s">
        <v>74</v>
      </c>
      <c r="K425" t="s">
        <v>77</v>
      </c>
      <c r="L425">
        <v>48.05</v>
      </c>
      <c r="M425">
        <v>0</v>
      </c>
      <c r="N425">
        <v>48.05</v>
      </c>
    </row>
    <row r="426" spans="1:14" x14ac:dyDescent="0.3">
      <c r="A426">
        <v>100425</v>
      </c>
      <c r="B426" s="2">
        <v>45309.666666666657</v>
      </c>
      <c r="C426" t="s">
        <v>15</v>
      </c>
      <c r="D426" t="s">
        <v>23</v>
      </c>
      <c r="E426" t="s">
        <v>66</v>
      </c>
      <c r="F426" t="s">
        <v>72</v>
      </c>
      <c r="G426">
        <v>5</v>
      </c>
      <c r="H426">
        <v>38.520000000000003</v>
      </c>
      <c r="I426">
        <v>0</v>
      </c>
      <c r="J426" t="s">
        <v>74</v>
      </c>
      <c r="K426" t="s">
        <v>77</v>
      </c>
      <c r="L426">
        <v>192.6</v>
      </c>
      <c r="M426">
        <v>0</v>
      </c>
      <c r="N426">
        <v>192.6</v>
      </c>
    </row>
    <row r="427" spans="1:14" x14ac:dyDescent="0.3">
      <c r="A427">
        <v>100426</v>
      </c>
      <c r="B427" s="2">
        <v>45309.708333333343</v>
      </c>
      <c r="C427" t="s">
        <v>14</v>
      </c>
      <c r="D427" t="s">
        <v>55</v>
      </c>
      <c r="E427" t="s">
        <v>68</v>
      </c>
      <c r="F427" t="s">
        <v>72</v>
      </c>
      <c r="G427">
        <v>2</v>
      </c>
      <c r="H427">
        <v>28.87</v>
      </c>
      <c r="I427">
        <v>0</v>
      </c>
      <c r="J427" t="s">
        <v>76</v>
      </c>
      <c r="K427" t="s">
        <v>77</v>
      </c>
      <c r="L427">
        <v>57.74</v>
      </c>
      <c r="M427">
        <v>0</v>
      </c>
      <c r="N427">
        <v>57.74</v>
      </c>
    </row>
    <row r="428" spans="1:14" x14ac:dyDescent="0.3">
      <c r="A428">
        <v>100427</v>
      </c>
      <c r="B428" s="2">
        <v>45309.75</v>
      </c>
      <c r="C428" t="s">
        <v>14</v>
      </c>
      <c r="D428" t="s">
        <v>28</v>
      </c>
      <c r="E428" t="s">
        <v>67</v>
      </c>
      <c r="F428" t="s">
        <v>72</v>
      </c>
      <c r="G428">
        <v>2</v>
      </c>
      <c r="H428">
        <v>32.39</v>
      </c>
      <c r="I428">
        <v>0</v>
      </c>
      <c r="J428" t="s">
        <v>73</v>
      </c>
      <c r="K428" t="s">
        <v>77</v>
      </c>
      <c r="L428">
        <v>64.78</v>
      </c>
      <c r="M428">
        <v>0</v>
      </c>
      <c r="N428">
        <v>64.78</v>
      </c>
    </row>
    <row r="429" spans="1:14" x14ac:dyDescent="0.3">
      <c r="A429">
        <v>100428</v>
      </c>
      <c r="B429" s="2">
        <v>45309.791666666657</v>
      </c>
      <c r="C429" t="s">
        <v>15</v>
      </c>
      <c r="D429" t="s">
        <v>23</v>
      </c>
      <c r="E429" t="s">
        <v>67</v>
      </c>
      <c r="F429" t="s">
        <v>72</v>
      </c>
      <c r="G429">
        <v>5</v>
      </c>
      <c r="H429">
        <v>109.47</v>
      </c>
      <c r="I429">
        <v>15</v>
      </c>
      <c r="J429" t="s">
        <v>74</v>
      </c>
      <c r="K429" t="s">
        <v>77</v>
      </c>
      <c r="L429">
        <v>547.35</v>
      </c>
      <c r="M429">
        <v>82.102500000000006</v>
      </c>
      <c r="N429">
        <v>465.2475</v>
      </c>
    </row>
    <row r="430" spans="1:14" x14ac:dyDescent="0.3">
      <c r="A430">
        <v>100429</v>
      </c>
      <c r="B430" s="2">
        <v>45309.833333333343</v>
      </c>
      <c r="C430" t="s">
        <v>14</v>
      </c>
      <c r="D430" t="s">
        <v>29</v>
      </c>
      <c r="E430" t="s">
        <v>66</v>
      </c>
      <c r="F430" t="s">
        <v>71</v>
      </c>
      <c r="G430">
        <v>3</v>
      </c>
      <c r="H430">
        <v>58.83</v>
      </c>
      <c r="I430">
        <v>5</v>
      </c>
      <c r="J430" t="s">
        <v>74</v>
      </c>
      <c r="K430" t="s">
        <v>77</v>
      </c>
      <c r="L430">
        <v>176.49</v>
      </c>
      <c r="M430">
        <v>8.8245000000000005</v>
      </c>
      <c r="N430">
        <v>167.66550000000001</v>
      </c>
    </row>
    <row r="431" spans="1:14" x14ac:dyDescent="0.3">
      <c r="A431">
        <v>100430</v>
      </c>
      <c r="B431" s="2">
        <v>45309.875</v>
      </c>
      <c r="C431" t="s">
        <v>15</v>
      </c>
      <c r="D431" t="s">
        <v>53</v>
      </c>
      <c r="E431" t="s">
        <v>67</v>
      </c>
      <c r="F431" t="s">
        <v>72</v>
      </c>
      <c r="G431">
        <v>5</v>
      </c>
      <c r="H431">
        <v>58.62</v>
      </c>
      <c r="I431">
        <v>5</v>
      </c>
      <c r="J431" t="s">
        <v>75</v>
      </c>
      <c r="K431" t="s">
        <v>77</v>
      </c>
      <c r="L431">
        <v>293.10000000000002</v>
      </c>
      <c r="M431">
        <v>14.654999999999999</v>
      </c>
      <c r="N431">
        <v>278.44499999999999</v>
      </c>
    </row>
    <row r="432" spans="1:14" x14ac:dyDescent="0.3">
      <c r="A432">
        <v>100431</v>
      </c>
      <c r="B432" s="2">
        <v>45309.916666666657</v>
      </c>
      <c r="C432" t="s">
        <v>14</v>
      </c>
      <c r="D432" t="s">
        <v>57</v>
      </c>
      <c r="E432" t="s">
        <v>69</v>
      </c>
      <c r="F432" t="s">
        <v>72</v>
      </c>
      <c r="G432">
        <v>4</v>
      </c>
      <c r="H432">
        <v>92.47</v>
      </c>
      <c r="I432">
        <v>10</v>
      </c>
      <c r="J432" t="s">
        <v>76</v>
      </c>
      <c r="K432" t="s">
        <v>77</v>
      </c>
      <c r="L432">
        <v>369.88</v>
      </c>
      <c r="M432">
        <v>36.988</v>
      </c>
      <c r="N432">
        <v>332.892</v>
      </c>
    </row>
    <row r="433" spans="1:14" x14ac:dyDescent="0.3">
      <c r="A433">
        <v>100432</v>
      </c>
      <c r="B433" s="2">
        <v>45309.958333333343</v>
      </c>
      <c r="C433" t="s">
        <v>15</v>
      </c>
      <c r="D433" t="s">
        <v>35</v>
      </c>
      <c r="E433" t="s">
        <v>70</v>
      </c>
      <c r="F433" t="s">
        <v>72</v>
      </c>
      <c r="G433">
        <v>5</v>
      </c>
      <c r="H433">
        <v>22.77</v>
      </c>
      <c r="I433">
        <v>5</v>
      </c>
      <c r="J433" t="s">
        <v>75</v>
      </c>
      <c r="K433" t="s">
        <v>77</v>
      </c>
      <c r="L433">
        <v>113.85</v>
      </c>
      <c r="M433">
        <v>5.6924999999999999</v>
      </c>
      <c r="N433">
        <v>108.1575</v>
      </c>
    </row>
    <row r="434" spans="1:14" x14ac:dyDescent="0.3">
      <c r="A434">
        <v>100433</v>
      </c>
      <c r="B434" s="2">
        <v>45310</v>
      </c>
      <c r="C434" t="s">
        <v>14</v>
      </c>
      <c r="D434" t="s">
        <v>31</v>
      </c>
      <c r="E434" t="s">
        <v>66</v>
      </c>
      <c r="F434" t="s">
        <v>72</v>
      </c>
      <c r="G434">
        <v>3</v>
      </c>
      <c r="H434">
        <v>61.04</v>
      </c>
      <c r="I434">
        <v>5</v>
      </c>
      <c r="J434" t="s">
        <v>73</v>
      </c>
      <c r="K434" t="s">
        <v>77</v>
      </c>
      <c r="L434">
        <v>183.12</v>
      </c>
      <c r="M434">
        <v>9.1560000000000006</v>
      </c>
      <c r="N434">
        <v>173.964</v>
      </c>
    </row>
    <row r="435" spans="1:14" x14ac:dyDescent="0.3">
      <c r="A435">
        <v>100434</v>
      </c>
      <c r="B435" s="2">
        <v>45310.041666666657</v>
      </c>
      <c r="C435" t="s">
        <v>15</v>
      </c>
      <c r="D435" t="s">
        <v>43</v>
      </c>
      <c r="E435" t="s">
        <v>68</v>
      </c>
      <c r="F435" t="s">
        <v>71</v>
      </c>
      <c r="G435">
        <v>4</v>
      </c>
      <c r="H435">
        <v>54.45</v>
      </c>
      <c r="I435">
        <v>5</v>
      </c>
      <c r="J435" t="s">
        <v>75</v>
      </c>
      <c r="K435" t="s">
        <v>77</v>
      </c>
      <c r="L435">
        <v>217.8</v>
      </c>
      <c r="M435">
        <v>10.89</v>
      </c>
      <c r="N435">
        <v>206.91</v>
      </c>
    </row>
    <row r="436" spans="1:14" x14ac:dyDescent="0.3">
      <c r="A436">
        <v>100435</v>
      </c>
      <c r="B436" s="2">
        <v>45310.083333333343</v>
      </c>
      <c r="C436" t="s">
        <v>15</v>
      </c>
      <c r="D436" t="s">
        <v>46</v>
      </c>
      <c r="E436" t="s">
        <v>69</v>
      </c>
      <c r="F436" t="s">
        <v>71</v>
      </c>
      <c r="G436">
        <v>1</v>
      </c>
      <c r="H436">
        <v>73.64</v>
      </c>
      <c r="I436">
        <v>10</v>
      </c>
      <c r="J436" t="s">
        <v>75</v>
      </c>
      <c r="K436" t="s">
        <v>77</v>
      </c>
      <c r="L436">
        <v>73.64</v>
      </c>
      <c r="M436">
        <v>7.3640000000000008</v>
      </c>
      <c r="N436">
        <v>66.275999999999996</v>
      </c>
    </row>
    <row r="437" spans="1:14" x14ac:dyDescent="0.3">
      <c r="A437">
        <v>100436</v>
      </c>
      <c r="B437" s="2">
        <v>45310.125</v>
      </c>
      <c r="C437" t="s">
        <v>15</v>
      </c>
      <c r="D437" t="s">
        <v>64</v>
      </c>
      <c r="E437" t="s">
        <v>66</v>
      </c>
      <c r="F437" t="s">
        <v>71</v>
      </c>
      <c r="G437">
        <v>1</v>
      </c>
      <c r="H437">
        <v>119.95</v>
      </c>
      <c r="I437">
        <v>0</v>
      </c>
      <c r="J437" t="s">
        <v>75</v>
      </c>
      <c r="K437" t="s">
        <v>77</v>
      </c>
      <c r="L437">
        <v>119.95</v>
      </c>
      <c r="M437">
        <v>0</v>
      </c>
      <c r="N437">
        <v>119.95</v>
      </c>
    </row>
    <row r="438" spans="1:14" x14ac:dyDescent="0.3">
      <c r="A438">
        <v>100437</v>
      </c>
      <c r="B438" s="2">
        <v>45310.166666666657</v>
      </c>
      <c r="C438" t="s">
        <v>15</v>
      </c>
      <c r="D438" t="s">
        <v>64</v>
      </c>
      <c r="E438" t="s">
        <v>67</v>
      </c>
      <c r="F438" t="s">
        <v>72</v>
      </c>
      <c r="G438">
        <v>3</v>
      </c>
      <c r="H438">
        <v>93.49</v>
      </c>
      <c r="I438">
        <v>5</v>
      </c>
      <c r="J438" t="s">
        <v>76</v>
      </c>
      <c r="K438" t="s">
        <v>77</v>
      </c>
      <c r="L438">
        <v>280.47000000000003</v>
      </c>
      <c r="M438">
        <v>14.0235</v>
      </c>
      <c r="N438">
        <v>266.44650000000001</v>
      </c>
    </row>
    <row r="439" spans="1:14" x14ac:dyDescent="0.3">
      <c r="A439">
        <v>100438</v>
      </c>
      <c r="B439" s="2">
        <v>45310.208333333343</v>
      </c>
      <c r="C439" t="s">
        <v>15</v>
      </c>
      <c r="D439" t="s">
        <v>41</v>
      </c>
      <c r="E439" t="s">
        <v>67</v>
      </c>
      <c r="F439" t="s">
        <v>72</v>
      </c>
      <c r="G439">
        <v>5</v>
      </c>
      <c r="H439">
        <v>50.75</v>
      </c>
      <c r="I439">
        <v>10</v>
      </c>
      <c r="J439" t="s">
        <v>73</v>
      </c>
      <c r="K439" t="s">
        <v>77</v>
      </c>
      <c r="L439">
        <v>253.75</v>
      </c>
      <c r="M439">
        <v>25.375</v>
      </c>
      <c r="N439">
        <v>228.375</v>
      </c>
    </row>
    <row r="440" spans="1:14" x14ac:dyDescent="0.3">
      <c r="A440">
        <v>100439</v>
      </c>
      <c r="B440" s="2">
        <v>45310.25</v>
      </c>
      <c r="C440" t="s">
        <v>14</v>
      </c>
      <c r="D440" t="s">
        <v>62</v>
      </c>
      <c r="E440" t="s">
        <v>67</v>
      </c>
      <c r="F440" t="s">
        <v>71</v>
      </c>
      <c r="G440">
        <v>2</v>
      </c>
      <c r="H440">
        <v>100.17</v>
      </c>
      <c r="I440">
        <v>10</v>
      </c>
      <c r="J440" t="s">
        <v>75</v>
      </c>
      <c r="K440" t="s">
        <v>77</v>
      </c>
      <c r="L440">
        <v>200.34</v>
      </c>
      <c r="M440">
        <v>20.033999999999999</v>
      </c>
      <c r="N440">
        <v>180.30600000000001</v>
      </c>
    </row>
    <row r="441" spans="1:14" x14ac:dyDescent="0.3">
      <c r="A441">
        <v>100440</v>
      </c>
      <c r="B441" s="2">
        <v>45310.291666666657</v>
      </c>
      <c r="C441" t="s">
        <v>14</v>
      </c>
      <c r="D441" t="s">
        <v>43</v>
      </c>
      <c r="E441" t="s">
        <v>67</v>
      </c>
      <c r="F441" t="s">
        <v>71</v>
      </c>
      <c r="G441">
        <v>3</v>
      </c>
      <c r="H441">
        <v>24.63</v>
      </c>
      <c r="I441">
        <v>15</v>
      </c>
      <c r="J441" t="s">
        <v>76</v>
      </c>
      <c r="K441" t="s">
        <v>77</v>
      </c>
      <c r="L441">
        <v>73.89</v>
      </c>
      <c r="M441">
        <v>11.083500000000001</v>
      </c>
      <c r="N441">
        <v>62.8065</v>
      </c>
    </row>
    <row r="442" spans="1:14" x14ac:dyDescent="0.3">
      <c r="A442">
        <v>100441</v>
      </c>
      <c r="B442" s="2">
        <v>45310.333333333343</v>
      </c>
      <c r="C442" t="s">
        <v>14</v>
      </c>
      <c r="D442" t="s">
        <v>28</v>
      </c>
      <c r="E442" t="s">
        <v>68</v>
      </c>
      <c r="F442" t="s">
        <v>71</v>
      </c>
      <c r="G442">
        <v>4</v>
      </c>
      <c r="H442">
        <v>8.5</v>
      </c>
      <c r="I442">
        <v>10</v>
      </c>
      <c r="J442" t="s">
        <v>73</v>
      </c>
      <c r="K442" t="s">
        <v>77</v>
      </c>
      <c r="L442">
        <v>34</v>
      </c>
      <c r="M442">
        <v>3.4</v>
      </c>
      <c r="N442">
        <v>30.6</v>
      </c>
    </row>
    <row r="443" spans="1:14" x14ac:dyDescent="0.3">
      <c r="A443">
        <v>100442</v>
      </c>
      <c r="B443" s="2">
        <v>45310.375</v>
      </c>
      <c r="C443" t="s">
        <v>15</v>
      </c>
      <c r="D443" t="s">
        <v>19</v>
      </c>
      <c r="E443" t="s">
        <v>69</v>
      </c>
      <c r="F443" t="s">
        <v>72</v>
      </c>
      <c r="G443">
        <v>4</v>
      </c>
      <c r="H443">
        <v>28.51</v>
      </c>
      <c r="I443">
        <v>0</v>
      </c>
      <c r="J443" t="s">
        <v>74</v>
      </c>
      <c r="K443" t="s">
        <v>77</v>
      </c>
      <c r="L443">
        <v>114.04</v>
      </c>
      <c r="M443">
        <v>0</v>
      </c>
      <c r="N443">
        <v>114.04</v>
      </c>
    </row>
    <row r="444" spans="1:14" x14ac:dyDescent="0.3">
      <c r="A444">
        <v>100443</v>
      </c>
      <c r="B444" s="2">
        <v>45310.416666666657</v>
      </c>
      <c r="C444" t="s">
        <v>14</v>
      </c>
      <c r="D444" t="s">
        <v>39</v>
      </c>
      <c r="E444" t="s">
        <v>70</v>
      </c>
      <c r="F444" t="s">
        <v>72</v>
      </c>
      <c r="G444">
        <v>1</v>
      </c>
      <c r="H444">
        <v>44.15</v>
      </c>
      <c r="I444">
        <v>5</v>
      </c>
      <c r="J444" t="s">
        <v>75</v>
      </c>
      <c r="K444" t="s">
        <v>77</v>
      </c>
      <c r="L444">
        <v>44.15</v>
      </c>
      <c r="M444">
        <v>2.2075</v>
      </c>
      <c r="N444">
        <v>41.942500000000003</v>
      </c>
    </row>
    <row r="445" spans="1:14" x14ac:dyDescent="0.3">
      <c r="A445">
        <v>100444</v>
      </c>
      <c r="B445" s="2">
        <v>45310.458333333343</v>
      </c>
      <c r="C445" t="s">
        <v>15</v>
      </c>
      <c r="D445" t="s">
        <v>32</v>
      </c>
      <c r="E445" t="s">
        <v>68</v>
      </c>
      <c r="F445" t="s">
        <v>71</v>
      </c>
      <c r="G445">
        <v>4</v>
      </c>
      <c r="H445">
        <v>63.72</v>
      </c>
      <c r="I445">
        <v>10</v>
      </c>
      <c r="J445" t="s">
        <v>73</v>
      </c>
      <c r="K445" t="s">
        <v>78</v>
      </c>
      <c r="L445">
        <v>254.88</v>
      </c>
      <c r="M445">
        <v>25.488</v>
      </c>
      <c r="N445">
        <v>229.392</v>
      </c>
    </row>
    <row r="446" spans="1:14" x14ac:dyDescent="0.3">
      <c r="A446">
        <v>100445</v>
      </c>
      <c r="B446" s="2">
        <v>45310.5</v>
      </c>
      <c r="C446" t="s">
        <v>15</v>
      </c>
      <c r="D446" t="s">
        <v>54</v>
      </c>
      <c r="E446" t="s">
        <v>68</v>
      </c>
      <c r="F446" t="s">
        <v>71</v>
      </c>
      <c r="G446">
        <v>3</v>
      </c>
      <c r="H446">
        <v>75.739999999999995</v>
      </c>
      <c r="I446">
        <v>0</v>
      </c>
      <c r="J446" t="s">
        <v>75</v>
      </c>
      <c r="K446" t="s">
        <v>79</v>
      </c>
      <c r="L446">
        <v>227.22</v>
      </c>
      <c r="M446">
        <v>0</v>
      </c>
      <c r="N446">
        <v>227.22</v>
      </c>
    </row>
    <row r="447" spans="1:14" x14ac:dyDescent="0.3">
      <c r="A447">
        <v>100446</v>
      </c>
      <c r="B447" s="2">
        <v>45310.541666666657</v>
      </c>
      <c r="C447" t="s">
        <v>14</v>
      </c>
      <c r="D447" t="s">
        <v>47</v>
      </c>
      <c r="E447" t="s">
        <v>70</v>
      </c>
      <c r="F447" t="s">
        <v>71</v>
      </c>
      <c r="G447">
        <v>4</v>
      </c>
      <c r="H447">
        <v>109.72</v>
      </c>
      <c r="I447">
        <v>10</v>
      </c>
      <c r="J447" t="s">
        <v>74</v>
      </c>
      <c r="K447" t="s">
        <v>77</v>
      </c>
      <c r="L447">
        <v>438.88</v>
      </c>
      <c r="M447">
        <v>43.888000000000012</v>
      </c>
      <c r="N447">
        <v>394.99200000000002</v>
      </c>
    </row>
    <row r="448" spans="1:14" x14ac:dyDescent="0.3">
      <c r="A448">
        <v>100447</v>
      </c>
      <c r="B448" s="2">
        <v>45310.583333333343</v>
      </c>
      <c r="C448" t="s">
        <v>14</v>
      </c>
      <c r="D448" t="s">
        <v>26</v>
      </c>
      <c r="E448" t="s">
        <v>70</v>
      </c>
      <c r="F448" t="s">
        <v>72</v>
      </c>
      <c r="G448">
        <v>3</v>
      </c>
      <c r="H448">
        <v>63.63</v>
      </c>
      <c r="I448">
        <v>10</v>
      </c>
      <c r="J448" t="s">
        <v>73</v>
      </c>
      <c r="K448" t="s">
        <v>77</v>
      </c>
      <c r="L448">
        <v>190.89</v>
      </c>
      <c r="M448">
        <v>19.088999999999999</v>
      </c>
      <c r="N448">
        <v>171.80099999999999</v>
      </c>
    </row>
    <row r="449" spans="1:14" x14ac:dyDescent="0.3">
      <c r="A449">
        <v>100448</v>
      </c>
      <c r="B449" s="2">
        <v>45310.625</v>
      </c>
      <c r="C449" t="s">
        <v>15</v>
      </c>
      <c r="D449" t="s">
        <v>55</v>
      </c>
      <c r="E449" t="s">
        <v>67</v>
      </c>
      <c r="F449" t="s">
        <v>72</v>
      </c>
      <c r="G449">
        <v>2</v>
      </c>
      <c r="H449">
        <v>62.65</v>
      </c>
      <c r="I449">
        <v>10</v>
      </c>
      <c r="J449" t="s">
        <v>76</v>
      </c>
      <c r="K449" t="s">
        <v>77</v>
      </c>
      <c r="L449">
        <v>125.3</v>
      </c>
      <c r="M449">
        <v>12.53</v>
      </c>
      <c r="N449">
        <v>112.77</v>
      </c>
    </row>
    <row r="450" spans="1:14" x14ac:dyDescent="0.3">
      <c r="A450">
        <v>100449</v>
      </c>
      <c r="B450" s="2">
        <v>45310.666666666657</v>
      </c>
      <c r="C450" t="s">
        <v>14</v>
      </c>
      <c r="D450" t="s">
        <v>49</v>
      </c>
      <c r="E450" t="s">
        <v>68</v>
      </c>
      <c r="F450" t="s">
        <v>72</v>
      </c>
      <c r="G450">
        <v>1</v>
      </c>
      <c r="H450">
        <v>10.78</v>
      </c>
      <c r="I450">
        <v>10</v>
      </c>
      <c r="J450" t="s">
        <v>73</v>
      </c>
      <c r="K450" t="s">
        <v>77</v>
      </c>
      <c r="L450">
        <v>10.78</v>
      </c>
      <c r="M450">
        <v>1.0780000000000001</v>
      </c>
      <c r="N450">
        <v>9.702</v>
      </c>
    </row>
    <row r="451" spans="1:14" x14ac:dyDescent="0.3">
      <c r="A451">
        <v>100450</v>
      </c>
      <c r="B451" s="2">
        <v>45310.708333333343</v>
      </c>
      <c r="C451" t="s">
        <v>15</v>
      </c>
      <c r="D451" t="s">
        <v>29</v>
      </c>
      <c r="E451" t="s">
        <v>66</v>
      </c>
      <c r="F451" t="s">
        <v>71</v>
      </c>
      <c r="G451">
        <v>4</v>
      </c>
      <c r="H451">
        <v>9.01</v>
      </c>
      <c r="I451">
        <v>10</v>
      </c>
      <c r="J451" t="s">
        <v>76</v>
      </c>
      <c r="K451" t="s">
        <v>77</v>
      </c>
      <c r="L451">
        <v>36.04</v>
      </c>
      <c r="M451">
        <v>3.6040000000000001</v>
      </c>
      <c r="N451">
        <v>32.436</v>
      </c>
    </row>
    <row r="452" spans="1:14" x14ac:dyDescent="0.3">
      <c r="A452">
        <v>100451</v>
      </c>
      <c r="B452" s="2">
        <v>45310.75</v>
      </c>
      <c r="C452" t="s">
        <v>15</v>
      </c>
      <c r="D452" t="s">
        <v>41</v>
      </c>
      <c r="E452" t="s">
        <v>70</v>
      </c>
      <c r="F452" t="s">
        <v>71</v>
      </c>
      <c r="G452">
        <v>3</v>
      </c>
      <c r="H452">
        <v>68.38</v>
      </c>
      <c r="I452">
        <v>0</v>
      </c>
      <c r="J452" t="s">
        <v>73</v>
      </c>
      <c r="K452" t="s">
        <v>77</v>
      </c>
      <c r="L452">
        <v>205.14</v>
      </c>
      <c r="M452">
        <v>0</v>
      </c>
      <c r="N452">
        <v>205.14</v>
      </c>
    </row>
    <row r="453" spans="1:14" x14ac:dyDescent="0.3">
      <c r="A453">
        <v>100452</v>
      </c>
      <c r="B453" s="2">
        <v>45310.791666666657</v>
      </c>
      <c r="C453" t="s">
        <v>15</v>
      </c>
      <c r="D453" t="s">
        <v>24</v>
      </c>
      <c r="E453" t="s">
        <v>70</v>
      </c>
      <c r="F453" t="s">
        <v>72</v>
      </c>
      <c r="G453">
        <v>5</v>
      </c>
      <c r="H453">
        <v>55.39</v>
      </c>
      <c r="I453">
        <v>5</v>
      </c>
      <c r="J453" t="s">
        <v>76</v>
      </c>
      <c r="K453" t="s">
        <v>77</v>
      </c>
      <c r="L453">
        <v>276.95</v>
      </c>
      <c r="M453">
        <v>13.8475</v>
      </c>
      <c r="N453">
        <v>263.10250000000002</v>
      </c>
    </row>
    <row r="454" spans="1:14" x14ac:dyDescent="0.3">
      <c r="A454">
        <v>100453</v>
      </c>
      <c r="B454" s="2">
        <v>45310.833333333343</v>
      </c>
      <c r="C454" t="s">
        <v>15</v>
      </c>
      <c r="D454" t="s">
        <v>62</v>
      </c>
      <c r="E454" t="s">
        <v>69</v>
      </c>
      <c r="F454" t="s">
        <v>71</v>
      </c>
      <c r="G454">
        <v>1</v>
      </c>
      <c r="H454">
        <v>101.51</v>
      </c>
      <c r="I454">
        <v>5</v>
      </c>
      <c r="J454" t="s">
        <v>74</v>
      </c>
      <c r="K454" t="s">
        <v>77</v>
      </c>
      <c r="L454">
        <v>101.51</v>
      </c>
      <c r="M454">
        <v>5.0755000000000008</v>
      </c>
      <c r="N454">
        <v>96.4345</v>
      </c>
    </row>
    <row r="455" spans="1:14" x14ac:dyDescent="0.3">
      <c r="A455">
        <v>100454</v>
      </c>
      <c r="B455" s="2">
        <v>45310.875</v>
      </c>
      <c r="C455" t="s">
        <v>15</v>
      </c>
      <c r="D455" t="s">
        <v>57</v>
      </c>
      <c r="E455" t="s">
        <v>66</v>
      </c>
      <c r="F455" t="s">
        <v>72</v>
      </c>
      <c r="G455">
        <v>2</v>
      </c>
      <c r="H455">
        <v>23.48</v>
      </c>
      <c r="I455">
        <v>5</v>
      </c>
      <c r="J455" t="s">
        <v>74</v>
      </c>
      <c r="K455" t="s">
        <v>77</v>
      </c>
      <c r="L455">
        <v>46.96</v>
      </c>
      <c r="M455">
        <v>2.3479999999999999</v>
      </c>
      <c r="N455">
        <v>44.612000000000002</v>
      </c>
    </row>
    <row r="456" spans="1:14" x14ac:dyDescent="0.3">
      <c r="A456">
        <v>100455</v>
      </c>
      <c r="B456" s="2">
        <v>45310.916666666657</v>
      </c>
      <c r="C456" t="s">
        <v>14</v>
      </c>
      <c r="D456" t="s">
        <v>41</v>
      </c>
      <c r="E456" t="s">
        <v>66</v>
      </c>
      <c r="F456" t="s">
        <v>71</v>
      </c>
      <c r="G456">
        <v>3</v>
      </c>
      <c r="H456">
        <v>7.87</v>
      </c>
      <c r="I456">
        <v>5</v>
      </c>
      <c r="J456" t="s">
        <v>74</v>
      </c>
      <c r="K456" t="s">
        <v>77</v>
      </c>
      <c r="L456">
        <v>23.61</v>
      </c>
      <c r="M456">
        <v>1.1805000000000001</v>
      </c>
      <c r="N456">
        <v>22.429500000000001</v>
      </c>
    </row>
    <row r="457" spans="1:14" x14ac:dyDescent="0.3">
      <c r="A457">
        <v>100456</v>
      </c>
      <c r="B457" s="2">
        <v>45310.958333333343</v>
      </c>
      <c r="C457" t="s">
        <v>14</v>
      </c>
      <c r="D457" t="s">
        <v>20</v>
      </c>
      <c r="E457" t="s">
        <v>70</v>
      </c>
      <c r="F457" t="s">
        <v>71</v>
      </c>
      <c r="G457">
        <v>2</v>
      </c>
      <c r="H457">
        <v>56.64</v>
      </c>
      <c r="I457">
        <v>0</v>
      </c>
      <c r="J457" t="s">
        <v>73</v>
      </c>
      <c r="K457" t="s">
        <v>77</v>
      </c>
      <c r="L457">
        <v>113.28</v>
      </c>
      <c r="M457">
        <v>0</v>
      </c>
      <c r="N457">
        <v>113.28</v>
      </c>
    </row>
    <row r="458" spans="1:14" x14ac:dyDescent="0.3">
      <c r="A458">
        <v>100457</v>
      </c>
      <c r="B458" s="2">
        <v>45311</v>
      </c>
      <c r="C458" t="s">
        <v>15</v>
      </c>
      <c r="D458" t="s">
        <v>54</v>
      </c>
      <c r="E458" t="s">
        <v>67</v>
      </c>
      <c r="F458" t="s">
        <v>71</v>
      </c>
      <c r="G458">
        <v>2</v>
      </c>
      <c r="H458">
        <v>32.31</v>
      </c>
      <c r="I458">
        <v>15</v>
      </c>
      <c r="J458" t="s">
        <v>74</v>
      </c>
      <c r="K458" t="s">
        <v>78</v>
      </c>
      <c r="L458">
        <v>64.62</v>
      </c>
      <c r="M458">
        <v>9.6929999999999996</v>
      </c>
      <c r="N458">
        <v>54.927000000000007</v>
      </c>
    </row>
    <row r="459" spans="1:14" x14ac:dyDescent="0.3">
      <c r="A459">
        <v>100458</v>
      </c>
      <c r="B459" s="2">
        <v>45311.041666666657</v>
      </c>
      <c r="C459" t="s">
        <v>15</v>
      </c>
      <c r="D459" t="s">
        <v>27</v>
      </c>
      <c r="E459" t="s">
        <v>69</v>
      </c>
      <c r="F459" t="s">
        <v>71</v>
      </c>
      <c r="G459">
        <v>4</v>
      </c>
      <c r="H459">
        <v>10.71</v>
      </c>
      <c r="I459">
        <v>15</v>
      </c>
      <c r="J459" t="s">
        <v>75</v>
      </c>
      <c r="K459" t="s">
        <v>77</v>
      </c>
      <c r="L459">
        <v>42.84</v>
      </c>
      <c r="M459">
        <v>6.4260000000000002</v>
      </c>
      <c r="N459">
        <v>36.414000000000001</v>
      </c>
    </row>
    <row r="460" spans="1:14" x14ac:dyDescent="0.3">
      <c r="A460">
        <v>100459</v>
      </c>
      <c r="B460" s="2">
        <v>45311.083333333343</v>
      </c>
      <c r="C460" t="s">
        <v>14</v>
      </c>
      <c r="D460" t="s">
        <v>30</v>
      </c>
      <c r="E460" t="s">
        <v>66</v>
      </c>
      <c r="F460" t="s">
        <v>72</v>
      </c>
      <c r="G460">
        <v>4</v>
      </c>
      <c r="H460">
        <v>88.33</v>
      </c>
      <c r="I460">
        <v>0</v>
      </c>
      <c r="J460" t="s">
        <v>74</v>
      </c>
      <c r="K460" t="s">
        <v>77</v>
      </c>
      <c r="L460">
        <v>353.32</v>
      </c>
      <c r="M460">
        <v>0</v>
      </c>
      <c r="N460">
        <v>353.32</v>
      </c>
    </row>
    <row r="461" spans="1:14" x14ac:dyDescent="0.3">
      <c r="A461">
        <v>100460</v>
      </c>
      <c r="B461" s="2">
        <v>45311.125</v>
      </c>
      <c r="C461" t="s">
        <v>14</v>
      </c>
      <c r="D461" t="s">
        <v>18</v>
      </c>
      <c r="E461" t="s">
        <v>70</v>
      </c>
      <c r="F461" t="s">
        <v>71</v>
      </c>
      <c r="G461">
        <v>3</v>
      </c>
      <c r="H461">
        <v>17.829999999999998</v>
      </c>
      <c r="I461">
        <v>0</v>
      </c>
      <c r="J461" t="s">
        <v>76</v>
      </c>
      <c r="K461" t="s">
        <v>77</v>
      </c>
      <c r="L461">
        <v>53.489999999999988</v>
      </c>
      <c r="M461">
        <v>0</v>
      </c>
      <c r="N461">
        <v>53.489999999999988</v>
      </c>
    </row>
    <row r="462" spans="1:14" x14ac:dyDescent="0.3">
      <c r="A462">
        <v>100461</v>
      </c>
      <c r="B462" s="2">
        <v>45311.166666666657</v>
      </c>
      <c r="C462" t="s">
        <v>15</v>
      </c>
      <c r="D462" t="s">
        <v>29</v>
      </c>
      <c r="E462" t="s">
        <v>66</v>
      </c>
      <c r="F462" t="s">
        <v>72</v>
      </c>
      <c r="G462">
        <v>5</v>
      </c>
      <c r="H462">
        <v>74.959999999999994</v>
      </c>
      <c r="I462">
        <v>10</v>
      </c>
      <c r="J462" t="s">
        <v>76</v>
      </c>
      <c r="K462" t="s">
        <v>79</v>
      </c>
      <c r="L462">
        <v>374.8</v>
      </c>
      <c r="M462">
        <v>37.479999999999997</v>
      </c>
      <c r="N462">
        <v>337.31999999999988</v>
      </c>
    </row>
    <row r="463" spans="1:14" x14ac:dyDescent="0.3">
      <c r="A463">
        <v>100462</v>
      </c>
      <c r="B463" s="2">
        <v>45311.208333333343</v>
      </c>
      <c r="C463" t="s">
        <v>14</v>
      </c>
      <c r="D463" t="s">
        <v>54</v>
      </c>
      <c r="E463" t="s">
        <v>69</v>
      </c>
      <c r="F463" t="s">
        <v>72</v>
      </c>
      <c r="G463">
        <v>3</v>
      </c>
      <c r="H463">
        <v>37.32</v>
      </c>
      <c r="I463">
        <v>10</v>
      </c>
      <c r="J463" t="s">
        <v>76</v>
      </c>
      <c r="K463" t="s">
        <v>77</v>
      </c>
      <c r="L463">
        <v>111.96</v>
      </c>
      <c r="M463">
        <v>11.196</v>
      </c>
      <c r="N463">
        <v>100.764</v>
      </c>
    </row>
    <row r="464" spans="1:14" x14ac:dyDescent="0.3">
      <c r="A464">
        <v>100463</v>
      </c>
      <c r="B464" s="2">
        <v>45311.25</v>
      </c>
      <c r="C464" t="s">
        <v>15</v>
      </c>
      <c r="D464" t="s">
        <v>62</v>
      </c>
      <c r="E464" t="s">
        <v>69</v>
      </c>
      <c r="F464" t="s">
        <v>72</v>
      </c>
      <c r="G464">
        <v>5</v>
      </c>
      <c r="H464">
        <v>24.95</v>
      </c>
      <c r="I464">
        <v>10</v>
      </c>
      <c r="J464" t="s">
        <v>73</v>
      </c>
      <c r="K464" t="s">
        <v>77</v>
      </c>
      <c r="L464">
        <v>124.75</v>
      </c>
      <c r="M464">
        <v>12.475</v>
      </c>
      <c r="N464">
        <v>112.27500000000001</v>
      </c>
    </row>
    <row r="465" spans="1:14" x14ac:dyDescent="0.3">
      <c r="A465">
        <v>100464</v>
      </c>
      <c r="B465" s="2">
        <v>45311.291666666657</v>
      </c>
      <c r="C465" t="s">
        <v>14</v>
      </c>
      <c r="D465" t="s">
        <v>57</v>
      </c>
      <c r="E465" t="s">
        <v>68</v>
      </c>
      <c r="F465" t="s">
        <v>71</v>
      </c>
      <c r="G465">
        <v>2</v>
      </c>
      <c r="H465">
        <v>48.67</v>
      </c>
      <c r="I465">
        <v>5</v>
      </c>
      <c r="J465" t="s">
        <v>75</v>
      </c>
      <c r="K465" t="s">
        <v>77</v>
      </c>
      <c r="L465">
        <v>97.34</v>
      </c>
      <c r="M465">
        <v>4.8670000000000009</v>
      </c>
      <c r="N465">
        <v>92.472999999999999</v>
      </c>
    </row>
    <row r="466" spans="1:14" x14ac:dyDescent="0.3">
      <c r="A466">
        <v>100465</v>
      </c>
      <c r="B466" s="2">
        <v>45311.333333333343</v>
      </c>
      <c r="C466" t="s">
        <v>15</v>
      </c>
      <c r="D466" t="s">
        <v>58</v>
      </c>
      <c r="E466" t="s">
        <v>70</v>
      </c>
      <c r="F466" t="s">
        <v>72</v>
      </c>
      <c r="G466">
        <v>1</v>
      </c>
      <c r="H466">
        <v>97.17</v>
      </c>
      <c r="I466">
        <v>10</v>
      </c>
      <c r="J466" t="s">
        <v>74</v>
      </c>
      <c r="K466" t="s">
        <v>77</v>
      </c>
      <c r="L466">
        <v>97.17</v>
      </c>
      <c r="M466">
        <v>9.7170000000000005</v>
      </c>
      <c r="N466">
        <v>87.453000000000003</v>
      </c>
    </row>
    <row r="467" spans="1:14" x14ac:dyDescent="0.3">
      <c r="A467">
        <v>100466</v>
      </c>
      <c r="B467" s="2">
        <v>45311.375</v>
      </c>
      <c r="C467" t="s">
        <v>14</v>
      </c>
      <c r="D467" t="s">
        <v>64</v>
      </c>
      <c r="E467" t="s">
        <v>69</v>
      </c>
      <c r="F467" t="s">
        <v>72</v>
      </c>
      <c r="G467">
        <v>3</v>
      </c>
      <c r="H467">
        <v>50.09</v>
      </c>
      <c r="I467">
        <v>15</v>
      </c>
      <c r="J467" t="s">
        <v>75</v>
      </c>
      <c r="K467" t="s">
        <v>77</v>
      </c>
      <c r="L467">
        <v>150.27000000000001</v>
      </c>
      <c r="M467">
        <v>22.540500000000002</v>
      </c>
      <c r="N467">
        <v>127.7295</v>
      </c>
    </row>
    <row r="468" spans="1:14" x14ac:dyDescent="0.3">
      <c r="A468">
        <v>100467</v>
      </c>
      <c r="B468" s="2">
        <v>45311.416666666657</v>
      </c>
      <c r="C468" t="s">
        <v>15</v>
      </c>
      <c r="D468" t="s">
        <v>22</v>
      </c>
      <c r="E468" t="s">
        <v>68</v>
      </c>
      <c r="F468" t="s">
        <v>72</v>
      </c>
      <c r="G468">
        <v>3</v>
      </c>
      <c r="H468">
        <v>91.34</v>
      </c>
      <c r="I468">
        <v>5</v>
      </c>
      <c r="J468" t="s">
        <v>75</v>
      </c>
      <c r="K468" t="s">
        <v>77</v>
      </c>
      <c r="L468">
        <v>274.02</v>
      </c>
      <c r="M468">
        <v>13.701000000000001</v>
      </c>
      <c r="N468">
        <v>260.31900000000002</v>
      </c>
    </row>
    <row r="469" spans="1:14" x14ac:dyDescent="0.3">
      <c r="A469">
        <v>100468</v>
      </c>
      <c r="B469" s="2">
        <v>45311.458333333343</v>
      </c>
      <c r="C469" t="s">
        <v>14</v>
      </c>
      <c r="D469" t="s">
        <v>53</v>
      </c>
      <c r="E469" t="s">
        <v>68</v>
      </c>
      <c r="F469" t="s">
        <v>71</v>
      </c>
      <c r="G469">
        <v>5</v>
      </c>
      <c r="H469">
        <v>19.43</v>
      </c>
      <c r="I469">
        <v>10</v>
      </c>
      <c r="J469" t="s">
        <v>76</v>
      </c>
      <c r="K469" t="s">
        <v>77</v>
      </c>
      <c r="L469">
        <v>97.15</v>
      </c>
      <c r="M469">
        <v>9.7150000000000016</v>
      </c>
      <c r="N469">
        <v>87.435000000000002</v>
      </c>
    </row>
    <row r="470" spans="1:14" x14ac:dyDescent="0.3">
      <c r="A470">
        <v>100469</v>
      </c>
      <c r="B470" s="2">
        <v>45311.5</v>
      </c>
      <c r="C470" t="s">
        <v>14</v>
      </c>
      <c r="D470" t="s">
        <v>28</v>
      </c>
      <c r="E470" t="s">
        <v>66</v>
      </c>
      <c r="F470" t="s">
        <v>71</v>
      </c>
      <c r="G470">
        <v>2</v>
      </c>
      <c r="H470">
        <v>93.87</v>
      </c>
      <c r="I470">
        <v>5</v>
      </c>
      <c r="J470" t="s">
        <v>76</v>
      </c>
      <c r="K470" t="s">
        <v>78</v>
      </c>
      <c r="L470">
        <v>187.74</v>
      </c>
      <c r="M470">
        <v>9.3870000000000005</v>
      </c>
      <c r="N470">
        <v>178.35300000000001</v>
      </c>
    </row>
    <row r="471" spans="1:14" x14ac:dyDescent="0.3">
      <c r="A471">
        <v>100470</v>
      </c>
      <c r="B471" s="2">
        <v>45311.541666666657</v>
      </c>
      <c r="C471" t="s">
        <v>15</v>
      </c>
      <c r="D471" t="s">
        <v>50</v>
      </c>
      <c r="E471" t="s">
        <v>66</v>
      </c>
      <c r="F471" t="s">
        <v>72</v>
      </c>
      <c r="G471">
        <v>2</v>
      </c>
      <c r="H471">
        <v>32.25</v>
      </c>
      <c r="I471">
        <v>15</v>
      </c>
      <c r="J471" t="s">
        <v>76</v>
      </c>
      <c r="K471" t="s">
        <v>77</v>
      </c>
      <c r="L471">
        <v>64.5</v>
      </c>
      <c r="M471">
        <v>9.6749999999999989</v>
      </c>
      <c r="N471">
        <v>54.825000000000003</v>
      </c>
    </row>
    <row r="472" spans="1:14" x14ac:dyDescent="0.3">
      <c r="A472">
        <v>100471</v>
      </c>
      <c r="B472" s="2">
        <v>45311.583333333343</v>
      </c>
      <c r="C472" t="s">
        <v>14</v>
      </c>
      <c r="D472" t="s">
        <v>55</v>
      </c>
      <c r="E472" t="s">
        <v>68</v>
      </c>
      <c r="F472" t="s">
        <v>71</v>
      </c>
      <c r="G472">
        <v>5</v>
      </c>
      <c r="H472">
        <v>82.9</v>
      </c>
      <c r="I472">
        <v>10</v>
      </c>
      <c r="J472" t="s">
        <v>73</v>
      </c>
      <c r="K472" t="s">
        <v>77</v>
      </c>
      <c r="L472">
        <v>414.5</v>
      </c>
      <c r="M472">
        <v>41.45</v>
      </c>
      <c r="N472">
        <v>373.05</v>
      </c>
    </row>
    <row r="473" spans="1:14" x14ac:dyDescent="0.3">
      <c r="A473">
        <v>100472</v>
      </c>
      <c r="B473" s="2">
        <v>45311.625</v>
      </c>
      <c r="C473" t="s">
        <v>15</v>
      </c>
      <c r="D473" t="s">
        <v>61</v>
      </c>
      <c r="E473" t="s">
        <v>66</v>
      </c>
      <c r="F473" t="s">
        <v>72</v>
      </c>
      <c r="G473">
        <v>2</v>
      </c>
      <c r="H473">
        <v>70.06</v>
      </c>
      <c r="I473">
        <v>15</v>
      </c>
      <c r="J473" t="s">
        <v>75</v>
      </c>
      <c r="K473" t="s">
        <v>77</v>
      </c>
      <c r="L473">
        <v>140.12</v>
      </c>
      <c r="M473">
        <v>21.018000000000001</v>
      </c>
      <c r="N473">
        <v>119.102</v>
      </c>
    </row>
    <row r="474" spans="1:14" x14ac:dyDescent="0.3">
      <c r="A474">
        <v>100473</v>
      </c>
      <c r="B474" s="2">
        <v>45311.666666666657</v>
      </c>
      <c r="C474" t="s">
        <v>14</v>
      </c>
      <c r="D474" t="s">
        <v>38</v>
      </c>
      <c r="E474" t="s">
        <v>69</v>
      </c>
      <c r="F474" t="s">
        <v>72</v>
      </c>
      <c r="G474">
        <v>4</v>
      </c>
      <c r="H474">
        <v>111.85</v>
      </c>
      <c r="I474">
        <v>15</v>
      </c>
      <c r="J474" t="s">
        <v>75</v>
      </c>
      <c r="K474" t="s">
        <v>77</v>
      </c>
      <c r="L474">
        <v>447.4</v>
      </c>
      <c r="M474">
        <v>67.11</v>
      </c>
      <c r="N474">
        <v>380.29</v>
      </c>
    </row>
    <row r="475" spans="1:14" x14ac:dyDescent="0.3">
      <c r="A475">
        <v>100474</v>
      </c>
      <c r="B475" s="2">
        <v>45311.708333333343</v>
      </c>
      <c r="C475" t="s">
        <v>15</v>
      </c>
      <c r="D475" t="s">
        <v>21</v>
      </c>
      <c r="E475" t="s">
        <v>67</v>
      </c>
      <c r="F475" t="s">
        <v>71</v>
      </c>
      <c r="G475">
        <v>1</v>
      </c>
      <c r="H475">
        <v>49.54</v>
      </c>
      <c r="I475">
        <v>15</v>
      </c>
      <c r="J475" t="s">
        <v>73</v>
      </c>
      <c r="K475" t="s">
        <v>78</v>
      </c>
      <c r="L475">
        <v>49.54</v>
      </c>
      <c r="M475">
        <v>7.4309999999999992</v>
      </c>
      <c r="N475">
        <v>42.109000000000002</v>
      </c>
    </row>
    <row r="476" spans="1:14" x14ac:dyDescent="0.3">
      <c r="A476">
        <v>100475</v>
      </c>
      <c r="B476" s="2">
        <v>45311.75</v>
      </c>
      <c r="C476" t="s">
        <v>14</v>
      </c>
      <c r="D476" t="s">
        <v>46</v>
      </c>
      <c r="E476" t="s">
        <v>69</v>
      </c>
      <c r="F476" t="s">
        <v>72</v>
      </c>
      <c r="G476">
        <v>3</v>
      </c>
      <c r="H476">
        <v>12.61</v>
      </c>
      <c r="I476">
        <v>10</v>
      </c>
      <c r="J476" t="s">
        <v>73</v>
      </c>
      <c r="K476" t="s">
        <v>77</v>
      </c>
      <c r="L476">
        <v>37.83</v>
      </c>
      <c r="M476">
        <v>3.7829999999999999</v>
      </c>
      <c r="N476">
        <v>34.046999999999997</v>
      </c>
    </row>
    <row r="477" spans="1:14" x14ac:dyDescent="0.3">
      <c r="A477">
        <v>100476</v>
      </c>
      <c r="B477" s="2">
        <v>45311.791666666657</v>
      </c>
      <c r="C477" t="s">
        <v>15</v>
      </c>
      <c r="D477" t="s">
        <v>17</v>
      </c>
      <c r="E477" t="s">
        <v>68</v>
      </c>
      <c r="F477" t="s">
        <v>71</v>
      </c>
      <c r="G477">
        <v>1</v>
      </c>
      <c r="H477">
        <v>7.2</v>
      </c>
      <c r="I477">
        <v>0</v>
      </c>
      <c r="J477" t="s">
        <v>73</v>
      </c>
      <c r="K477" t="s">
        <v>77</v>
      </c>
      <c r="L477">
        <v>7.2</v>
      </c>
      <c r="M477">
        <v>0</v>
      </c>
      <c r="N477">
        <v>7.2</v>
      </c>
    </row>
    <row r="478" spans="1:14" x14ac:dyDescent="0.3">
      <c r="A478">
        <v>100477</v>
      </c>
      <c r="B478" s="2">
        <v>45311.833333333343</v>
      </c>
      <c r="C478" t="s">
        <v>14</v>
      </c>
      <c r="D478" t="s">
        <v>23</v>
      </c>
      <c r="E478" t="s">
        <v>68</v>
      </c>
      <c r="F478" t="s">
        <v>71</v>
      </c>
      <c r="G478">
        <v>3</v>
      </c>
      <c r="H478">
        <v>100.09</v>
      </c>
      <c r="I478">
        <v>10</v>
      </c>
      <c r="J478" t="s">
        <v>75</v>
      </c>
      <c r="K478" t="s">
        <v>77</v>
      </c>
      <c r="L478">
        <v>300.27</v>
      </c>
      <c r="M478">
        <v>30.027000000000001</v>
      </c>
      <c r="N478">
        <v>270.24299999999999</v>
      </c>
    </row>
    <row r="479" spans="1:14" x14ac:dyDescent="0.3">
      <c r="A479">
        <v>100478</v>
      </c>
      <c r="B479" s="2">
        <v>45311.875</v>
      </c>
      <c r="C479" t="s">
        <v>15</v>
      </c>
      <c r="D479" t="s">
        <v>52</v>
      </c>
      <c r="E479" t="s">
        <v>69</v>
      </c>
      <c r="F479" t="s">
        <v>72</v>
      </c>
      <c r="G479">
        <v>4</v>
      </c>
      <c r="H479">
        <v>65.34</v>
      </c>
      <c r="I479">
        <v>15</v>
      </c>
      <c r="J479" t="s">
        <v>75</v>
      </c>
      <c r="K479" t="s">
        <v>77</v>
      </c>
      <c r="L479">
        <v>261.36</v>
      </c>
      <c r="M479">
        <v>39.204000000000001</v>
      </c>
      <c r="N479">
        <v>222.15600000000001</v>
      </c>
    </row>
    <row r="480" spans="1:14" x14ac:dyDescent="0.3">
      <c r="A480">
        <v>100479</v>
      </c>
      <c r="B480" s="2">
        <v>45311.916666666657</v>
      </c>
      <c r="C480" t="s">
        <v>14</v>
      </c>
      <c r="D480" t="s">
        <v>54</v>
      </c>
      <c r="E480" t="s">
        <v>66</v>
      </c>
      <c r="F480" t="s">
        <v>71</v>
      </c>
      <c r="G480">
        <v>2</v>
      </c>
      <c r="H480">
        <v>94.15</v>
      </c>
      <c r="I480">
        <v>10</v>
      </c>
      <c r="J480" t="s">
        <v>76</v>
      </c>
      <c r="K480" t="s">
        <v>77</v>
      </c>
      <c r="L480">
        <v>188.3</v>
      </c>
      <c r="M480">
        <v>18.829999999999998</v>
      </c>
      <c r="N480">
        <v>169.47</v>
      </c>
    </row>
    <row r="481" spans="1:14" x14ac:dyDescent="0.3">
      <c r="A481">
        <v>100480</v>
      </c>
      <c r="B481" s="2">
        <v>45311.958333333343</v>
      </c>
      <c r="C481" t="s">
        <v>15</v>
      </c>
      <c r="D481" t="s">
        <v>45</v>
      </c>
      <c r="E481" t="s">
        <v>66</v>
      </c>
      <c r="F481" t="s">
        <v>71</v>
      </c>
      <c r="G481">
        <v>5</v>
      </c>
      <c r="H481">
        <v>31.96</v>
      </c>
      <c r="I481">
        <v>15</v>
      </c>
      <c r="J481" t="s">
        <v>76</v>
      </c>
      <c r="K481" t="s">
        <v>77</v>
      </c>
      <c r="L481">
        <v>159.80000000000001</v>
      </c>
      <c r="M481">
        <v>23.97</v>
      </c>
      <c r="N481">
        <v>135.83000000000001</v>
      </c>
    </row>
    <row r="482" spans="1:14" x14ac:dyDescent="0.3">
      <c r="A482">
        <v>100481</v>
      </c>
      <c r="B482" s="2">
        <v>45312</v>
      </c>
      <c r="C482" t="s">
        <v>15</v>
      </c>
      <c r="D482" t="s">
        <v>42</v>
      </c>
      <c r="E482" t="s">
        <v>68</v>
      </c>
      <c r="F482" t="s">
        <v>72</v>
      </c>
      <c r="G482">
        <v>4</v>
      </c>
      <c r="H482">
        <v>44.68</v>
      </c>
      <c r="I482">
        <v>0</v>
      </c>
      <c r="J482" t="s">
        <v>75</v>
      </c>
      <c r="K482" t="s">
        <v>77</v>
      </c>
      <c r="L482">
        <v>178.72</v>
      </c>
      <c r="M482">
        <v>0</v>
      </c>
      <c r="N482">
        <v>178.72</v>
      </c>
    </row>
    <row r="483" spans="1:14" x14ac:dyDescent="0.3">
      <c r="A483">
        <v>100482</v>
      </c>
      <c r="B483" s="2">
        <v>45312.041666666657</v>
      </c>
      <c r="C483" t="s">
        <v>15</v>
      </c>
      <c r="D483" t="s">
        <v>39</v>
      </c>
      <c r="E483" t="s">
        <v>70</v>
      </c>
      <c r="F483" t="s">
        <v>72</v>
      </c>
      <c r="G483">
        <v>1</v>
      </c>
      <c r="H483">
        <v>8.4600000000000009</v>
      </c>
      <c r="I483">
        <v>5</v>
      </c>
      <c r="J483" t="s">
        <v>76</v>
      </c>
      <c r="K483" t="s">
        <v>77</v>
      </c>
      <c r="L483">
        <v>8.4600000000000009</v>
      </c>
      <c r="M483">
        <v>0.42299999999999999</v>
      </c>
      <c r="N483">
        <v>8.0370000000000008</v>
      </c>
    </row>
    <row r="484" spans="1:14" x14ac:dyDescent="0.3">
      <c r="A484">
        <v>100483</v>
      </c>
      <c r="B484" s="2">
        <v>45312.083333333343</v>
      </c>
      <c r="C484" t="s">
        <v>14</v>
      </c>
      <c r="D484" t="s">
        <v>49</v>
      </c>
      <c r="E484" t="s">
        <v>66</v>
      </c>
      <c r="F484" t="s">
        <v>71</v>
      </c>
      <c r="G484">
        <v>5</v>
      </c>
      <c r="H484">
        <v>115.57</v>
      </c>
      <c r="I484">
        <v>0</v>
      </c>
      <c r="J484" t="s">
        <v>73</v>
      </c>
      <c r="K484" t="s">
        <v>77</v>
      </c>
      <c r="L484">
        <v>577.84999999999991</v>
      </c>
      <c r="M484">
        <v>0</v>
      </c>
      <c r="N484">
        <v>577.84999999999991</v>
      </c>
    </row>
    <row r="485" spans="1:14" x14ac:dyDescent="0.3">
      <c r="A485">
        <v>100484</v>
      </c>
      <c r="B485" s="2">
        <v>45312.125</v>
      </c>
      <c r="C485" t="s">
        <v>15</v>
      </c>
      <c r="D485" t="s">
        <v>36</v>
      </c>
      <c r="E485" t="s">
        <v>69</v>
      </c>
      <c r="F485" t="s">
        <v>71</v>
      </c>
      <c r="G485">
        <v>2</v>
      </c>
      <c r="H485">
        <v>81.8</v>
      </c>
      <c r="I485">
        <v>0</v>
      </c>
      <c r="J485" t="s">
        <v>74</v>
      </c>
      <c r="K485" t="s">
        <v>77</v>
      </c>
      <c r="L485">
        <v>163.6</v>
      </c>
      <c r="M485">
        <v>0</v>
      </c>
      <c r="N485">
        <v>163.6</v>
      </c>
    </row>
    <row r="486" spans="1:14" x14ac:dyDescent="0.3">
      <c r="A486">
        <v>100485</v>
      </c>
      <c r="B486" s="2">
        <v>45312.166666666657</v>
      </c>
      <c r="C486" t="s">
        <v>14</v>
      </c>
      <c r="D486" t="s">
        <v>24</v>
      </c>
      <c r="E486" t="s">
        <v>66</v>
      </c>
      <c r="F486" t="s">
        <v>72</v>
      </c>
      <c r="G486">
        <v>4</v>
      </c>
      <c r="H486">
        <v>112.32</v>
      </c>
      <c r="I486">
        <v>5</v>
      </c>
      <c r="J486" t="s">
        <v>76</v>
      </c>
      <c r="K486" t="s">
        <v>79</v>
      </c>
      <c r="L486">
        <v>449.28</v>
      </c>
      <c r="M486">
        <v>22.463999999999999</v>
      </c>
      <c r="N486">
        <v>426.81599999999997</v>
      </c>
    </row>
    <row r="487" spans="1:14" x14ac:dyDescent="0.3">
      <c r="A487">
        <v>100486</v>
      </c>
      <c r="B487" s="2">
        <v>45312.208333333343</v>
      </c>
      <c r="C487" t="s">
        <v>15</v>
      </c>
      <c r="D487" t="s">
        <v>50</v>
      </c>
      <c r="E487" t="s">
        <v>69</v>
      </c>
      <c r="F487" t="s">
        <v>71</v>
      </c>
      <c r="G487">
        <v>5</v>
      </c>
      <c r="H487">
        <v>35.53</v>
      </c>
      <c r="I487">
        <v>10</v>
      </c>
      <c r="J487" t="s">
        <v>75</v>
      </c>
      <c r="K487" t="s">
        <v>77</v>
      </c>
      <c r="L487">
        <v>177.65</v>
      </c>
      <c r="M487">
        <v>17.765000000000001</v>
      </c>
      <c r="N487">
        <v>159.88499999999999</v>
      </c>
    </row>
    <row r="488" spans="1:14" x14ac:dyDescent="0.3">
      <c r="A488">
        <v>100487</v>
      </c>
      <c r="B488" s="2">
        <v>45312.25</v>
      </c>
      <c r="C488" t="s">
        <v>14</v>
      </c>
      <c r="D488" t="s">
        <v>40</v>
      </c>
      <c r="E488" t="s">
        <v>68</v>
      </c>
      <c r="F488" t="s">
        <v>71</v>
      </c>
      <c r="G488">
        <v>4</v>
      </c>
      <c r="H488">
        <v>75.319999999999993</v>
      </c>
      <c r="I488">
        <v>5</v>
      </c>
      <c r="J488" t="s">
        <v>76</v>
      </c>
      <c r="K488" t="s">
        <v>77</v>
      </c>
      <c r="L488">
        <v>301.27999999999997</v>
      </c>
      <c r="M488">
        <v>15.064</v>
      </c>
      <c r="N488">
        <v>286.21600000000001</v>
      </c>
    </row>
    <row r="489" spans="1:14" x14ac:dyDescent="0.3">
      <c r="A489">
        <v>100488</v>
      </c>
      <c r="B489" s="2">
        <v>45312.291666666657</v>
      </c>
      <c r="C489" t="s">
        <v>15</v>
      </c>
      <c r="D489" t="s">
        <v>41</v>
      </c>
      <c r="E489" t="s">
        <v>66</v>
      </c>
      <c r="F489" t="s">
        <v>71</v>
      </c>
      <c r="G489">
        <v>4</v>
      </c>
      <c r="H489">
        <v>83.03</v>
      </c>
      <c r="I489">
        <v>10</v>
      </c>
      <c r="J489" t="s">
        <v>76</v>
      </c>
      <c r="K489" t="s">
        <v>77</v>
      </c>
      <c r="L489">
        <v>332.12</v>
      </c>
      <c r="M489">
        <v>33.212000000000003</v>
      </c>
      <c r="N489">
        <v>298.90800000000002</v>
      </c>
    </row>
    <row r="490" spans="1:14" x14ac:dyDescent="0.3">
      <c r="A490">
        <v>100489</v>
      </c>
      <c r="B490" s="2">
        <v>45312.333333333343</v>
      </c>
      <c r="C490" t="s">
        <v>14</v>
      </c>
      <c r="D490" t="s">
        <v>24</v>
      </c>
      <c r="E490" t="s">
        <v>69</v>
      </c>
      <c r="F490" t="s">
        <v>71</v>
      </c>
      <c r="G490">
        <v>2</v>
      </c>
      <c r="H490">
        <v>41.52</v>
      </c>
      <c r="I490">
        <v>10</v>
      </c>
      <c r="J490" t="s">
        <v>76</v>
      </c>
      <c r="K490" t="s">
        <v>77</v>
      </c>
      <c r="L490">
        <v>83.04</v>
      </c>
      <c r="M490">
        <v>8.3040000000000003</v>
      </c>
      <c r="N490">
        <v>74.736000000000004</v>
      </c>
    </row>
    <row r="491" spans="1:14" x14ac:dyDescent="0.3">
      <c r="A491">
        <v>100490</v>
      </c>
      <c r="B491" s="2">
        <v>45312.375</v>
      </c>
      <c r="C491" t="s">
        <v>14</v>
      </c>
      <c r="D491" t="s">
        <v>64</v>
      </c>
      <c r="E491" t="s">
        <v>68</v>
      </c>
      <c r="F491" t="s">
        <v>71</v>
      </c>
      <c r="G491">
        <v>3</v>
      </c>
      <c r="H491">
        <v>102.53</v>
      </c>
      <c r="I491">
        <v>15</v>
      </c>
      <c r="J491" t="s">
        <v>74</v>
      </c>
      <c r="K491" t="s">
        <v>77</v>
      </c>
      <c r="L491">
        <v>307.58999999999997</v>
      </c>
      <c r="M491">
        <v>46.138500000000001</v>
      </c>
      <c r="N491">
        <v>261.45150000000001</v>
      </c>
    </row>
    <row r="492" spans="1:14" x14ac:dyDescent="0.3">
      <c r="A492">
        <v>100491</v>
      </c>
      <c r="B492" s="2">
        <v>45312.416666666657</v>
      </c>
      <c r="C492" t="s">
        <v>15</v>
      </c>
      <c r="D492" t="s">
        <v>49</v>
      </c>
      <c r="E492" t="s">
        <v>70</v>
      </c>
      <c r="F492" t="s">
        <v>71</v>
      </c>
      <c r="G492">
        <v>5</v>
      </c>
      <c r="H492">
        <v>113.92</v>
      </c>
      <c r="I492">
        <v>15</v>
      </c>
      <c r="J492" t="s">
        <v>73</v>
      </c>
      <c r="K492" t="s">
        <v>78</v>
      </c>
      <c r="L492">
        <v>569.6</v>
      </c>
      <c r="M492">
        <v>85.44</v>
      </c>
      <c r="N492">
        <v>484.16</v>
      </c>
    </row>
    <row r="493" spans="1:14" x14ac:dyDescent="0.3">
      <c r="A493">
        <v>100492</v>
      </c>
      <c r="B493" s="2">
        <v>45312.458333333343</v>
      </c>
      <c r="C493" t="s">
        <v>14</v>
      </c>
      <c r="D493" t="s">
        <v>36</v>
      </c>
      <c r="E493" t="s">
        <v>69</v>
      </c>
      <c r="F493" t="s">
        <v>71</v>
      </c>
      <c r="G493">
        <v>2</v>
      </c>
      <c r="H493">
        <v>106.76</v>
      </c>
      <c r="I493">
        <v>5</v>
      </c>
      <c r="J493" t="s">
        <v>75</v>
      </c>
      <c r="K493" t="s">
        <v>77</v>
      </c>
      <c r="L493">
        <v>213.52</v>
      </c>
      <c r="M493">
        <v>10.676</v>
      </c>
      <c r="N493">
        <v>202.84399999999999</v>
      </c>
    </row>
    <row r="494" spans="1:14" x14ac:dyDescent="0.3">
      <c r="A494">
        <v>100493</v>
      </c>
      <c r="B494" s="2">
        <v>45312.5</v>
      </c>
      <c r="C494" t="s">
        <v>14</v>
      </c>
      <c r="D494" t="s">
        <v>54</v>
      </c>
      <c r="E494" t="s">
        <v>70</v>
      </c>
      <c r="F494" t="s">
        <v>72</v>
      </c>
      <c r="G494">
        <v>4</v>
      </c>
      <c r="H494">
        <v>89.99</v>
      </c>
      <c r="I494">
        <v>0</v>
      </c>
      <c r="J494" t="s">
        <v>74</v>
      </c>
      <c r="K494" t="s">
        <v>78</v>
      </c>
      <c r="L494">
        <v>359.96</v>
      </c>
      <c r="M494">
        <v>0</v>
      </c>
      <c r="N494">
        <v>359.96</v>
      </c>
    </row>
    <row r="495" spans="1:14" x14ac:dyDescent="0.3">
      <c r="A495">
        <v>100494</v>
      </c>
      <c r="B495" s="2">
        <v>45312.541666666657</v>
      </c>
      <c r="C495" t="s">
        <v>15</v>
      </c>
      <c r="D495" t="s">
        <v>59</v>
      </c>
      <c r="E495" t="s">
        <v>70</v>
      </c>
      <c r="F495" t="s">
        <v>72</v>
      </c>
      <c r="G495">
        <v>2</v>
      </c>
      <c r="H495">
        <v>36.909999999999997</v>
      </c>
      <c r="I495">
        <v>5</v>
      </c>
      <c r="J495" t="s">
        <v>75</v>
      </c>
      <c r="K495" t="s">
        <v>77</v>
      </c>
      <c r="L495">
        <v>73.819999999999993</v>
      </c>
      <c r="M495">
        <v>3.6909999999999998</v>
      </c>
      <c r="N495">
        <v>70.128999999999991</v>
      </c>
    </row>
    <row r="496" spans="1:14" x14ac:dyDescent="0.3">
      <c r="A496">
        <v>100495</v>
      </c>
      <c r="B496" s="2">
        <v>45312.583333333343</v>
      </c>
      <c r="C496" t="s">
        <v>14</v>
      </c>
      <c r="D496" t="s">
        <v>40</v>
      </c>
      <c r="E496" t="s">
        <v>67</v>
      </c>
      <c r="F496" t="s">
        <v>72</v>
      </c>
      <c r="G496">
        <v>3</v>
      </c>
      <c r="H496">
        <v>37.39</v>
      </c>
      <c r="I496">
        <v>10</v>
      </c>
      <c r="J496" t="s">
        <v>75</v>
      </c>
      <c r="K496" t="s">
        <v>77</v>
      </c>
      <c r="L496">
        <v>112.17</v>
      </c>
      <c r="M496">
        <v>11.217000000000001</v>
      </c>
      <c r="N496">
        <v>100.953</v>
      </c>
    </row>
    <row r="497" spans="1:14" x14ac:dyDescent="0.3">
      <c r="A497">
        <v>100496</v>
      </c>
      <c r="B497" s="2">
        <v>45312.625</v>
      </c>
      <c r="C497" t="s">
        <v>14</v>
      </c>
      <c r="D497" t="s">
        <v>29</v>
      </c>
      <c r="E497" t="s">
        <v>66</v>
      </c>
      <c r="F497" t="s">
        <v>72</v>
      </c>
      <c r="G497">
        <v>5</v>
      </c>
      <c r="H497">
        <v>115.79</v>
      </c>
      <c r="I497">
        <v>15</v>
      </c>
      <c r="J497" t="s">
        <v>75</v>
      </c>
      <c r="K497" t="s">
        <v>78</v>
      </c>
      <c r="L497">
        <v>578.95000000000005</v>
      </c>
      <c r="M497">
        <v>86.842500000000001</v>
      </c>
      <c r="N497">
        <v>492.10750000000007</v>
      </c>
    </row>
    <row r="498" spans="1:14" x14ac:dyDescent="0.3">
      <c r="A498">
        <v>100497</v>
      </c>
      <c r="B498" s="2">
        <v>45312.666666666657</v>
      </c>
      <c r="C498" t="s">
        <v>14</v>
      </c>
      <c r="D498" t="s">
        <v>17</v>
      </c>
      <c r="E498" t="s">
        <v>69</v>
      </c>
      <c r="F498" t="s">
        <v>72</v>
      </c>
      <c r="G498">
        <v>3</v>
      </c>
      <c r="H498">
        <v>6.18</v>
      </c>
      <c r="I498">
        <v>5</v>
      </c>
      <c r="J498" t="s">
        <v>74</v>
      </c>
      <c r="K498" t="s">
        <v>77</v>
      </c>
      <c r="L498">
        <v>18.54</v>
      </c>
      <c r="M498">
        <v>0.92700000000000005</v>
      </c>
      <c r="N498">
        <v>17.613</v>
      </c>
    </row>
    <row r="499" spans="1:14" x14ac:dyDescent="0.3">
      <c r="A499">
        <v>100498</v>
      </c>
      <c r="B499" s="2">
        <v>45312.708333333343</v>
      </c>
      <c r="C499" t="s">
        <v>15</v>
      </c>
      <c r="D499" t="s">
        <v>17</v>
      </c>
      <c r="E499" t="s">
        <v>70</v>
      </c>
      <c r="F499" t="s">
        <v>71</v>
      </c>
      <c r="G499">
        <v>1</v>
      </c>
      <c r="H499">
        <v>87.35</v>
      </c>
      <c r="I499">
        <v>5</v>
      </c>
      <c r="J499" t="s">
        <v>73</v>
      </c>
      <c r="K499" t="s">
        <v>79</v>
      </c>
      <c r="L499">
        <v>87.35</v>
      </c>
      <c r="M499">
        <v>4.3674999999999997</v>
      </c>
      <c r="N499">
        <v>82.982499999999987</v>
      </c>
    </row>
    <row r="500" spans="1:14" x14ac:dyDescent="0.3">
      <c r="A500">
        <v>100499</v>
      </c>
      <c r="B500" s="2">
        <v>45312.75</v>
      </c>
      <c r="C500" t="s">
        <v>14</v>
      </c>
      <c r="D500" t="s">
        <v>32</v>
      </c>
      <c r="E500" t="s">
        <v>67</v>
      </c>
      <c r="F500" t="s">
        <v>71</v>
      </c>
      <c r="G500">
        <v>5</v>
      </c>
      <c r="H500">
        <v>86.22</v>
      </c>
      <c r="I500">
        <v>15</v>
      </c>
      <c r="J500" t="s">
        <v>75</v>
      </c>
      <c r="K500" t="s">
        <v>77</v>
      </c>
      <c r="L500">
        <v>431.1</v>
      </c>
      <c r="M500">
        <v>64.665000000000006</v>
      </c>
      <c r="N500">
        <v>366.435</v>
      </c>
    </row>
    <row r="501" spans="1:14" x14ac:dyDescent="0.3">
      <c r="A501">
        <v>100500</v>
      </c>
      <c r="B501" s="2">
        <v>45312.791666666657</v>
      </c>
      <c r="C501" t="s">
        <v>15</v>
      </c>
      <c r="D501" t="s">
        <v>41</v>
      </c>
      <c r="E501" t="s">
        <v>68</v>
      </c>
      <c r="F501" t="s">
        <v>71</v>
      </c>
      <c r="G501">
        <v>3</v>
      </c>
      <c r="H501">
        <v>76.61</v>
      </c>
      <c r="I501">
        <v>15</v>
      </c>
      <c r="J501" t="s">
        <v>73</v>
      </c>
      <c r="K501" t="s">
        <v>78</v>
      </c>
      <c r="L501">
        <v>229.83</v>
      </c>
      <c r="M501">
        <v>34.474499999999999</v>
      </c>
      <c r="N501">
        <v>195.35550000000001</v>
      </c>
    </row>
    <row r="502" spans="1:14" x14ac:dyDescent="0.3">
      <c r="A502">
        <v>100501</v>
      </c>
      <c r="B502" s="2">
        <v>45312.833333333343</v>
      </c>
      <c r="C502" t="s">
        <v>14</v>
      </c>
      <c r="D502" t="s">
        <v>45</v>
      </c>
      <c r="E502" t="s">
        <v>69</v>
      </c>
      <c r="F502" t="s">
        <v>71</v>
      </c>
      <c r="G502">
        <v>4</v>
      </c>
      <c r="H502">
        <v>118.86</v>
      </c>
      <c r="I502">
        <v>15</v>
      </c>
      <c r="J502" t="s">
        <v>73</v>
      </c>
      <c r="K502" t="s">
        <v>77</v>
      </c>
      <c r="L502">
        <v>475.44</v>
      </c>
      <c r="M502">
        <v>71.316000000000003</v>
      </c>
      <c r="N502">
        <v>404.12400000000002</v>
      </c>
    </row>
    <row r="503" spans="1:14" x14ac:dyDescent="0.3">
      <c r="A503">
        <v>100502</v>
      </c>
      <c r="B503" s="2">
        <v>45312.875</v>
      </c>
      <c r="C503" t="s">
        <v>14</v>
      </c>
      <c r="D503" t="s">
        <v>25</v>
      </c>
      <c r="E503" t="s">
        <v>70</v>
      </c>
      <c r="F503" t="s">
        <v>72</v>
      </c>
      <c r="G503">
        <v>5</v>
      </c>
      <c r="H503">
        <v>40.869999999999997</v>
      </c>
      <c r="I503">
        <v>10</v>
      </c>
      <c r="J503" t="s">
        <v>76</v>
      </c>
      <c r="K503" t="s">
        <v>77</v>
      </c>
      <c r="L503">
        <v>204.35</v>
      </c>
      <c r="M503">
        <v>20.434999999999999</v>
      </c>
      <c r="N503">
        <v>183.91499999999999</v>
      </c>
    </row>
    <row r="504" spans="1:14" x14ac:dyDescent="0.3">
      <c r="A504">
        <v>100503</v>
      </c>
      <c r="B504" s="2">
        <v>45312.916666666657</v>
      </c>
      <c r="C504" t="s">
        <v>14</v>
      </c>
      <c r="D504" t="s">
        <v>30</v>
      </c>
      <c r="E504" t="s">
        <v>66</v>
      </c>
      <c r="F504" t="s">
        <v>71</v>
      </c>
      <c r="G504">
        <v>5</v>
      </c>
      <c r="H504">
        <v>44.1</v>
      </c>
      <c r="I504">
        <v>15</v>
      </c>
      <c r="J504" t="s">
        <v>74</v>
      </c>
      <c r="K504" t="s">
        <v>77</v>
      </c>
      <c r="L504">
        <v>220.5</v>
      </c>
      <c r="M504">
        <v>33.075000000000003</v>
      </c>
      <c r="N504">
        <v>187.42500000000001</v>
      </c>
    </row>
    <row r="505" spans="1:14" x14ac:dyDescent="0.3">
      <c r="A505">
        <v>100504</v>
      </c>
      <c r="B505" s="2">
        <v>45312.958333333343</v>
      </c>
      <c r="C505" t="s">
        <v>15</v>
      </c>
      <c r="D505" t="s">
        <v>41</v>
      </c>
      <c r="E505" t="s">
        <v>67</v>
      </c>
      <c r="F505" t="s">
        <v>71</v>
      </c>
      <c r="G505">
        <v>2</v>
      </c>
      <c r="H505">
        <v>14.08</v>
      </c>
      <c r="I505">
        <v>0</v>
      </c>
      <c r="J505" t="s">
        <v>74</v>
      </c>
      <c r="K505" t="s">
        <v>77</v>
      </c>
      <c r="L505">
        <v>28.16</v>
      </c>
      <c r="M505">
        <v>0</v>
      </c>
      <c r="N505">
        <v>28.16</v>
      </c>
    </row>
    <row r="506" spans="1:14" x14ac:dyDescent="0.3">
      <c r="A506">
        <v>100505</v>
      </c>
      <c r="B506" s="2">
        <v>45313</v>
      </c>
      <c r="C506" t="s">
        <v>14</v>
      </c>
      <c r="D506" t="s">
        <v>39</v>
      </c>
      <c r="E506" t="s">
        <v>70</v>
      </c>
      <c r="F506" t="s">
        <v>72</v>
      </c>
      <c r="G506">
        <v>4</v>
      </c>
      <c r="H506">
        <v>55.92</v>
      </c>
      <c r="I506">
        <v>5</v>
      </c>
      <c r="J506" t="s">
        <v>76</v>
      </c>
      <c r="K506" t="s">
        <v>77</v>
      </c>
      <c r="L506">
        <v>223.68</v>
      </c>
      <c r="M506">
        <v>11.183999999999999</v>
      </c>
      <c r="N506">
        <v>212.49600000000001</v>
      </c>
    </row>
    <row r="507" spans="1:14" x14ac:dyDescent="0.3">
      <c r="A507">
        <v>100506</v>
      </c>
      <c r="B507" s="2">
        <v>45313.041666666657</v>
      </c>
      <c r="C507" t="s">
        <v>14</v>
      </c>
      <c r="D507" t="s">
        <v>47</v>
      </c>
      <c r="E507" t="s">
        <v>66</v>
      </c>
      <c r="F507" t="s">
        <v>71</v>
      </c>
      <c r="G507">
        <v>1</v>
      </c>
      <c r="H507">
        <v>35.020000000000003</v>
      </c>
      <c r="I507">
        <v>15</v>
      </c>
      <c r="J507" t="s">
        <v>76</v>
      </c>
      <c r="K507" t="s">
        <v>77</v>
      </c>
      <c r="L507">
        <v>35.020000000000003</v>
      </c>
      <c r="M507">
        <v>5.2530000000000001</v>
      </c>
      <c r="N507">
        <v>29.766999999999999</v>
      </c>
    </row>
    <row r="508" spans="1:14" x14ac:dyDescent="0.3">
      <c r="A508">
        <v>100507</v>
      </c>
      <c r="B508" s="2">
        <v>45313.083333333343</v>
      </c>
      <c r="C508" t="s">
        <v>15</v>
      </c>
      <c r="D508" t="s">
        <v>31</v>
      </c>
      <c r="E508" t="s">
        <v>70</v>
      </c>
      <c r="F508" t="s">
        <v>71</v>
      </c>
      <c r="G508">
        <v>3</v>
      </c>
      <c r="H508">
        <v>44.49</v>
      </c>
      <c r="I508">
        <v>15</v>
      </c>
      <c r="J508" t="s">
        <v>73</v>
      </c>
      <c r="K508" t="s">
        <v>77</v>
      </c>
      <c r="L508">
        <v>133.47</v>
      </c>
      <c r="M508">
        <v>20.020499999999998</v>
      </c>
      <c r="N508">
        <v>113.4495</v>
      </c>
    </row>
    <row r="509" spans="1:14" x14ac:dyDescent="0.3">
      <c r="A509">
        <v>100508</v>
      </c>
      <c r="B509" s="2">
        <v>45313.125</v>
      </c>
      <c r="C509" t="s">
        <v>14</v>
      </c>
      <c r="D509" t="s">
        <v>65</v>
      </c>
      <c r="E509" t="s">
        <v>69</v>
      </c>
      <c r="F509" t="s">
        <v>72</v>
      </c>
      <c r="G509">
        <v>2</v>
      </c>
      <c r="H509">
        <v>100.98</v>
      </c>
      <c r="I509">
        <v>10</v>
      </c>
      <c r="J509" t="s">
        <v>75</v>
      </c>
      <c r="K509" t="s">
        <v>77</v>
      </c>
      <c r="L509">
        <v>201.96</v>
      </c>
      <c r="M509">
        <v>20.196000000000002</v>
      </c>
      <c r="N509">
        <v>181.76400000000001</v>
      </c>
    </row>
    <row r="510" spans="1:14" x14ac:dyDescent="0.3">
      <c r="A510">
        <v>100509</v>
      </c>
      <c r="B510" s="2">
        <v>45313.166666666657</v>
      </c>
      <c r="C510" t="s">
        <v>15</v>
      </c>
      <c r="D510" t="s">
        <v>27</v>
      </c>
      <c r="E510" t="s">
        <v>69</v>
      </c>
      <c r="F510" t="s">
        <v>71</v>
      </c>
      <c r="G510">
        <v>3</v>
      </c>
      <c r="H510">
        <v>112.58</v>
      </c>
      <c r="I510">
        <v>10</v>
      </c>
      <c r="J510" t="s">
        <v>74</v>
      </c>
      <c r="K510" t="s">
        <v>77</v>
      </c>
      <c r="L510">
        <v>337.74</v>
      </c>
      <c r="M510">
        <v>33.774000000000001</v>
      </c>
      <c r="N510">
        <v>303.96600000000001</v>
      </c>
    </row>
    <row r="511" spans="1:14" x14ac:dyDescent="0.3">
      <c r="A511">
        <v>100510</v>
      </c>
      <c r="B511" s="2">
        <v>45313.208333333343</v>
      </c>
      <c r="C511" t="s">
        <v>15</v>
      </c>
      <c r="D511" t="s">
        <v>43</v>
      </c>
      <c r="E511" t="s">
        <v>69</v>
      </c>
      <c r="F511" t="s">
        <v>71</v>
      </c>
      <c r="G511">
        <v>1</v>
      </c>
      <c r="H511">
        <v>26.36</v>
      </c>
      <c r="I511">
        <v>5</v>
      </c>
      <c r="J511" t="s">
        <v>75</v>
      </c>
      <c r="K511" t="s">
        <v>77</v>
      </c>
      <c r="L511">
        <v>26.36</v>
      </c>
      <c r="M511">
        <v>1.3180000000000001</v>
      </c>
      <c r="N511">
        <v>25.042000000000002</v>
      </c>
    </row>
    <row r="512" spans="1:14" x14ac:dyDescent="0.3">
      <c r="A512">
        <v>100511</v>
      </c>
      <c r="B512" s="2">
        <v>45313.25</v>
      </c>
      <c r="C512" t="s">
        <v>14</v>
      </c>
      <c r="D512" t="s">
        <v>44</v>
      </c>
      <c r="E512" t="s">
        <v>67</v>
      </c>
      <c r="F512" t="s">
        <v>71</v>
      </c>
      <c r="G512">
        <v>1</v>
      </c>
      <c r="H512">
        <v>47.84</v>
      </c>
      <c r="I512">
        <v>0</v>
      </c>
      <c r="J512" t="s">
        <v>75</v>
      </c>
      <c r="K512" t="s">
        <v>77</v>
      </c>
      <c r="L512">
        <v>47.84</v>
      </c>
      <c r="M512">
        <v>0</v>
      </c>
      <c r="N512">
        <v>47.84</v>
      </c>
    </row>
    <row r="513" spans="1:14" x14ac:dyDescent="0.3">
      <c r="A513">
        <v>100512</v>
      </c>
      <c r="B513" s="2">
        <v>45313.291666666657</v>
      </c>
      <c r="C513" t="s">
        <v>15</v>
      </c>
      <c r="D513" t="s">
        <v>43</v>
      </c>
      <c r="E513" t="s">
        <v>69</v>
      </c>
      <c r="F513" t="s">
        <v>71</v>
      </c>
      <c r="G513">
        <v>5</v>
      </c>
      <c r="H513">
        <v>111.79</v>
      </c>
      <c r="I513">
        <v>5</v>
      </c>
      <c r="J513" t="s">
        <v>76</v>
      </c>
      <c r="K513" t="s">
        <v>77</v>
      </c>
      <c r="L513">
        <v>558.95000000000005</v>
      </c>
      <c r="M513">
        <v>27.947500000000009</v>
      </c>
      <c r="N513">
        <v>531.00250000000005</v>
      </c>
    </row>
    <row r="514" spans="1:14" x14ac:dyDescent="0.3">
      <c r="A514">
        <v>100513</v>
      </c>
      <c r="B514" s="2">
        <v>45313.333333333343</v>
      </c>
      <c r="C514" t="s">
        <v>14</v>
      </c>
      <c r="D514" t="s">
        <v>16</v>
      </c>
      <c r="E514" t="s">
        <v>66</v>
      </c>
      <c r="F514" t="s">
        <v>71</v>
      </c>
      <c r="G514">
        <v>1</v>
      </c>
      <c r="H514">
        <v>12.11</v>
      </c>
      <c r="I514">
        <v>15</v>
      </c>
      <c r="J514" t="s">
        <v>75</v>
      </c>
      <c r="K514" t="s">
        <v>77</v>
      </c>
      <c r="L514">
        <v>12.11</v>
      </c>
      <c r="M514">
        <v>1.8165</v>
      </c>
      <c r="N514">
        <v>10.2935</v>
      </c>
    </row>
    <row r="515" spans="1:14" x14ac:dyDescent="0.3">
      <c r="A515">
        <v>100514</v>
      </c>
      <c r="B515" s="2">
        <v>45313.375</v>
      </c>
      <c r="C515" t="s">
        <v>15</v>
      </c>
      <c r="D515" t="s">
        <v>62</v>
      </c>
      <c r="E515" t="s">
        <v>70</v>
      </c>
      <c r="F515" t="s">
        <v>72</v>
      </c>
      <c r="G515">
        <v>3</v>
      </c>
      <c r="H515">
        <v>15.62</v>
      </c>
      <c r="I515">
        <v>0</v>
      </c>
      <c r="J515" t="s">
        <v>73</v>
      </c>
      <c r="K515" t="s">
        <v>77</v>
      </c>
      <c r="L515">
        <v>46.86</v>
      </c>
      <c r="M515">
        <v>0</v>
      </c>
      <c r="N515">
        <v>46.86</v>
      </c>
    </row>
    <row r="516" spans="1:14" x14ac:dyDescent="0.3">
      <c r="A516">
        <v>100515</v>
      </c>
      <c r="B516" s="2">
        <v>45313.416666666657</v>
      </c>
      <c r="C516" t="s">
        <v>15</v>
      </c>
      <c r="D516" t="s">
        <v>58</v>
      </c>
      <c r="E516" t="s">
        <v>68</v>
      </c>
      <c r="F516" t="s">
        <v>72</v>
      </c>
      <c r="G516">
        <v>4</v>
      </c>
      <c r="H516">
        <v>23.72</v>
      </c>
      <c r="I516">
        <v>0</v>
      </c>
      <c r="J516" t="s">
        <v>76</v>
      </c>
      <c r="K516" t="s">
        <v>77</v>
      </c>
      <c r="L516">
        <v>94.88</v>
      </c>
      <c r="M516">
        <v>0</v>
      </c>
      <c r="N516">
        <v>94.88</v>
      </c>
    </row>
    <row r="517" spans="1:14" x14ac:dyDescent="0.3">
      <c r="A517">
        <v>100516</v>
      </c>
      <c r="B517" s="2">
        <v>45313.458333333343</v>
      </c>
      <c r="C517" t="s">
        <v>14</v>
      </c>
      <c r="D517" t="s">
        <v>60</v>
      </c>
      <c r="E517" t="s">
        <v>66</v>
      </c>
      <c r="F517" t="s">
        <v>72</v>
      </c>
      <c r="G517">
        <v>4</v>
      </c>
      <c r="H517">
        <v>73.45</v>
      </c>
      <c r="I517">
        <v>0</v>
      </c>
      <c r="J517" t="s">
        <v>75</v>
      </c>
      <c r="K517" t="s">
        <v>78</v>
      </c>
      <c r="L517">
        <v>293.8</v>
      </c>
      <c r="M517">
        <v>0</v>
      </c>
      <c r="N517">
        <v>293.8</v>
      </c>
    </row>
    <row r="518" spans="1:14" x14ac:dyDescent="0.3">
      <c r="A518">
        <v>100517</v>
      </c>
      <c r="B518" s="2">
        <v>45313.5</v>
      </c>
      <c r="C518" t="s">
        <v>15</v>
      </c>
      <c r="D518" t="s">
        <v>30</v>
      </c>
      <c r="E518" t="s">
        <v>66</v>
      </c>
      <c r="F518" t="s">
        <v>72</v>
      </c>
      <c r="G518">
        <v>5</v>
      </c>
      <c r="H518">
        <v>22.3</v>
      </c>
      <c r="I518">
        <v>0</v>
      </c>
      <c r="J518" t="s">
        <v>76</v>
      </c>
      <c r="K518" t="s">
        <v>77</v>
      </c>
      <c r="L518">
        <v>111.5</v>
      </c>
      <c r="M518">
        <v>0</v>
      </c>
      <c r="N518">
        <v>111.5</v>
      </c>
    </row>
    <row r="519" spans="1:14" x14ac:dyDescent="0.3">
      <c r="A519">
        <v>100518</v>
      </c>
      <c r="B519" s="2">
        <v>45313.541666666657</v>
      </c>
      <c r="C519" t="s">
        <v>15</v>
      </c>
      <c r="D519" t="s">
        <v>65</v>
      </c>
      <c r="E519" t="s">
        <v>69</v>
      </c>
      <c r="F519" t="s">
        <v>72</v>
      </c>
      <c r="G519">
        <v>3</v>
      </c>
      <c r="H519">
        <v>116.33</v>
      </c>
      <c r="I519">
        <v>5</v>
      </c>
      <c r="J519" t="s">
        <v>73</v>
      </c>
      <c r="K519" t="s">
        <v>77</v>
      </c>
      <c r="L519">
        <v>348.99</v>
      </c>
      <c r="M519">
        <v>17.4495</v>
      </c>
      <c r="N519">
        <v>331.54050000000001</v>
      </c>
    </row>
    <row r="520" spans="1:14" x14ac:dyDescent="0.3">
      <c r="A520">
        <v>100519</v>
      </c>
      <c r="B520" s="2">
        <v>45313.583333333343</v>
      </c>
      <c r="C520" t="s">
        <v>15</v>
      </c>
      <c r="D520" t="s">
        <v>26</v>
      </c>
      <c r="E520" t="s">
        <v>67</v>
      </c>
      <c r="F520" t="s">
        <v>72</v>
      </c>
      <c r="G520">
        <v>3</v>
      </c>
      <c r="H520">
        <v>56.37</v>
      </c>
      <c r="I520">
        <v>10</v>
      </c>
      <c r="J520" t="s">
        <v>73</v>
      </c>
      <c r="K520" t="s">
        <v>77</v>
      </c>
      <c r="L520">
        <v>169.11</v>
      </c>
      <c r="M520">
        <v>16.911000000000001</v>
      </c>
      <c r="N520">
        <v>152.19900000000001</v>
      </c>
    </row>
    <row r="521" spans="1:14" x14ac:dyDescent="0.3">
      <c r="A521">
        <v>100520</v>
      </c>
      <c r="B521" s="2">
        <v>45313.625</v>
      </c>
      <c r="C521" t="s">
        <v>15</v>
      </c>
      <c r="D521" t="s">
        <v>60</v>
      </c>
      <c r="E521" t="s">
        <v>70</v>
      </c>
      <c r="F521" t="s">
        <v>71</v>
      </c>
      <c r="G521">
        <v>1</v>
      </c>
      <c r="H521">
        <v>62.67</v>
      </c>
      <c r="I521">
        <v>10</v>
      </c>
      <c r="J521" t="s">
        <v>75</v>
      </c>
      <c r="K521" t="s">
        <v>77</v>
      </c>
      <c r="L521">
        <v>62.67</v>
      </c>
      <c r="M521">
        <v>6.2670000000000003</v>
      </c>
      <c r="N521">
        <v>56.402999999999999</v>
      </c>
    </row>
    <row r="522" spans="1:14" x14ac:dyDescent="0.3">
      <c r="A522">
        <v>100521</v>
      </c>
      <c r="B522" s="2">
        <v>45313.666666666657</v>
      </c>
      <c r="C522" t="s">
        <v>15</v>
      </c>
      <c r="D522" t="s">
        <v>18</v>
      </c>
      <c r="E522" t="s">
        <v>67</v>
      </c>
      <c r="F522" t="s">
        <v>72</v>
      </c>
      <c r="G522">
        <v>3</v>
      </c>
      <c r="H522">
        <v>33.369999999999997</v>
      </c>
      <c r="I522">
        <v>15</v>
      </c>
      <c r="J522" t="s">
        <v>76</v>
      </c>
      <c r="K522" t="s">
        <v>77</v>
      </c>
      <c r="L522">
        <v>100.11</v>
      </c>
      <c r="M522">
        <v>15.016500000000001</v>
      </c>
      <c r="N522">
        <v>85.093499999999992</v>
      </c>
    </row>
    <row r="523" spans="1:14" x14ac:dyDescent="0.3">
      <c r="A523">
        <v>100522</v>
      </c>
      <c r="B523" s="2">
        <v>45313.708333333343</v>
      </c>
      <c r="C523" t="s">
        <v>14</v>
      </c>
      <c r="D523" t="s">
        <v>38</v>
      </c>
      <c r="E523" t="s">
        <v>70</v>
      </c>
      <c r="F523" t="s">
        <v>72</v>
      </c>
      <c r="G523">
        <v>2</v>
      </c>
      <c r="H523">
        <v>59.16</v>
      </c>
      <c r="I523">
        <v>10</v>
      </c>
      <c r="J523" t="s">
        <v>75</v>
      </c>
      <c r="K523" t="s">
        <v>77</v>
      </c>
      <c r="L523">
        <v>118.32</v>
      </c>
      <c r="M523">
        <v>11.832000000000001</v>
      </c>
      <c r="N523">
        <v>106.488</v>
      </c>
    </row>
    <row r="524" spans="1:14" x14ac:dyDescent="0.3">
      <c r="A524">
        <v>100523</v>
      </c>
      <c r="B524" s="2">
        <v>45313.75</v>
      </c>
      <c r="C524" t="s">
        <v>15</v>
      </c>
      <c r="D524" t="s">
        <v>23</v>
      </c>
      <c r="E524" t="s">
        <v>70</v>
      </c>
      <c r="F524" t="s">
        <v>71</v>
      </c>
      <c r="G524">
        <v>1</v>
      </c>
      <c r="H524">
        <v>81.12</v>
      </c>
      <c r="I524">
        <v>10</v>
      </c>
      <c r="J524" t="s">
        <v>75</v>
      </c>
      <c r="K524" t="s">
        <v>77</v>
      </c>
      <c r="L524">
        <v>81.12</v>
      </c>
      <c r="M524">
        <v>8.1120000000000001</v>
      </c>
      <c r="N524">
        <v>73.00800000000001</v>
      </c>
    </row>
    <row r="525" spans="1:14" x14ac:dyDescent="0.3">
      <c r="A525">
        <v>100524</v>
      </c>
      <c r="B525" s="2">
        <v>45313.791666666657</v>
      </c>
      <c r="C525" t="s">
        <v>14</v>
      </c>
      <c r="D525" t="s">
        <v>62</v>
      </c>
      <c r="E525" t="s">
        <v>67</v>
      </c>
      <c r="F525" t="s">
        <v>71</v>
      </c>
      <c r="G525">
        <v>2</v>
      </c>
      <c r="H525">
        <v>91.39</v>
      </c>
      <c r="I525">
        <v>10</v>
      </c>
      <c r="J525" t="s">
        <v>76</v>
      </c>
      <c r="K525" t="s">
        <v>77</v>
      </c>
      <c r="L525">
        <v>182.78</v>
      </c>
      <c r="M525">
        <v>18.277999999999999</v>
      </c>
      <c r="N525">
        <v>164.50200000000001</v>
      </c>
    </row>
    <row r="526" spans="1:14" x14ac:dyDescent="0.3">
      <c r="A526">
        <v>100525</v>
      </c>
      <c r="B526" s="2">
        <v>45313.833333333343</v>
      </c>
      <c r="C526" t="s">
        <v>15</v>
      </c>
      <c r="D526" t="s">
        <v>42</v>
      </c>
      <c r="E526" t="s">
        <v>66</v>
      </c>
      <c r="F526" t="s">
        <v>72</v>
      </c>
      <c r="G526">
        <v>5</v>
      </c>
      <c r="H526">
        <v>91.69</v>
      </c>
      <c r="I526">
        <v>10</v>
      </c>
      <c r="J526" t="s">
        <v>75</v>
      </c>
      <c r="K526" t="s">
        <v>77</v>
      </c>
      <c r="L526">
        <v>458.45</v>
      </c>
      <c r="M526">
        <v>45.844999999999999</v>
      </c>
      <c r="N526">
        <v>412.60500000000002</v>
      </c>
    </row>
    <row r="527" spans="1:14" x14ac:dyDescent="0.3">
      <c r="A527">
        <v>100526</v>
      </c>
      <c r="B527" s="2">
        <v>45313.875</v>
      </c>
      <c r="C527" t="s">
        <v>14</v>
      </c>
      <c r="D527" t="s">
        <v>41</v>
      </c>
      <c r="E527" t="s">
        <v>70</v>
      </c>
      <c r="F527" t="s">
        <v>71</v>
      </c>
      <c r="G527">
        <v>4</v>
      </c>
      <c r="H527">
        <v>71.459999999999994</v>
      </c>
      <c r="I527">
        <v>15</v>
      </c>
      <c r="J527" t="s">
        <v>73</v>
      </c>
      <c r="K527" t="s">
        <v>77</v>
      </c>
      <c r="L527">
        <v>285.83999999999997</v>
      </c>
      <c r="M527">
        <v>42.875999999999998</v>
      </c>
      <c r="N527">
        <v>242.964</v>
      </c>
    </row>
    <row r="528" spans="1:14" x14ac:dyDescent="0.3">
      <c r="A528">
        <v>100527</v>
      </c>
      <c r="B528" s="2">
        <v>45313.916666666657</v>
      </c>
      <c r="C528" t="s">
        <v>14</v>
      </c>
      <c r="D528" t="s">
        <v>21</v>
      </c>
      <c r="E528" t="s">
        <v>67</v>
      </c>
      <c r="F528" t="s">
        <v>72</v>
      </c>
      <c r="G528">
        <v>5</v>
      </c>
      <c r="H528">
        <v>109</v>
      </c>
      <c r="I528">
        <v>5</v>
      </c>
      <c r="J528" t="s">
        <v>76</v>
      </c>
      <c r="K528" t="s">
        <v>78</v>
      </c>
      <c r="L528">
        <v>545</v>
      </c>
      <c r="M528">
        <v>27.25</v>
      </c>
      <c r="N528">
        <v>517.75</v>
      </c>
    </row>
    <row r="529" spans="1:14" x14ac:dyDescent="0.3">
      <c r="A529">
        <v>100528</v>
      </c>
      <c r="B529" s="2">
        <v>45313.958333333343</v>
      </c>
      <c r="C529" t="s">
        <v>15</v>
      </c>
      <c r="D529" t="s">
        <v>34</v>
      </c>
      <c r="E529" t="s">
        <v>70</v>
      </c>
      <c r="F529" t="s">
        <v>71</v>
      </c>
      <c r="G529">
        <v>4</v>
      </c>
      <c r="H529">
        <v>99</v>
      </c>
      <c r="I529">
        <v>0</v>
      </c>
      <c r="J529" t="s">
        <v>76</v>
      </c>
      <c r="K529" t="s">
        <v>77</v>
      </c>
      <c r="L529">
        <v>396</v>
      </c>
      <c r="M529">
        <v>0</v>
      </c>
      <c r="N529">
        <v>396</v>
      </c>
    </row>
    <row r="530" spans="1:14" x14ac:dyDescent="0.3">
      <c r="A530">
        <v>100529</v>
      </c>
      <c r="B530" s="2">
        <v>45314</v>
      </c>
      <c r="C530" t="s">
        <v>15</v>
      </c>
      <c r="D530" t="s">
        <v>40</v>
      </c>
      <c r="E530" t="s">
        <v>68</v>
      </c>
      <c r="F530" t="s">
        <v>72</v>
      </c>
      <c r="G530">
        <v>5</v>
      </c>
      <c r="H530">
        <v>92.06</v>
      </c>
      <c r="I530">
        <v>10</v>
      </c>
      <c r="J530" t="s">
        <v>76</v>
      </c>
      <c r="K530" t="s">
        <v>77</v>
      </c>
      <c r="L530">
        <v>460.3</v>
      </c>
      <c r="M530">
        <v>46.03</v>
      </c>
      <c r="N530">
        <v>414.27</v>
      </c>
    </row>
    <row r="531" spans="1:14" x14ac:dyDescent="0.3">
      <c r="A531">
        <v>100530</v>
      </c>
      <c r="B531" s="2">
        <v>45314.041666666657</v>
      </c>
      <c r="C531" t="s">
        <v>15</v>
      </c>
      <c r="D531" t="s">
        <v>38</v>
      </c>
      <c r="E531" t="s">
        <v>66</v>
      </c>
      <c r="F531" t="s">
        <v>71</v>
      </c>
      <c r="G531">
        <v>3</v>
      </c>
      <c r="H531">
        <v>11.39</v>
      </c>
      <c r="I531">
        <v>5</v>
      </c>
      <c r="J531" t="s">
        <v>76</v>
      </c>
      <c r="K531" t="s">
        <v>79</v>
      </c>
      <c r="L531">
        <v>34.17</v>
      </c>
      <c r="M531">
        <v>1.7084999999999999</v>
      </c>
      <c r="N531">
        <v>32.461500000000001</v>
      </c>
    </row>
    <row r="532" spans="1:14" x14ac:dyDescent="0.3">
      <c r="A532">
        <v>100531</v>
      </c>
      <c r="B532" s="2">
        <v>45314.083333333343</v>
      </c>
      <c r="C532" t="s">
        <v>14</v>
      </c>
      <c r="D532" t="s">
        <v>65</v>
      </c>
      <c r="E532" t="s">
        <v>69</v>
      </c>
      <c r="F532" t="s">
        <v>71</v>
      </c>
      <c r="G532">
        <v>2</v>
      </c>
      <c r="H532">
        <v>5.79</v>
      </c>
      <c r="I532">
        <v>10</v>
      </c>
      <c r="J532" t="s">
        <v>75</v>
      </c>
      <c r="K532" t="s">
        <v>77</v>
      </c>
      <c r="L532">
        <v>11.58</v>
      </c>
      <c r="M532">
        <v>1.1579999999999999</v>
      </c>
      <c r="N532">
        <v>10.422000000000001</v>
      </c>
    </row>
    <row r="533" spans="1:14" x14ac:dyDescent="0.3">
      <c r="A533">
        <v>100532</v>
      </c>
      <c r="B533" s="2">
        <v>45314.125</v>
      </c>
      <c r="C533" t="s">
        <v>15</v>
      </c>
      <c r="D533" t="s">
        <v>16</v>
      </c>
      <c r="E533" t="s">
        <v>70</v>
      </c>
      <c r="F533" t="s">
        <v>72</v>
      </c>
      <c r="G533">
        <v>4</v>
      </c>
      <c r="H533">
        <v>29.43</v>
      </c>
      <c r="I533">
        <v>10</v>
      </c>
      <c r="J533" t="s">
        <v>75</v>
      </c>
      <c r="K533" t="s">
        <v>77</v>
      </c>
      <c r="L533">
        <v>117.72</v>
      </c>
      <c r="M533">
        <v>11.772</v>
      </c>
      <c r="N533">
        <v>105.94799999999999</v>
      </c>
    </row>
    <row r="534" spans="1:14" x14ac:dyDescent="0.3">
      <c r="A534">
        <v>100533</v>
      </c>
      <c r="B534" s="2">
        <v>45314.166666666657</v>
      </c>
      <c r="C534" t="s">
        <v>14</v>
      </c>
      <c r="D534" t="s">
        <v>19</v>
      </c>
      <c r="E534" t="s">
        <v>68</v>
      </c>
      <c r="F534" t="s">
        <v>72</v>
      </c>
      <c r="G534">
        <v>1</v>
      </c>
      <c r="H534">
        <v>81.31</v>
      </c>
      <c r="I534">
        <v>0</v>
      </c>
      <c r="J534" t="s">
        <v>73</v>
      </c>
      <c r="K534" t="s">
        <v>77</v>
      </c>
      <c r="L534">
        <v>81.31</v>
      </c>
      <c r="M534">
        <v>0</v>
      </c>
      <c r="N534">
        <v>81.31</v>
      </c>
    </row>
    <row r="535" spans="1:14" x14ac:dyDescent="0.3">
      <c r="A535">
        <v>100534</v>
      </c>
      <c r="B535" s="2">
        <v>45314.208333333343</v>
      </c>
      <c r="C535" t="s">
        <v>14</v>
      </c>
      <c r="D535" t="s">
        <v>45</v>
      </c>
      <c r="E535" t="s">
        <v>69</v>
      </c>
      <c r="F535" t="s">
        <v>72</v>
      </c>
      <c r="G535">
        <v>2</v>
      </c>
      <c r="H535">
        <v>52.29</v>
      </c>
      <c r="I535">
        <v>0</v>
      </c>
      <c r="J535" t="s">
        <v>74</v>
      </c>
      <c r="K535" t="s">
        <v>79</v>
      </c>
      <c r="L535">
        <v>104.58</v>
      </c>
      <c r="M535">
        <v>0</v>
      </c>
      <c r="N535">
        <v>104.58</v>
      </c>
    </row>
    <row r="536" spans="1:14" x14ac:dyDescent="0.3">
      <c r="A536">
        <v>100535</v>
      </c>
      <c r="B536" s="2">
        <v>45314.25</v>
      </c>
      <c r="C536" t="s">
        <v>14</v>
      </c>
      <c r="D536" t="s">
        <v>38</v>
      </c>
      <c r="E536" t="s">
        <v>69</v>
      </c>
      <c r="F536" t="s">
        <v>72</v>
      </c>
      <c r="G536">
        <v>1</v>
      </c>
      <c r="H536">
        <v>51.28</v>
      </c>
      <c r="I536">
        <v>0</v>
      </c>
      <c r="J536" t="s">
        <v>74</v>
      </c>
      <c r="K536" t="s">
        <v>79</v>
      </c>
      <c r="L536">
        <v>51.28</v>
      </c>
      <c r="M536">
        <v>0</v>
      </c>
      <c r="N536">
        <v>51.28</v>
      </c>
    </row>
    <row r="537" spans="1:14" x14ac:dyDescent="0.3">
      <c r="A537">
        <v>100536</v>
      </c>
      <c r="B537" s="2">
        <v>45314.291666666657</v>
      </c>
      <c r="C537" t="s">
        <v>15</v>
      </c>
      <c r="D537" t="s">
        <v>19</v>
      </c>
      <c r="E537" t="s">
        <v>70</v>
      </c>
      <c r="F537" t="s">
        <v>72</v>
      </c>
      <c r="G537">
        <v>2</v>
      </c>
      <c r="H537">
        <v>106.73</v>
      </c>
      <c r="I537">
        <v>10</v>
      </c>
      <c r="J537" t="s">
        <v>73</v>
      </c>
      <c r="K537" t="s">
        <v>77</v>
      </c>
      <c r="L537">
        <v>213.46</v>
      </c>
      <c r="M537">
        <v>21.346</v>
      </c>
      <c r="N537">
        <v>192.114</v>
      </c>
    </row>
    <row r="538" spans="1:14" x14ac:dyDescent="0.3">
      <c r="A538">
        <v>100537</v>
      </c>
      <c r="B538" s="2">
        <v>45314.333333333343</v>
      </c>
      <c r="C538" t="s">
        <v>15</v>
      </c>
      <c r="D538" t="s">
        <v>42</v>
      </c>
      <c r="E538" t="s">
        <v>67</v>
      </c>
      <c r="F538" t="s">
        <v>71</v>
      </c>
      <c r="G538">
        <v>2</v>
      </c>
      <c r="H538">
        <v>107.99</v>
      </c>
      <c r="I538">
        <v>10</v>
      </c>
      <c r="J538" t="s">
        <v>74</v>
      </c>
      <c r="K538" t="s">
        <v>77</v>
      </c>
      <c r="L538">
        <v>215.98</v>
      </c>
      <c r="M538">
        <v>21.597999999999999</v>
      </c>
      <c r="N538">
        <v>194.38200000000001</v>
      </c>
    </row>
    <row r="539" spans="1:14" x14ac:dyDescent="0.3">
      <c r="A539">
        <v>100538</v>
      </c>
      <c r="B539" s="2">
        <v>45314.375</v>
      </c>
      <c r="C539" t="s">
        <v>14</v>
      </c>
      <c r="D539" t="s">
        <v>21</v>
      </c>
      <c r="E539" t="s">
        <v>70</v>
      </c>
      <c r="F539" t="s">
        <v>72</v>
      </c>
      <c r="G539">
        <v>5</v>
      </c>
      <c r="H539">
        <v>109.56</v>
      </c>
      <c r="I539">
        <v>10</v>
      </c>
      <c r="J539" t="s">
        <v>73</v>
      </c>
      <c r="K539" t="s">
        <v>77</v>
      </c>
      <c r="L539">
        <v>547.79999999999995</v>
      </c>
      <c r="M539">
        <v>54.78</v>
      </c>
      <c r="N539">
        <v>493.02</v>
      </c>
    </row>
    <row r="540" spans="1:14" x14ac:dyDescent="0.3">
      <c r="A540">
        <v>100539</v>
      </c>
      <c r="B540" s="2">
        <v>45314.416666666657</v>
      </c>
      <c r="C540" t="s">
        <v>14</v>
      </c>
      <c r="D540" t="s">
        <v>54</v>
      </c>
      <c r="E540" t="s">
        <v>68</v>
      </c>
      <c r="F540" t="s">
        <v>72</v>
      </c>
      <c r="G540">
        <v>4</v>
      </c>
      <c r="H540">
        <v>41.1</v>
      </c>
      <c r="I540">
        <v>0</v>
      </c>
      <c r="J540" t="s">
        <v>75</v>
      </c>
      <c r="K540" t="s">
        <v>77</v>
      </c>
      <c r="L540">
        <v>164.4</v>
      </c>
      <c r="M540">
        <v>0</v>
      </c>
      <c r="N540">
        <v>164.4</v>
      </c>
    </row>
    <row r="541" spans="1:14" x14ac:dyDescent="0.3">
      <c r="A541">
        <v>100540</v>
      </c>
      <c r="B541" s="2">
        <v>45314.458333333343</v>
      </c>
      <c r="C541" t="s">
        <v>15</v>
      </c>
      <c r="D541" t="s">
        <v>38</v>
      </c>
      <c r="E541" t="s">
        <v>69</v>
      </c>
      <c r="F541" t="s">
        <v>71</v>
      </c>
      <c r="G541">
        <v>4</v>
      </c>
      <c r="H541">
        <v>84.47</v>
      </c>
      <c r="I541">
        <v>15</v>
      </c>
      <c r="J541" t="s">
        <v>76</v>
      </c>
      <c r="K541" t="s">
        <v>77</v>
      </c>
      <c r="L541">
        <v>337.88</v>
      </c>
      <c r="M541">
        <v>50.682000000000002</v>
      </c>
      <c r="N541">
        <v>287.19799999999998</v>
      </c>
    </row>
    <row r="542" spans="1:14" x14ac:dyDescent="0.3">
      <c r="A542">
        <v>100541</v>
      </c>
      <c r="B542" s="2">
        <v>45314.5</v>
      </c>
      <c r="C542" t="s">
        <v>14</v>
      </c>
      <c r="D542" t="s">
        <v>65</v>
      </c>
      <c r="E542" t="s">
        <v>70</v>
      </c>
      <c r="F542" t="s">
        <v>71</v>
      </c>
      <c r="G542">
        <v>2</v>
      </c>
      <c r="H542">
        <v>36.24</v>
      </c>
      <c r="I542">
        <v>5</v>
      </c>
      <c r="J542" t="s">
        <v>76</v>
      </c>
      <c r="K542" t="s">
        <v>78</v>
      </c>
      <c r="L542">
        <v>72.48</v>
      </c>
      <c r="M542">
        <v>3.624000000000001</v>
      </c>
      <c r="N542">
        <v>68.856000000000009</v>
      </c>
    </row>
    <row r="543" spans="1:14" x14ac:dyDescent="0.3">
      <c r="A543">
        <v>100542</v>
      </c>
      <c r="B543" s="2">
        <v>45314.541666666657</v>
      </c>
      <c r="C543" t="s">
        <v>15</v>
      </c>
      <c r="D543" t="s">
        <v>36</v>
      </c>
      <c r="E543" t="s">
        <v>67</v>
      </c>
      <c r="F543" t="s">
        <v>72</v>
      </c>
      <c r="G543">
        <v>3</v>
      </c>
      <c r="H543">
        <v>26.92</v>
      </c>
      <c r="I543">
        <v>15</v>
      </c>
      <c r="J543" t="s">
        <v>75</v>
      </c>
      <c r="K543" t="s">
        <v>77</v>
      </c>
      <c r="L543">
        <v>80.760000000000005</v>
      </c>
      <c r="M543">
        <v>12.114000000000001</v>
      </c>
      <c r="N543">
        <v>68.646000000000001</v>
      </c>
    </row>
    <row r="544" spans="1:14" x14ac:dyDescent="0.3">
      <c r="A544">
        <v>100543</v>
      </c>
      <c r="B544" s="2">
        <v>45314.583333333343</v>
      </c>
      <c r="C544" t="s">
        <v>14</v>
      </c>
      <c r="D544" t="s">
        <v>37</v>
      </c>
      <c r="E544" t="s">
        <v>70</v>
      </c>
      <c r="F544" t="s">
        <v>71</v>
      </c>
      <c r="G544">
        <v>3</v>
      </c>
      <c r="H544">
        <v>26.23</v>
      </c>
      <c r="I544">
        <v>10</v>
      </c>
      <c r="J544" t="s">
        <v>76</v>
      </c>
      <c r="K544" t="s">
        <v>77</v>
      </c>
      <c r="L544">
        <v>78.69</v>
      </c>
      <c r="M544">
        <v>7.8689999999999998</v>
      </c>
      <c r="N544">
        <v>70.820999999999998</v>
      </c>
    </row>
    <row r="545" spans="1:14" x14ac:dyDescent="0.3">
      <c r="A545">
        <v>100544</v>
      </c>
      <c r="B545" s="2">
        <v>45314.625</v>
      </c>
      <c r="C545" t="s">
        <v>15</v>
      </c>
      <c r="D545" t="s">
        <v>20</v>
      </c>
      <c r="E545" t="s">
        <v>66</v>
      </c>
      <c r="F545" t="s">
        <v>71</v>
      </c>
      <c r="G545">
        <v>1</v>
      </c>
      <c r="H545">
        <v>44.34</v>
      </c>
      <c r="I545">
        <v>10</v>
      </c>
      <c r="J545" t="s">
        <v>76</v>
      </c>
      <c r="K545" t="s">
        <v>77</v>
      </c>
      <c r="L545">
        <v>44.34</v>
      </c>
      <c r="M545">
        <v>4.4340000000000002</v>
      </c>
      <c r="N545">
        <v>39.906000000000013</v>
      </c>
    </row>
    <row r="546" spans="1:14" x14ac:dyDescent="0.3">
      <c r="A546">
        <v>100545</v>
      </c>
      <c r="B546" s="2">
        <v>45314.666666666657</v>
      </c>
      <c r="C546" t="s">
        <v>14</v>
      </c>
      <c r="D546" t="s">
        <v>33</v>
      </c>
      <c r="E546" t="s">
        <v>67</v>
      </c>
      <c r="F546" t="s">
        <v>72</v>
      </c>
      <c r="G546">
        <v>1</v>
      </c>
      <c r="H546">
        <v>54.45</v>
      </c>
      <c r="I546">
        <v>15</v>
      </c>
      <c r="J546" t="s">
        <v>74</v>
      </c>
      <c r="K546" t="s">
        <v>77</v>
      </c>
      <c r="L546">
        <v>54.45</v>
      </c>
      <c r="M546">
        <v>8.1675000000000004</v>
      </c>
      <c r="N546">
        <v>46.282499999999999</v>
      </c>
    </row>
    <row r="547" spans="1:14" x14ac:dyDescent="0.3">
      <c r="A547">
        <v>100546</v>
      </c>
      <c r="B547" s="2">
        <v>45314.708333333343</v>
      </c>
      <c r="C547" t="s">
        <v>15</v>
      </c>
      <c r="D547" t="s">
        <v>49</v>
      </c>
      <c r="E547" t="s">
        <v>68</v>
      </c>
      <c r="F547" t="s">
        <v>71</v>
      </c>
      <c r="G547">
        <v>5</v>
      </c>
      <c r="H547">
        <v>100.56</v>
      </c>
      <c r="I547">
        <v>10</v>
      </c>
      <c r="J547" t="s">
        <v>75</v>
      </c>
      <c r="K547" t="s">
        <v>77</v>
      </c>
      <c r="L547">
        <v>502.8</v>
      </c>
      <c r="M547">
        <v>50.28</v>
      </c>
      <c r="N547">
        <v>452.52</v>
      </c>
    </row>
    <row r="548" spans="1:14" x14ac:dyDescent="0.3">
      <c r="A548">
        <v>100547</v>
      </c>
      <c r="B548" s="2">
        <v>45314.75</v>
      </c>
      <c r="C548" t="s">
        <v>14</v>
      </c>
      <c r="D548" t="s">
        <v>51</v>
      </c>
      <c r="E548" t="s">
        <v>69</v>
      </c>
      <c r="F548" t="s">
        <v>71</v>
      </c>
      <c r="G548">
        <v>2</v>
      </c>
      <c r="H548">
        <v>18.79</v>
      </c>
      <c r="I548">
        <v>5</v>
      </c>
      <c r="J548" t="s">
        <v>74</v>
      </c>
      <c r="K548" t="s">
        <v>77</v>
      </c>
      <c r="L548">
        <v>37.58</v>
      </c>
      <c r="M548">
        <v>1.879</v>
      </c>
      <c r="N548">
        <v>35.701000000000001</v>
      </c>
    </row>
    <row r="549" spans="1:14" x14ac:dyDescent="0.3">
      <c r="A549">
        <v>100548</v>
      </c>
      <c r="B549" s="2">
        <v>45314.791666666657</v>
      </c>
      <c r="C549" t="s">
        <v>15</v>
      </c>
      <c r="D549" t="s">
        <v>37</v>
      </c>
      <c r="E549" t="s">
        <v>70</v>
      </c>
      <c r="F549" t="s">
        <v>72</v>
      </c>
      <c r="G549">
        <v>1</v>
      </c>
      <c r="H549">
        <v>89.52</v>
      </c>
      <c r="I549">
        <v>10</v>
      </c>
      <c r="J549" t="s">
        <v>74</v>
      </c>
      <c r="K549" t="s">
        <v>78</v>
      </c>
      <c r="L549">
        <v>89.52</v>
      </c>
      <c r="M549">
        <v>8.952</v>
      </c>
      <c r="N549">
        <v>80.567999999999998</v>
      </c>
    </row>
    <row r="550" spans="1:14" x14ac:dyDescent="0.3">
      <c r="A550">
        <v>100549</v>
      </c>
      <c r="B550" s="2">
        <v>45314.833333333343</v>
      </c>
      <c r="C550" t="s">
        <v>15</v>
      </c>
      <c r="D550" t="s">
        <v>33</v>
      </c>
      <c r="E550" t="s">
        <v>67</v>
      </c>
      <c r="F550" t="s">
        <v>72</v>
      </c>
      <c r="G550">
        <v>1</v>
      </c>
      <c r="H550">
        <v>66.12</v>
      </c>
      <c r="I550">
        <v>5</v>
      </c>
      <c r="J550" t="s">
        <v>76</v>
      </c>
      <c r="K550" t="s">
        <v>78</v>
      </c>
      <c r="L550">
        <v>66.12</v>
      </c>
      <c r="M550">
        <v>3.306</v>
      </c>
      <c r="N550">
        <v>62.814000000000007</v>
      </c>
    </row>
    <row r="551" spans="1:14" x14ac:dyDescent="0.3">
      <c r="A551">
        <v>100550</v>
      </c>
      <c r="B551" s="2">
        <v>45314.875</v>
      </c>
      <c r="C551" t="s">
        <v>14</v>
      </c>
      <c r="D551" t="s">
        <v>23</v>
      </c>
      <c r="E551" t="s">
        <v>66</v>
      </c>
      <c r="F551" t="s">
        <v>71</v>
      </c>
      <c r="G551">
        <v>2</v>
      </c>
      <c r="H551">
        <v>38.11</v>
      </c>
      <c r="I551">
        <v>15</v>
      </c>
      <c r="J551" t="s">
        <v>76</v>
      </c>
      <c r="K551" t="s">
        <v>77</v>
      </c>
      <c r="L551">
        <v>76.22</v>
      </c>
      <c r="M551">
        <v>11.433</v>
      </c>
      <c r="N551">
        <v>64.787000000000006</v>
      </c>
    </row>
    <row r="552" spans="1:14" x14ac:dyDescent="0.3">
      <c r="A552">
        <v>100551</v>
      </c>
      <c r="B552" s="2">
        <v>45314.916666666657</v>
      </c>
      <c r="C552" t="s">
        <v>14</v>
      </c>
      <c r="D552" t="s">
        <v>38</v>
      </c>
      <c r="E552" t="s">
        <v>67</v>
      </c>
      <c r="F552" t="s">
        <v>71</v>
      </c>
      <c r="G552">
        <v>5</v>
      </c>
      <c r="H552">
        <v>61.67</v>
      </c>
      <c r="I552">
        <v>15</v>
      </c>
      <c r="J552" t="s">
        <v>75</v>
      </c>
      <c r="K552" t="s">
        <v>78</v>
      </c>
      <c r="L552">
        <v>308.35000000000002</v>
      </c>
      <c r="M552">
        <v>46.252499999999998</v>
      </c>
      <c r="N552">
        <v>262.09750000000003</v>
      </c>
    </row>
    <row r="553" spans="1:14" x14ac:dyDescent="0.3">
      <c r="A553">
        <v>100552</v>
      </c>
      <c r="B553" s="2">
        <v>45314.958333333343</v>
      </c>
      <c r="C553" t="s">
        <v>15</v>
      </c>
      <c r="D553" t="s">
        <v>35</v>
      </c>
      <c r="E553" t="s">
        <v>66</v>
      </c>
      <c r="F553" t="s">
        <v>72</v>
      </c>
      <c r="G553">
        <v>1</v>
      </c>
      <c r="H553">
        <v>39.49</v>
      </c>
      <c r="I553">
        <v>10</v>
      </c>
      <c r="J553" t="s">
        <v>76</v>
      </c>
      <c r="K553" t="s">
        <v>77</v>
      </c>
      <c r="L553">
        <v>39.49</v>
      </c>
      <c r="M553">
        <v>3.9489999999999998</v>
      </c>
      <c r="N553">
        <v>35.540999999999997</v>
      </c>
    </row>
    <row r="554" spans="1:14" x14ac:dyDescent="0.3">
      <c r="A554">
        <v>100553</v>
      </c>
      <c r="B554" s="2">
        <v>45315</v>
      </c>
      <c r="C554" t="s">
        <v>14</v>
      </c>
      <c r="D554" t="s">
        <v>23</v>
      </c>
      <c r="E554" t="s">
        <v>68</v>
      </c>
      <c r="F554" t="s">
        <v>71</v>
      </c>
      <c r="G554">
        <v>5</v>
      </c>
      <c r="H554">
        <v>73.55</v>
      </c>
      <c r="I554">
        <v>5</v>
      </c>
      <c r="J554" t="s">
        <v>76</v>
      </c>
      <c r="K554" t="s">
        <v>77</v>
      </c>
      <c r="L554">
        <v>367.75</v>
      </c>
      <c r="M554">
        <v>18.387499999999999</v>
      </c>
      <c r="N554">
        <v>349.36250000000001</v>
      </c>
    </row>
    <row r="555" spans="1:14" x14ac:dyDescent="0.3">
      <c r="A555">
        <v>100554</v>
      </c>
      <c r="B555" s="2">
        <v>45315.041666666657</v>
      </c>
      <c r="C555" t="s">
        <v>15</v>
      </c>
      <c r="D555" t="s">
        <v>33</v>
      </c>
      <c r="E555" t="s">
        <v>69</v>
      </c>
      <c r="F555" t="s">
        <v>71</v>
      </c>
      <c r="G555">
        <v>4</v>
      </c>
      <c r="H555">
        <v>54.89</v>
      </c>
      <c r="I555">
        <v>10</v>
      </c>
      <c r="J555" t="s">
        <v>75</v>
      </c>
      <c r="K555" t="s">
        <v>77</v>
      </c>
      <c r="L555">
        <v>219.56</v>
      </c>
      <c r="M555">
        <v>21.956</v>
      </c>
      <c r="N555">
        <v>197.60400000000001</v>
      </c>
    </row>
    <row r="556" spans="1:14" x14ac:dyDescent="0.3">
      <c r="A556">
        <v>100555</v>
      </c>
      <c r="B556" s="2">
        <v>45315.083333333343</v>
      </c>
      <c r="C556" t="s">
        <v>14</v>
      </c>
      <c r="D556" t="s">
        <v>63</v>
      </c>
      <c r="E556" t="s">
        <v>68</v>
      </c>
      <c r="F556" t="s">
        <v>71</v>
      </c>
      <c r="G556">
        <v>5</v>
      </c>
      <c r="H556">
        <v>23.91</v>
      </c>
      <c r="I556">
        <v>0</v>
      </c>
      <c r="J556" t="s">
        <v>76</v>
      </c>
      <c r="K556" t="s">
        <v>77</v>
      </c>
      <c r="L556">
        <v>119.55</v>
      </c>
      <c r="M556">
        <v>0</v>
      </c>
      <c r="N556">
        <v>119.55</v>
      </c>
    </row>
    <row r="557" spans="1:14" x14ac:dyDescent="0.3">
      <c r="A557">
        <v>100556</v>
      </c>
      <c r="B557" s="2">
        <v>45315.125</v>
      </c>
      <c r="C557" t="s">
        <v>15</v>
      </c>
      <c r="D557" t="s">
        <v>54</v>
      </c>
      <c r="E557" t="s">
        <v>70</v>
      </c>
      <c r="F557" t="s">
        <v>72</v>
      </c>
      <c r="G557">
        <v>3</v>
      </c>
      <c r="H557">
        <v>18.41</v>
      </c>
      <c r="I557">
        <v>0</v>
      </c>
      <c r="J557" t="s">
        <v>74</v>
      </c>
      <c r="K557" t="s">
        <v>78</v>
      </c>
      <c r="L557">
        <v>55.23</v>
      </c>
      <c r="M557">
        <v>0</v>
      </c>
      <c r="N557">
        <v>55.23</v>
      </c>
    </row>
    <row r="558" spans="1:14" x14ac:dyDescent="0.3">
      <c r="A558">
        <v>100557</v>
      </c>
      <c r="B558" s="2">
        <v>45315.166666666657</v>
      </c>
      <c r="C558" t="s">
        <v>15</v>
      </c>
      <c r="D558" t="s">
        <v>51</v>
      </c>
      <c r="E558" t="s">
        <v>67</v>
      </c>
      <c r="F558" t="s">
        <v>71</v>
      </c>
      <c r="G558">
        <v>3</v>
      </c>
      <c r="H558">
        <v>67.87</v>
      </c>
      <c r="I558">
        <v>0</v>
      </c>
      <c r="J558" t="s">
        <v>75</v>
      </c>
      <c r="K558" t="s">
        <v>77</v>
      </c>
      <c r="L558">
        <v>203.61</v>
      </c>
      <c r="M558">
        <v>0</v>
      </c>
      <c r="N558">
        <v>203.61</v>
      </c>
    </row>
    <row r="559" spans="1:14" x14ac:dyDescent="0.3">
      <c r="A559">
        <v>100558</v>
      </c>
      <c r="B559" s="2">
        <v>45315.208333333343</v>
      </c>
      <c r="C559" t="s">
        <v>15</v>
      </c>
      <c r="D559" t="s">
        <v>27</v>
      </c>
      <c r="E559" t="s">
        <v>66</v>
      </c>
      <c r="F559" t="s">
        <v>71</v>
      </c>
      <c r="G559">
        <v>5</v>
      </c>
      <c r="H559">
        <v>108.78</v>
      </c>
      <c r="I559">
        <v>0</v>
      </c>
      <c r="J559" t="s">
        <v>76</v>
      </c>
      <c r="K559" t="s">
        <v>77</v>
      </c>
      <c r="L559">
        <v>543.9</v>
      </c>
      <c r="M559">
        <v>0</v>
      </c>
      <c r="N559">
        <v>543.9</v>
      </c>
    </row>
    <row r="560" spans="1:14" x14ac:dyDescent="0.3">
      <c r="A560">
        <v>100559</v>
      </c>
      <c r="B560" s="2">
        <v>45315.25</v>
      </c>
      <c r="C560" t="s">
        <v>15</v>
      </c>
      <c r="D560" t="s">
        <v>36</v>
      </c>
      <c r="E560" t="s">
        <v>66</v>
      </c>
      <c r="F560" t="s">
        <v>72</v>
      </c>
      <c r="G560">
        <v>3</v>
      </c>
      <c r="H560">
        <v>44.56</v>
      </c>
      <c r="I560">
        <v>10</v>
      </c>
      <c r="J560" t="s">
        <v>73</v>
      </c>
      <c r="K560" t="s">
        <v>77</v>
      </c>
      <c r="L560">
        <v>133.68</v>
      </c>
      <c r="M560">
        <v>13.368</v>
      </c>
      <c r="N560">
        <v>120.312</v>
      </c>
    </row>
    <row r="561" spans="1:14" x14ac:dyDescent="0.3">
      <c r="A561">
        <v>100560</v>
      </c>
      <c r="B561" s="2">
        <v>45315.291666666657</v>
      </c>
      <c r="C561" t="s">
        <v>15</v>
      </c>
      <c r="D561" t="s">
        <v>52</v>
      </c>
      <c r="E561" t="s">
        <v>67</v>
      </c>
      <c r="F561" t="s">
        <v>71</v>
      </c>
      <c r="G561">
        <v>4</v>
      </c>
      <c r="H561">
        <v>89.3</v>
      </c>
      <c r="I561">
        <v>0</v>
      </c>
      <c r="J561" t="s">
        <v>75</v>
      </c>
      <c r="K561" t="s">
        <v>77</v>
      </c>
      <c r="L561">
        <v>357.2</v>
      </c>
      <c r="M561">
        <v>0</v>
      </c>
      <c r="N561">
        <v>357.2</v>
      </c>
    </row>
    <row r="562" spans="1:14" x14ac:dyDescent="0.3">
      <c r="A562">
        <v>100561</v>
      </c>
      <c r="B562" s="2">
        <v>45315.333333333343</v>
      </c>
      <c r="C562" t="s">
        <v>15</v>
      </c>
      <c r="D562" t="s">
        <v>29</v>
      </c>
      <c r="E562" t="s">
        <v>67</v>
      </c>
      <c r="F562" t="s">
        <v>71</v>
      </c>
      <c r="G562">
        <v>2</v>
      </c>
      <c r="H562">
        <v>80.75</v>
      </c>
      <c r="I562">
        <v>5</v>
      </c>
      <c r="J562" t="s">
        <v>75</v>
      </c>
      <c r="K562" t="s">
        <v>77</v>
      </c>
      <c r="L562">
        <v>161.5</v>
      </c>
      <c r="M562">
        <v>8.0750000000000011</v>
      </c>
      <c r="N562">
        <v>153.42500000000001</v>
      </c>
    </row>
    <row r="563" spans="1:14" x14ac:dyDescent="0.3">
      <c r="A563">
        <v>100562</v>
      </c>
      <c r="B563" s="2">
        <v>45315.375</v>
      </c>
      <c r="C563" t="s">
        <v>14</v>
      </c>
      <c r="D563" t="s">
        <v>34</v>
      </c>
      <c r="E563" t="s">
        <v>70</v>
      </c>
      <c r="F563" t="s">
        <v>72</v>
      </c>
      <c r="G563">
        <v>3</v>
      </c>
      <c r="H563">
        <v>112.13</v>
      </c>
      <c r="I563">
        <v>15</v>
      </c>
      <c r="J563" t="s">
        <v>73</v>
      </c>
      <c r="K563" t="s">
        <v>77</v>
      </c>
      <c r="L563">
        <v>336.39</v>
      </c>
      <c r="M563">
        <v>50.458499999999987</v>
      </c>
      <c r="N563">
        <v>285.93150000000003</v>
      </c>
    </row>
    <row r="564" spans="1:14" x14ac:dyDescent="0.3">
      <c r="A564">
        <v>100563</v>
      </c>
      <c r="B564" s="2">
        <v>45315.416666666657</v>
      </c>
      <c r="C564" t="s">
        <v>14</v>
      </c>
      <c r="D564" t="s">
        <v>31</v>
      </c>
      <c r="E564" t="s">
        <v>68</v>
      </c>
      <c r="F564" t="s">
        <v>72</v>
      </c>
      <c r="G564">
        <v>3</v>
      </c>
      <c r="H564">
        <v>99.41</v>
      </c>
      <c r="I564">
        <v>15</v>
      </c>
      <c r="J564" t="s">
        <v>76</v>
      </c>
      <c r="K564" t="s">
        <v>77</v>
      </c>
      <c r="L564">
        <v>298.23</v>
      </c>
      <c r="M564">
        <v>44.734499999999997</v>
      </c>
      <c r="N564">
        <v>253.49549999999999</v>
      </c>
    </row>
    <row r="565" spans="1:14" x14ac:dyDescent="0.3">
      <c r="A565">
        <v>100564</v>
      </c>
      <c r="B565" s="2">
        <v>45315.458333333343</v>
      </c>
      <c r="C565" t="s">
        <v>14</v>
      </c>
      <c r="D565" t="s">
        <v>21</v>
      </c>
      <c r="E565" t="s">
        <v>66</v>
      </c>
      <c r="F565" t="s">
        <v>72</v>
      </c>
      <c r="G565">
        <v>5</v>
      </c>
      <c r="H565">
        <v>70.16</v>
      </c>
      <c r="I565">
        <v>0</v>
      </c>
      <c r="J565" t="s">
        <v>76</v>
      </c>
      <c r="K565" t="s">
        <v>77</v>
      </c>
      <c r="L565">
        <v>350.8</v>
      </c>
      <c r="M565">
        <v>0</v>
      </c>
      <c r="N565">
        <v>350.8</v>
      </c>
    </row>
    <row r="566" spans="1:14" x14ac:dyDescent="0.3">
      <c r="A566">
        <v>100565</v>
      </c>
      <c r="B566" s="2">
        <v>45315.5</v>
      </c>
      <c r="C566" t="s">
        <v>15</v>
      </c>
      <c r="D566" t="s">
        <v>38</v>
      </c>
      <c r="E566" t="s">
        <v>70</v>
      </c>
      <c r="F566" t="s">
        <v>72</v>
      </c>
      <c r="G566">
        <v>4</v>
      </c>
      <c r="H566">
        <v>80.56</v>
      </c>
      <c r="I566">
        <v>0</v>
      </c>
      <c r="J566" t="s">
        <v>75</v>
      </c>
      <c r="K566" t="s">
        <v>77</v>
      </c>
      <c r="L566">
        <v>322.24</v>
      </c>
      <c r="M566">
        <v>0</v>
      </c>
      <c r="N566">
        <v>322.24</v>
      </c>
    </row>
    <row r="567" spans="1:14" x14ac:dyDescent="0.3">
      <c r="A567">
        <v>100566</v>
      </c>
      <c r="B567" s="2">
        <v>45315.541666666657</v>
      </c>
      <c r="C567" t="s">
        <v>15</v>
      </c>
      <c r="D567" t="s">
        <v>34</v>
      </c>
      <c r="E567" t="s">
        <v>68</v>
      </c>
      <c r="F567" t="s">
        <v>71</v>
      </c>
      <c r="G567">
        <v>2</v>
      </c>
      <c r="H567">
        <v>108.31</v>
      </c>
      <c r="I567">
        <v>0</v>
      </c>
      <c r="J567" t="s">
        <v>75</v>
      </c>
      <c r="K567" t="s">
        <v>77</v>
      </c>
      <c r="L567">
        <v>216.62</v>
      </c>
      <c r="M567">
        <v>0</v>
      </c>
      <c r="N567">
        <v>216.62</v>
      </c>
    </row>
    <row r="568" spans="1:14" x14ac:dyDescent="0.3">
      <c r="A568">
        <v>100567</v>
      </c>
      <c r="B568" s="2">
        <v>45315.583333333343</v>
      </c>
      <c r="C568" t="s">
        <v>15</v>
      </c>
      <c r="D568" t="s">
        <v>33</v>
      </c>
      <c r="E568" t="s">
        <v>70</v>
      </c>
      <c r="F568" t="s">
        <v>71</v>
      </c>
      <c r="G568">
        <v>5</v>
      </c>
      <c r="H568">
        <v>50.94</v>
      </c>
      <c r="I568">
        <v>10</v>
      </c>
      <c r="J568" t="s">
        <v>76</v>
      </c>
      <c r="K568" t="s">
        <v>77</v>
      </c>
      <c r="L568">
        <v>254.7</v>
      </c>
      <c r="M568">
        <v>25.47</v>
      </c>
      <c r="N568">
        <v>229.23</v>
      </c>
    </row>
    <row r="569" spans="1:14" x14ac:dyDescent="0.3">
      <c r="A569">
        <v>100568</v>
      </c>
      <c r="B569" s="2">
        <v>45315.625</v>
      </c>
      <c r="C569" t="s">
        <v>15</v>
      </c>
      <c r="D569" t="s">
        <v>47</v>
      </c>
      <c r="E569" t="s">
        <v>66</v>
      </c>
      <c r="F569" t="s">
        <v>72</v>
      </c>
      <c r="G569">
        <v>5</v>
      </c>
      <c r="H569">
        <v>42.58</v>
      </c>
      <c r="I569">
        <v>15</v>
      </c>
      <c r="J569" t="s">
        <v>76</v>
      </c>
      <c r="K569" t="s">
        <v>77</v>
      </c>
      <c r="L569">
        <v>212.9</v>
      </c>
      <c r="M569">
        <v>31.934999999999999</v>
      </c>
      <c r="N569">
        <v>180.965</v>
      </c>
    </row>
    <row r="570" spans="1:14" x14ac:dyDescent="0.3">
      <c r="A570">
        <v>100569</v>
      </c>
      <c r="B570" s="2">
        <v>45315.666666666657</v>
      </c>
      <c r="C570" t="s">
        <v>14</v>
      </c>
      <c r="D570" t="s">
        <v>53</v>
      </c>
      <c r="E570" t="s">
        <v>67</v>
      </c>
      <c r="F570" t="s">
        <v>72</v>
      </c>
      <c r="G570">
        <v>4</v>
      </c>
      <c r="H570">
        <v>6.24</v>
      </c>
      <c r="I570">
        <v>0</v>
      </c>
      <c r="J570" t="s">
        <v>74</v>
      </c>
      <c r="K570" t="s">
        <v>77</v>
      </c>
      <c r="L570">
        <v>24.96</v>
      </c>
      <c r="M570">
        <v>0</v>
      </c>
      <c r="N570">
        <v>24.96</v>
      </c>
    </row>
    <row r="571" spans="1:14" x14ac:dyDescent="0.3">
      <c r="A571">
        <v>100570</v>
      </c>
      <c r="B571" s="2">
        <v>45315.708333333343</v>
      </c>
      <c r="C571" t="s">
        <v>14</v>
      </c>
      <c r="D571" t="s">
        <v>36</v>
      </c>
      <c r="E571" t="s">
        <v>67</v>
      </c>
      <c r="F571" t="s">
        <v>71</v>
      </c>
      <c r="G571">
        <v>2</v>
      </c>
      <c r="H571">
        <v>100.05</v>
      </c>
      <c r="I571">
        <v>5</v>
      </c>
      <c r="J571" t="s">
        <v>75</v>
      </c>
      <c r="K571" t="s">
        <v>77</v>
      </c>
      <c r="L571">
        <v>200.1</v>
      </c>
      <c r="M571">
        <v>10.005000000000001</v>
      </c>
      <c r="N571">
        <v>190.095</v>
      </c>
    </row>
    <row r="572" spans="1:14" x14ac:dyDescent="0.3">
      <c r="A572">
        <v>100571</v>
      </c>
      <c r="B572" s="2">
        <v>45315.75</v>
      </c>
      <c r="C572" t="s">
        <v>15</v>
      </c>
      <c r="D572" t="s">
        <v>55</v>
      </c>
      <c r="E572" t="s">
        <v>68</v>
      </c>
      <c r="F572" t="s">
        <v>72</v>
      </c>
      <c r="G572">
        <v>4</v>
      </c>
      <c r="H572">
        <v>97.11</v>
      </c>
      <c r="I572">
        <v>0</v>
      </c>
      <c r="J572" t="s">
        <v>75</v>
      </c>
      <c r="K572" t="s">
        <v>77</v>
      </c>
      <c r="L572">
        <v>388.44</v>
      </c>
      <c r="M572">
        <v>0</v>
      </c>
      <c r="N572">
        <v>388.44</v>
      </c>
    </row>
    <row r="573" spans="1:14" x14ac:dyDescent="0.3">
      <c r="A573">
        <v>100572</v>
      </c>
      <c r="B573" s="2">
        <v>45315.791666666657</v>
      </c>
      <c r="C573" t="s">
        <v>14</v>
      </c>
      <c r="D573" t="s">
        <v>23</v>
      </c>
      <c r="E573" t="s">
        <v>69</v>
      </c>
      <c r="F573" t="s">
        <v>71</v>
      </c>
      <c r="G573">
        <v>2</v>
      </c>
      <c r="H573">
        <v>17.010000000000002</v>
      </c>
      <c r="I573">
        <v>15</v>
      </c>
      <c r="J573" t="s">
        <v>73</v>
      </c>
      <c r="K573" t="s">
        <v>78</v>
      </c>
      <c r="L573">
        <v>34.020000000000003</v>
      </c>
      <c r="M573">
        <v>5.1030000000000006</v>
      </c>
      <c r="N573">
        <v>28.917000000000002</v>
      </c>
    </row>
    <row r="574" spans="1:14" x14ac:dyDescent="0.3">
      <c r="A574">
        <v>100573</v>
      </c>
      <c r="B574" s="2">
        <v>45315.833333333343</v>
      </c>
      <c r="C574" t="s">
        <v>14</v>
      </c>
      <c r="D574" t="s">
        <v>56</v>
      </c>
      <c r="E574" t="s">
        <v>68</v>
      </c>
      <c r="F574" t="s">
        <v>72</v>
      </c>
      <c r="G574">
        <v>4</v>
      </c>
      <c r="H574">
        <v>71.34</v>
      </c>
      <c r="I574">
        <v>0</v>
      </c>
      <c r="J574" t="s">
        <v>74</v>
      </c>
      <c r="K574" t="s">
        <v>77</v>
      </c>
      <c r="L574">
        <v>285.36</v>
      </c>
      <c r="M574">
        <v>0</v>
      </c>
      <c r="N574">
        <v>285.36</v>
      </c>
    </row>
    <row r="575" spans="1:14" x14ac:dyDescent="0.3">
      <c r="A575">
        <v>100574</v>
      </c>
      <c r="B575" s="2">
        <v>45315.875</v>
      </c>
      <c r="C575" t="s">
        <v>15</v>
      </c>
      <c r="D575" t="s">
        <v>48</v>
      </c>
      <c r="E575" t="s">
        <v>69</v>
      </c>
      <c r="F575" t="s">
        <v>71</v>
      </c>
      <c r="G575">
        <v>5</v>
      </c>
      <c r="H575">
        <v>58.36</v>
      </c>
      <c r="I575">
        <v>15</v>
      </c>
      <c r="J575" t="s">
        <v>76</v>
      </c>
      <c r="K575" t="s">
        <v>77</v>
      </c>
      <c r="L575">
        <v>291.8</v>
      </c>
      <c r="M575">
        <v>43.77</v>
      </c>
      <c r="N575">
        <v>248.03</v>
      </c>
    </row>
    <row r="576" spans="1:14" x14ac:dyDescent="0.3">
      <c r="A576">
        <v>100575</v>
      </c>
      <c r="B576" s="2">
        <v>45315.916666666657</v>
      </c>
      <c r="C576" t="s">
        <v>14</v>
      </c>
      <c r="D576" t="s">
        <v>37</v>
      </c>
      <c r="E576" t="s">
        <v>70</v>
      </c>
      <c r="F576" t="s">
        <v>72</v>
      </c>
      <c r="G576">
        <v>5</v>
      </c>
      <c r="H576">
        <v>18.649999999999999</v>
      </c>
      <c r="I576">
        <v>0</v>
      </c>
      <c r="J576" t="s">
        <v>74</v>
      </c>
      <c r="K576" t="s">
        <v>79</v>
      </c>
      <c r="L576">
        <v>93.25</v>
      </c>
      <c r="M576">
        <v>0</v>
      </c>
      <c r="N576">
        <v>93.25</v>
      </c>
    </row>
    <row r="577" spans="1:14" x14ac:dyDescent="0.3">
      <c r="A577">
        <v>100576</v>
      </c>
      <c r="B577" s="2">
        <v>45315.958333333343</v>
      </c>
      <c r="C577" t="s">
        <v>15</v>
      </c>
      <c r="D577" t="s">
        <v>32</v>
      </c>
      <c r="E577" t="s">
        <v>70</v>
      </c>
      <c r="F577" t="s">
        <v>72</v>
      </c>
      <c r="G577">
        <v>1</v>
      </c>
      <c r="H577">
        <v>117.77</v>
      </c>
      <c r="I577">
        <v>5</v>
      </c>
      <c r="J577" t="s">
        <v>76</v>
      </c>
      <c r="K577" t="s">
        <v>77</v>
      </c>
      <c r="L577">
        <v>117.77</v>
      </c>
      <c r="M577">
        <v>5.8885000000000014</v>
      </c>
      <c r="N577">
        <v>111.8815</v>
      </c>
    </row>
    <row r="578" spans="1:14" x14ac:dyDescent="0.3">
      <c r="A578">
        <v>100577</v>
      </c>
      <c r="B578" s="2">
        <v>45316</v>
      </c>
      <c r="C578" t="s">
        <v>14</v>
      </c>
      <c r="D578" t="s">
        <v>32</v>
      </c>
      <c r="E578" t="s">
        <v>66</v>
      </c>
      <c r="F578" t="s">
        <v>71</v>
      </c>
      <c r="G578">
        <v>3</v>
      </c>
      <c r="H578">
        <v>29.69</v>
      </c>
      <c r="I578">
        <v>0</v>
      </c>
      <c r="J578" t="s">
        <v>76</v>
      </c>
      <c r="K578" t="s">
        <v>77</v>
      </c>
      <c r="L578">
        <v>89.070000000000007</v>
      </c>
      <c r="M578">
        <v>0</v>
      </c>
      <c r="N578">
        <v>89.070000000000007</v>
      </c>
    </row>
    <row r="579" spans="1:14" x14ac:dyDescent="0.3">
      <c r="A579">
        <v>100578</v>
      </c>
      <c r="B579" s="2">
        <v>45316.041666666657</v>
      </c>
      <c r="C579" t="s">
        <v>15</v>
      </c>
      <c r="D579" t="s">
        <v>51</v>
      </c>
      <c r="E579" t="s">
        <v>69</v>
      </c>
      <c r="F579" t="s">
        <v>72</v>
      </c>
      <c r="G579">
        <v>4</v>
      </c>
      <c r="H579">
        <v>12.73</v>
      </c>
      <c r="I579">
        <v>5</v>
      </c>
      <c r="J579" t="s">
        <v>74</v>
      </c>
      <c r="K579" t="s">
        <v>77</v>
      </c>
      <c r="L579">
        <v>50.92</v>
      </c>
      <c r="M579">
        <v>2.5459999999999998</v>
      </c>
      <c r="N579">
        <v>48.374000000000002</v>
      </c>
    </row>
    <row r="580" spans="1:14" x14ac:dyDescent="0.3">
      <c r="A580">
        <v>100579</v>
      </c>
      <c r="B580" s="2">
        <v>45316.083333333343</v>
      </c>
      <c r="C580" t="s">
        <v>15</v>
      </c>
      <c r="D580" t="s">
        <v>24</v>
      </c>
      <c r="E580" t="s">
        <v>66</v>
      </c>
      <c r="F580" t="s">
        <v>71</v>
      </c>
      <c r="G580">
        <v>1</v>
      </c>
      <c r="H580">
        <v>73.41</v>
      </c>
      <c r="I580">
        <v>5</v>
      </c>
      <c r="J580" t="s">
        <v>75</v>
      </c>
      <c r="K580" t="s">
        <v>79</v>
      </c>
      <c r="L580">
        <v>73.41</v>
      </c>
      <c r="M580">
        <v>3.6705000000000001</v>
      </c>
      <c r="N580">
        <v>69.739499999999992</v>
      </c>
    </row>
    <row r="581" spans="1:14" x14ac:dyDescent="0.3">
      <c r="A581">
        <v>100580</v>
      </c>
      <c r="B581" s="2">
        <v>45316.125</v>
      </c>
      <c r="C581" t="s">
        <v>15</v>
      </c>
      <c r="D581" t="s">
        <v>44</v>
      </c>
      <c r="E581" t="s">
        <v>67</v>
      </c>
      <c r="F581" t="s">
        <v>71</v>
      </c>
      <c r="G581">
        <v>3</v>
      </c>
      <c r="H581">
        <v>89.97</v>
      </c>
      <c r="I581">
        <v>0</v>
      </c>
      <c r="J581" t="s">
        <v>76</v>
      </c>
      <c r="K581" t="s">
        <v>78</v>
      </c>
      <c r="L581">
        <v>269.91000000000003</v>
      </c>
      <c r="M581">
        <v>0</v>
      </c>
      <c r="N581">
        <v>269.91000000000003</v>
      </c>
    </row>
    <row r="582" spans="1:14" x14ac:dyDescent="0.3">
      <c r="A582">
        <v>100581</v>
      </c>
      <c r="B582" s="2">
        <v>45316.166666666657</v>
      </c>
      <c r="C582" t="s">
        <v>15</v>
      </c>
      <c r="D582" t="s">
        <v>18</v>
      </c>
      <c r="E582" t="s">
        <v>69</v>
      </c>
      <c r="F582" t="s">
        <v>71</v>
      </c>
      <c r="G582">
        <v>4</v>
      </c>
      <c r="H582">
        <v>8.73</v>
      </c>
      <c r="I582">
        <v>5</v>
      </c>
      <c r="J582" t="s">
        <v>74</v>
      </c>
      <c r="K582" t="s">
        <v>77</v>
      </c>
      <c r="L582">
        <v>34.92</v>
      </c>
      <c r="M582">
        <v>1.746</v>
      </c>
      <c r="N582">
        <v>33.173999999999999</v>
      </c>
    </row>
    <row r="583" spans="1:14" x14ac:dyDescent="0.3">
      <c r="A583">
        <v>100582</v>
      </c>
      <c r="B583" s="2">
        <v>45316.208333333343</v>
      </c>
      <c r="C583" t="s">
        <v>14</v>
      </c>
      <c r="D583" t="s">
        <v>49</v>
      </c>
      <c r="E583" t="s">
        <v>68</v>
      </c>
      <c r="F583" t="s">
        <v>71</v>
      </c>
      <c r="G583">
        <v>2</v>
      </c>
      <c r="H583">
        <v>80.75</v>
      </c>
      <c r="I583">
        <v>10</v>
      </c>
      <c r="J583" t="s">
        <v>73</v>
      </c>
      <c r="K583" t="s">
        <v>77</v>
      </c>
      <c r="L583">
        <v>161.5</v>
      </c>
      <c r="M583">
        <v>16.149999999999999</v>
      </c>
      <c r="N583">
        <v>145.35</v>
      </c>
    </row>
    <row r="584" spans="1:14" x14ac:dyDescent="0.3">
      <c r="A584">
        <v>100583</v>
      </c>
      <c r="B584" s="2">
        <v>45316.25</v>
      </c>
      <c r="C584" t="s">
        <v>15</v>
      </c>
      <c r="D584" t="s">
        <v>21</v>
      </c>
      <c r="E584" t="s">
        <v>67</v>
      </c>
      <c r="F584" t="s">
        <v>71</v>
      </c>
      <c r="G584">
        <v>3</v>
      </c>
      <c r="H584">
        <v>66.209999999999994</v>
      </c>
      <c r="I584">
        <v>0</v>
      </c>
      <c r="J584" t="s">
        <v>74</v>
      </c>
      <c r="K584" t="s">
        <v>77</v>
      </c>
      <c r="L584">
        <v>198.63</v>
      </c>
      <c r="M584">
        <v>0</v>
      </c>
      <c r="N584">
        <v>198.63</v>
      </c>
    </row>
    <row r="585" spans="1:14" x14ac:dyDescent="0.3">
      <c r="A585">
        <v>100584</v>
      </c>
      <c r="B585" s="2">
        <v>45316.291666666657</v>
      </c>
      <c r="C585" t="s">
        <v>15</v>
      </c>
      <c r="D585" t="s">
        <v>37</v>
      </c>
      <c r="E585" t="s">
        <v>67</v>
      </c>
      <c r="F585" t="s">
        <v>72</v>
      </c>
      <c r="G585">
        <v>5</v>
      </c>
      <c r="H585">
        <v>16.88</v>
      </c>
      <c r="I585">
        <v>0</v>
      </c>
      <c r="J585" t="s">
        <v>73</v>
      </c>
      <c r="K585" t="s">
        <v>79</v>
      </c>
      <c r="L585">
        <v>84.399999999999991</v>
      </c>
      <c r="M585">
        <v>0</v>
      </c>
      <c r="N585">
        <v>84.399999999999991</v>
      </c>
    </row>
    <row r="586" spans="1:14" x14ac:dyDescent="0.3">
      <c r="A586">
        <v>100585</v>
      </c>
      <c r="B586" s="2">
        <v>45316.333333333343</v>
      </c>
      <c r="C586" t="s">
        <v>15</v>
      </c>
      <c r="D586" t="s">
        <v>34</v>
      </c>
      <c r="E586" t="s">
        <v>68</v>
      </c>
      <c r="F586" t="s">
        <v>72</v>
      </c>
      <c r="G586">
        <v>1</v>
      </c>
      <c r="H586">
        <v>24.84</v>
      </c>
      <c r="I586">
        <v>5</v>
      </c>
      <c r="J586" t="s">
        <v>76</v>
      </c>
      <c r="K586" t="s">
        <v>79</v>
      </c>
      <c r="L586">
        <v>24.84</v>
      </c>
      <c r="M586">
        <v>1.242</v>
      </c>
      <c r="N586">
        <v>23.597999999999999</v>
      </c>
    </row>
    <row r="587" spans="1:14" x14ac:dyDescent="0.3">
      <c r="A587">
        <v>100586</v>
      </c>
      <c r="B587" s="2">
        <v>45316.375</v>
      </c>
      <c r="C587" t="s">
        <v>14</v>
      </c>
      <c r="D587" t="s">
        <v>65</v>
      </c>
      <c r="E587" t="s">
        <v>67</v>
      </c>
      <c r="F587" t="s">
        <v>71</v>
      </c>
      <c r="G587">
        <v>3</v>
      </c>
      <c r="H587">
        <v>70.319999999999993</v>
      </c>
      <c r="I587">
        <v>5</v>
      </c>
      <c r="J587" t="s">
        <v>74</v>
      </c>
      <c r="K587" t="s">
        <v>77</v>
      </c>
      <c r="L587">
        <v>210.96</v>
      </c>
      <c r="M587">
        <v>10.548</v>
      </c>
      <c r="N587">
        <v>200.41200000000001</v>
      </c>
    </row>
    <row r="588" spans="1:14" x14ac:dyDescent="0.3">
      <c r="A588">
        <v>100587</v>
      </c>
      <c r="B588" s="2">
        <v>45316.416666666657</v>
      </c>
      <c r="C588" t="s">
        <v>15</v>
      </c>
      <c r="D588" t="s">
        <v>23</v>
      </c>
      <c r="E588" t="s">
        <v>69</v>
      </c>
      <c r="F588" t="s">
        <v>72</v>
      </c>
      <c r="G588">
        <v>3</v>
      </c>
      <c r="H588">
        <v>39.08</v>
      </c>
      <c r="I588">
        <v>0</v>
      </c>
      <c r="J588" t="s">
        <v>74</v>
      </c>
      <c r="K588" t="s">
        <v>77</v>
      </c>
      <c r="L588">
        <v>117.24</v>
      </c>
      <c r="M588">
        <v>0</v>
      </c>
      <c r="N588">
        <v>117.24</v>
      </c>
    </row>
    <row r="589" spans="1:14" x14ac:dyDescent="0.3">
      <c r="A589">
        <v>100588</v>
      </c>
      <c r="B589" s="2">
        <v>45316.458333333343</v>
      </c>
      <c r="C589" t="s">
        <v>14</v>
      </c>
      <c r="D589" t="s">
        <v>55</v>
      </c>
      <c r="E589" t="s">
        <v>66</v>
      </c>
      <c r="F589" t="s">
        <v>71</v>
      </c>
      <c r="G589">
        <v>5</v>
      </c>
      <c r="H589">
        <v>112.91</v>
      </c>
      <c r="I589">
        <v>10</v>
      </c>
      <c r="J589" t="s">
        <v>73</v>
      </c>
      <c r="K589" t="s">
        <v>77</v>
      </c>
      <c r="L589">
        <v>564.54999999999995</v>
      </c>
      <c r="M589">
        <v>56.454999999999998</v>
      </c>
      <c r="N589">
        <v>508.09500000000003</v>
      </c>
    </row>
    <row r="590" spans="1:14" x14ac:dyDescent="0.3">
      <c r="A590">
        <v>100589</v>
      </c>
      <c r="B590" s="2">
        <v>45316.5</v>
      </c>
      <c r="C590" t="s">
        <v>15</v>
      </c>
      <c r="D590" t="s">
        <v>36</v>
      </c>
      <c r="E590" t="s">
        <v>67</v>
      </c>
      <c r="F590" t="s">
        <v>72</v>
      </c>
      <c r="G590">
        <v>4</v>
      </c>
      <c r="H590">
        <v>99.16</v>
      </c>
      <c r="I590">
        <v>5</v>
      </c>
      <c r="J590" t="s">
        <v>74</v>
      </c>
      <c r="K590" t="s">
        <v>77</v>
      </c>
      <c r="L590">
        <v>396.64</v>
      </c>
      <c r="M590">
        <v>19.832000000000001</v>
      </c>
      <c r="N590">
        <v>376.80799999999999</v>
      </c>
    </row>
    <row r="591" spans="1:14" x14ac:dyDescent="0.3">
      <c r="A591">
        <v>100590</v>
      </c>
      <c r="B591" s="2">
        <v>45316.541666666657</v>
      </c>
      <c r="C591" t="s">
        <v>14</v>
      </c>
      <c r="D591" t="s">
        <v>48</v>
      </c>
      <c r="E591" t="s">
        <v>69</v>
      </c>
      <c r="F591" t="s">
        <v>72</v>
      </c>
      <c r="G591">
        <v>2</v>
      </c>
      <c r="H591">
        <v>118.11</v>
      </c>
      <c r="I591">
        <v>5</v>
      </c>
      <c r="J591" t="s">
        <v>74</v>
      </c>
      <c r="K591" t="s">
        <v>77</v>
      </c>
      <c r="L591">
        <v>236.22</v>
      </c>
      <c r="M591">
        <v>11.811</v>
      </c>
      <c r="N591">
        <v>224.40899999999999</v>
      </c>
    </row>
    <row r="592" spans="1:14" x14ac:dyDescent="0.3">
      <c r="A592">
        <v>100591</v>
      </c>
      <c r="B592" s="2">
        <v>45316.583333333343</v>
      </c>
      <c r="C592" t="s">
        <v>14</v>
      </c>
      <c r="D592" t="s">
        <v>60</v>
      </c>
      <c r="E592" t="s">
        <v>70</v>
      </c>
      <c r="F592" t="s">
        <v>72</v>
      </c>
      <c r="G592">
        <v>5</v>
      </c>
      <c r="H592">
        <v>34.86</v>
      </c>
      <c r="I592">
        <v>15</v>
      </c>
      <c r="J592" t="s">
        <v>76</v>
      </c>
      <c r="K592" t="s">
        <v>77</v>
      </c>
      <c r="L592">
        <v>174.3</v>
      </c>
      <c r="M592">
        <v>26.145</v>
      </c>
      <c r="N592">
        <v>148.155</v>
      </c>
    </row>
    <row r="593" spans="1:14" x14ac:dyDescent="0.3">
      <c r="A593">
        <v>100592</v>
      </c>
      <c r="B593" s="2">
        <v>45316.625</v>
      </c>
      <c r="C593" t="s">
        <v>15</v>
      </c>
      <c r="D593" t="s">
        <v>49</v>
      </c>
      <c r="E593" t="s">
        <v>69</v>
      </c>
      <c r="F593" t="s">
        <v>72</v>
      </c>
      <c r="G593">
        <v>2</v>
      </c>
      <c r="H593">
        <v>116.52</v>
      </c>
      <c r="I593">
        <v>10</v>
      </c>
      <c r="J593" t="s">
        <v>74</v>
      </c>
      <c r="K593" t="s">
        <v>77</v>
      </c>
      <c r="L593">
        <v>233.04</v>
      </c>
      <c r="M593">
        <v>23.303999999999998</v>
      </c>
      <c r="N593">
        <v>209.73599999999999</v>
      </c>
    </row>
    <row r="594" spans="1:14" x14ac:dyDescent="0.3">
      <c r="A594">
        <v>100593</v>
      </c>
      <c r="B594" s="2">
        <v>45316.666666666657</v>
      </c>
      <c r="C594" t="s">
        <v>14</v>
      </c>
      <c r="D594" t="s">
        <v>55</v>
      </c>
      <c r="E594" t="s">
        <v>66</v>
      </c>
      <c r="F594" t="s">
        <v>71</v>
      </c>
      <c r="G594">
        <v>4</v>
      </c>
      <c r="H594">
        <v>54.59</v>
      </c>
      <c r="I594">
        <v>10</v>
      </c>
      <c r="J594" t="s">
        <v>75</v>
      </c>
      <c r="K594" t="s">
        <v>77</v>
      </c>
      <c r="L594">
        <v>218.36</v>
      </c>
      <c r="M594">
        <v>21.835999999999999</v>
      </c>
      <c r="N594">
        <v>196.524</v>
      </c>
    </row>
    <row r="595" spans="1:14" x14ac:dyDescent="0.3">
      <c r="A595">
        <v>100594</v>
      </c>
      <c r="B595" s="2">
        <v>45316.708333333343</v>
      </c>
      <c r="C595" t="s">
        <v>15</v>
      </c>
      <c r="D595" t="s">
        <v>29</v>
      </c>
      <c r="E595" t="s">
        <v>69</v>
      </c>
      <c r="F595" t="s">
        <v>71</v>
      </c>
      <c r="G595">
        <v>3</v>
      </c>
      <c r="H595">
        <v>44.96</v>
      </c>
      <c r="I595">
        <v>0</v>
      </c>
      <c r="J595" t="s">
        <v>73</v>
      </c>
      <c r="K595" t="s">
        <v>79</v>
      </c>
      <c r="L595">
        <v>134.88</v>
      </c>
      <c r="M595">
        <v>0</v>
      </c>
      <c r="N595">
        <v>134.88</v>
      </c>
    </row>
    <row r="596" spans="1:14" x14ac:dyDescent="0.3">
      <c r="A596">
        <v>100595</v>
      </c>
      <c r="B596" s="2">
        <v>45316.75</v>
      </c>
      <c r="C596" t="s">
        <v>15</v>
      </c>
      <c r="D596" t="s">
        <v>50</v>
      </c>
      <c r="E596" t="s">
        <v>68</v>
      </c>
      <c r="F596" t="s">
        <v>72</v>
      </c>
      <c r="G596">
        <v>2</v>
      </c>
      <c r="H596">
        <v>10.79</v>
      </c>
      <c r="I596">
        <v>10</v>
      </c>
      <c r="J596" t="s">
        <v>74</v>
      </c>
      <c r="K596" t="s">
        <v>77</v>
      </c>
      <c r="L596">
        <v>21.58</v>
      </c>
      <c r="M596">
        <v>2.1579999999999999</v>
      </c>
      <c r="N596">
        <v>19.422000000000001</v>
      </c>
    </row>
    <row r="597" spans="1:14" x14ac:dyDescent="0.3">
      <c r="A597">
        <v>100596</v>
      </c>
      <c r="B597" s="2">
        <v>45316.791666666657</v>
      </c>
      <c r="C597" t="s">
        <v>15</v>
      </c>
      <c r="D597" t="s">
        <v>48</v>
      </c>
      <c r="E597" t="s">
        <v>66</v>
      </c>
      <c r="F597" t="s">
        <v>72</v>
      </c>
      <c r="G597">
        <v>1</v>
      </c>
      <c r="H597">
        <v>11.07</v>
      </c>
      <c r="I597">
        <v>0</v>
      </c>
      <c r="J597" t="s">
        <v>73</v>
      </c>
      <c r="K597" t="s">
        <v>77</v>
      </c>
      <c r="L597">
        <v>11.07</v>
      </c>
      <c r="M597">
        <v>0</v>
      </c>
      <c r="N597">
        <v>11.07</v>
      </c>
    </row>
    <row r="598" spans="1:14" x14ac:dyDescent="0.3">
      <c r="A598">
        <v>100597</v>
      </c>
      <c r="B598" s="2">
        <v>45316.833333333343</v>
      </c>
      <c r="C598" t="s">
        <v>14</v>
      </c>
      <c r="D598" t="s">
        <v>18</v>
      </c>
      <c r="E598" t="s">
        <v>70</v>
      </c>
      <c r="F598" t="s">
        <v>71</v>
      </c>
      <c r="G598">
        <v>1</v>
      </c>
      <c r="H598">
        <v>84.58</v>
      </c>
      <c r="I598">
        <v>15</v>
      </c>
      <c r="J598" t="s">
        <v>73</v>
      </c>
      <c r="K598" t="s">
        <v>77</v>
      </c>
      <c r="L598">
        <v>84.58</v>
      </c>
      <c r="M598">
        <v>12.686999999999999</v>
      </c>
      <c r="N598">
        <v>71.893000000000001</v>
      </c>
    </row>
    <row r="599" spans="1:14" x14ac:dyDescent="0.3">
      <c r="A599">
        <v>100598</v>
      </c>
      <c r="B599" s="2">
        <v>45316.875</v>
      </c>
      <c r="C599" t="s">
        <v>14</v>
      </c>
      <c r="D599" t="s">
        <v>21</v>
      </c>
      <c r="E599" t="s">
        <v>68</v>
      </c>
      <c r="F599" t="s">
        <v>72</v>
      </c>
      <c r="G599">
        <v>5</v>
      </c>
      <c r="H599">
        <v>57.66</v>
      </c>
      <c r="I599">
        <v>10</v>
      </c>
      <c r="J599" t="s">
        <v>73</v>
      </c>
      <c r="K599" t="s">
        <v>79</v>
      </c>
      <c r="L599">
        <v>288.3</v>
      </c>
      <c r="M599">
        <v>28.83</v>
      </c>
      <c r="N599">
        <v>259.47000000000003</v>
      </c>
    </row>
    <row r="600" spans="1:14" x14ac:dyDescent="0.3">
      <c r="A600">
        <v>100599</v>
      </c>
      <c r="B600" s="2">
        <v>45316.916666666657</v>
      </c>
      <c r="C600" t="s">
        <v>15</v>
      </c>
      <c r="D600" t="s">
        <v>29</v>
      </c>
      <c r="E600" t="s">
        <v>69</v>
      </c>
      <c r="F600" t="s">
        <v>71</v>
      </c>
      <c r="G600">
        <v>4</v>
      </c>
      <c r="H600">
        <v>31.05</v>
      </c>
      <c r="I600">
        <v>5</v>
      </c>
      <c r="J600" t="s">
        <v>74</v>
      </c>
      <c r="K600" t="s">
        <v>77</v>
      </c>
      <c r="L600">
        <v>124.2</v>
      </c>
      <c r="M600">
        <v>6.2100000000000009</v>
      </c>
      <c r="N600">
        <v>117.99</v>
      </c>
    </row>
    <row r="601" spans="1:14" x14ac:dyDescent="0.3">
      <c r="A601">
        <v>100600</v>
      </c>
      <c r="B601" s="2">
        <v>45316.958333333343</v>
      </c>
      <c r="C601" t="s">
        <v>15</v>
      </c>
      <c r="D601" t="s">
        <v>55</v>
      </c>
      <c r="E601" t="s">
        <v>66</v>
      </c>
      <c r="F601" t="s">
        <v>71</v>
      </c>
      <c r="G601">
        <v>5</v>
      </c>
      <c r="H601">
        <v>75.61</v>
      </c>
      <c r="I601">
        <v>15</v>
      </c>
      <c r="J601" t="s">
        <v>74</v>
      </c>
      <c r="K601" t="s">
        <v>77</v>
      </c>
      <c r="L601">
        <v>378.05</v>
      </c>
      <c r="M601">
        <v>56.707500000000003</v>
      </c>
      <c r="N601">
        <v>321.34249999999997</v>
      </c>
    </row>
    <row r="602" spans="1:14" x14ac:dyDescent="0.3">
      <c r="A602">
        <v>100601</v>
      </c>
      <c r="B602" s="2">
        <v>45317</v>
      </c>
      <c r="C602" t="s">
        <v>14</v>
      </c>
      <c r="D602" t="s">
        <v>44</v>
      </c>
      <c r="E602" t="s">
        <v>70</v>
      </c>
      <c r="F602" t="s">
        <v>71</v>
      </c>
      <c r="G602">
        <v>5</v>
      </c>
      <c r="H602">
        <v>34.08</v>
      </c>
      <c r="I602">
        <v>0</v>
      </c>
      <c r="J602" t="s">
        <v>73</v>
      </c>
      <c r="K602" t="s">
        <v>77</v>
      </c>
      <c r="L602">
        <v>170.4</v>
      </c>
      <c r="M602">
        <v>0</v>
      </c>
      <c r="N602">
        <v>170.4</v>
      </c>
    </row>
    <row r="603" spans="1:14" x14ac:dyDescent="0.3">
      <c r="A603">
        <v>100602</v>
      </c>
      <c r="B603" s="2">
        <v>45317.041666666657</v>
      </c>
      <c r="C603" t="s">
        <v>15</v>
      </c>
      <c r="D603" t="s">
        <v>25</v>
      </c>
      <c r="E603" t="s">
        <v>68</v>
      </c>
      <c r="F603" t="s">
        <v>72</v>
      </c>
      <c r="G603">
        <v>5</v>
      </c>
      <c r="H603">
        <v>71.430000000000007</v>
      </c>
      <c r="I603">
        <v>15</v>
      </c>
      <c r="J603" t="s">
        <v>75</v>
      </c>
      <c r="K603" t="s">
        <v>77</v>
      </c>
      <c r="L603">
        <v>357.15</v>
      </c>
      <c r="M603">
        <v>53.572500000000012</v>
      </c>
      <c r="N603">
        <v>303.57749999999999</v>
      </c>
    </row>
    <row r="604" spans="1:14" x14ac:dyDescent="0.3">
      <c r="A604">
        <v>100603</v>
      </c>
      <c r="B604" s="2">
        <v>45317.083333333343</v>
      </c>
      <c r="C604" t="s">
        <v>15</v>
      </c>
      <c r="D604" t="s">
        <v>37</v>
      </c>
      <c r="E604" t="s">
        <v>70</v>
      </c>
      <c r="F604" t="s">
        <v>71</v>
      </c>
      <c r="G604">
        <v>1</v>
      </c>
      <c r="H604">
        <v>46.31</v>
      </c>
      <c r="I604">
        <v>0</v>
      </c>
      <c r="J604" t="s">
        <v>73</v>
      </c>
      <c r="K604" t="s">
        <v>77</v>
      </c>
      <c r="L604">
        <v>46.31</v>
      </c>
      <c r="M604">
        <v>0</v>
      </c>
      <c r="N604">
        <v>46.31</v>
      </c>
    </row>
    <row r="605" spans="1:14" x14ac:dyDescent="0.3">
      <c r="A605">
        <v>100604</v>
      </c>
      <c r="B605" s="2">
        <v>45317.125</v>
      </c>
      <c r="C605" t="s">
        <v>15</v>
      </c>
      <c r="D605" t="s">
        <v>60</v>
      </c>
      <c r="E605" t="s">
        <v>69</v>
      </c>
      <c r="F605" t="s">
        <v>72</v>
      </c>
      <c r="G605">
        <v>1</v>
      </c>
      <c r="H605">
        <v>99.71</v>
      </c>
      <c r="I605">
        <v>15</v>
      </c>
      <c r="J605" t="s">
        <v>75</v>
      </c>
      <c r="K605" t="s">
        <v>77</v>
      </c>
      <c r="L605">
        <v>99.71</v>
      </c>
      <c r="M605">
        <v>14.9565</v>
      </c>
      <c r="N605">
        <v>84.753500000000003</v>
      </c>
    </row>
    <row r="606" spans="1:14" x14ac:dyDescent="0.3">
      <c r="A606">
        <v>100605</v>
      </c>
      <c r="B606" s="2">
        <v>45317.166666666657</v>
      </c>
      <c r="C606" t="s">
        <v>14</v>
      </c>
      <c r="D606" t="s">
        <v>52</v>
      </c>
      <c r="E606" t="s">
        <v>70</v>
      </c>
      <c r="F606" t="s">
        <v>71</v>
      </c>
      <c r="G606">
        <v>5</v>
      </c>
      <c r="H606">
        <v>99.38</v>
      </c>
      <c r="I606">
        <v>0</v>
      </c>
      <c r="J606" t="s">
        <v>73</v>
      </c>
      <c r="K606" t="s">
        <v>78</v>
      </c>
      <c r="L606">
        <v>496.9</v>
      </c>
      <c r="M606">
        <v>0</v>
      </c>
      <c r="N606">
        <v>496.9</v>
      </c>
    </row>
    <row r="607" spans="1:14" x14ac:dyDescent="0.3">
      <c r="A607">
        <v>100606</v>
      </c>
      <c r="B607" s="2">
        <v>45317.208333333343</v>
      </c>
      <c r="C607" t="s">
        <v>14</v>
      </c>
      <c r="D607" t="s">
        <v>37</v>
      </c>
      <c r="E607" t="s">
        <v>67</v>
      </c>
      <c r="F607" t="s">
        <v>72</v>
      </c>
      <c r="G607">
        <v>1</v>
      </c>
      <c r="H607">
        <v>59.9</v>
      </c>
      <c r="I607">
        <v>10</v>
      </c>
      <c r="J607" t="s">
        <v>76</v>
      </c>
      <c r="K607" t="s">
        <v>77</v>
      </c>
      <c r="L607">
        <v>59.9</v>
      </c>
      <c r="M607">
        <v>5.99</v>
      </c>
      <c r="N607">
        <v>53.91</v>
      </c>
    </row>
    <row r="608" spans="1:14" x14ac:dyDescent="0.3">
      <c r="A608">
        <v>100607</v>
      </c>
      <c r="B608" s="2">
        <v>45317.25</v>
      </c>
      <c r="C608" t="s">
        <v>14</v>
      </c>
      <c r="D608" t="s">
        <v>24</v>
      </c>
      <c r="E608" t="s">
        <v>68</v>
      </c>
      <c r="F608" t="s">
        <v>72</v>
      </c>
      <c r="G608">
        <v>4</v>
      </c>
      <c r="H608">
        <v>45.34</v>
      </c>
      <c r="I608">
        <v>5</v>
      </c>
      <c r="J608" t="s">
        <v>73</v>
      </c>
      <c r="K608" t="s">
        <v>77</v>
      </c>
      <c r="L608">
        <v>181.36</v>
      </c>
      <c r="M608">
        <v>9.0680000000000014</v>
      </c>
      <c r="N608">
        <v>172.292</v>
      </c>
    </row>
    <row r="609" spans="1:14" x14ac:dyDescent="0.3">
      <c r="A609">
        <v>100608</v>
      </c>
      <c r="B609" s="2">
        <v>45317.291666666657</v>
      </c>
      <c r="C609" t="s">
        <v>15</v>
      </c>
      <c r="D609" t="s">
        <v>62</v>
      </c>
      <c r="E609" t="s">
        <v>70</v>
      </c>
      <c r="F609" t="s">
        <v>72</v>
      </c>
      <c r="G609">
        <v>5</v>
      </c>
      <c r="H609">
        <v>46.69</v>
      </c>
      <c r="I609">
        <v>0</v>
      </c>
      <c r="J609" t="s">
        <v>73</v>
      </c>
      <c r="K609" t="s">
        <v>77</v>
      </c>
      <c r="L609">
        <v>233.45</v>
      </c>
      <c r="M609">
        <v>0</v>
      </c>
      <c r="N609">
        <v>233.45</v>
      </c>
    </row>
    <row r="610" spans="1:14" x14ac:dyDescent="0.3">
      <c r="A610">
        <v>100609</v>
      </c>
      <c r="B610" s="2">
        <v>45317.333333333343</v>
      </c>
      <c r="C610" t="s">
        <v>15</v>
      </c>
      <c r="D610" t="s">
        <v>63</v>
      </c>
      <c r="E610" t="s">
        <v>69</v>
      </c>
      <c r="F610" t="s">
        <v>71</v>
      </c>
      <c r="G610">
        <v>1</v>
      </c>
      <c r="H610">
        <v>97.66</v>
      </c>
      <c r="I610">
        <v>15</v>
      </c>
      <c r="J610" t="s">
        <v>74</v>
      </c>
      <c r="K610" t="s">
        <v>77</v>
      </c>
      <c r="L610">
        <v>97.66</v>
      </c>
      <c r="M610">
        <v>14.648999999999999</v>
      </c>
      <c r="N610">
        <v>83.010999999999996</v>
      </c>
    </row>
    <row r="611" spans="1:14" x14ac:dyDescent="0.3">
      <c r="A611">
        <v>100610</v>
      </c>
      <c r="B611" s="2">
        <v>45317.375</v>
      </c>
      <c r="C611" t="s">
        <v>15</v>
      </c>
      <c r="D611" t="s">
        <v>53</v>
      </c>
      <c r="E611" t="s">
        <v>69</v>
      </c>
      <c r="F611" t="s">
        <v>71</v>
      </c>
      <c r="G611">
        <v>2</v>
      </c>
      <c r="H611">
        <v>42.74</v>
      </c>
      <c r="I611">
        <v>0</v>
      </c>
      <c r="J611" t="s">
        <v>75</v>
      </c>
      <c r="K611" t="s">
        <v>77</v>
      </c>
      <c r="L611">
        <v>85.48</v>
      </c>
      <c r="M611">
        <v>0</v>
      </c>
      <c r="N611">
        <v>85.48</v>
      </c>
    </row>
    <row r="612" spans="1:14" x14ac:dyDescent="0.3">
      <c r="A612">
        <v>100611</v>
      </c>
      <c r="B612" s="2">
        <v>45317.416666666657</v>
      </c>
      <c r="C612" t="s">
        <v>14</v>
      </c>
      <c r="D612" t="s">
        <v>50</v>
      </c>
      <c r="E612" t="s">
        <v>70</v>
      </c>
      <c r="F612" t="s">
        <v>72</v>
      </c>
      <c r="G612">
        <v>5</v>
      </c>
      <c r="H612">
        <v>29.04</v>
      </c>
      <c r="I612">
        <v>0</v>
      </c>
      <c r="J612" t="s">
        <v>76</v>
      </c>
      <c r="K612" t="s">
        <v>77</v>
      </c>
      <c r="L612">
        <v>145.19999999999999</v>
      </c>
      <c r="M612">
        <v>0</v>
      </c>
      <c r="N612">
        <v>145.19999999999999</v>
      </c>
    </row>
    <row r="613" spans="1:14" x14ac:dyDescent="0.3">
      <c r="A613">
        <v>100612</v>
      </c>
      <c r="B613" s="2">
        <v>45317.458333333343</v>
      </c>
      <c r="C613" t="s">
        <v>15</v>
      </c>
      <c r="D613" t="s">
        <v>40</v>
      </c>
      <c r="E613" t="s">
        <v>69</v>
      </c>
      <c r="F613" t="s">
        <v>72</v>
      </c>
      <c r="G613">
        <v>5</v>
      </c>
      <c r="H613">
        <v>14.74</v>
      </c>
      <c r="I613">
        <v>0</v>
      </c>
      <c r="J613" t="s">
        <v>75</v>
      </c>
      <c r="K613" t="s">
        <v>77</v>
      </c>
      <c r="L613">
        <v>73.7</v>
      </c>
      <c r="M613">
        <v>0</v>
      </c>
      <c r="N613">
        <v>73.7</v>
      </c>
    </row>
    <row r="614" spans="1:14" x14ac:dyDescent="0.3">
      <c r="A614">
        <v>100613</v>
      </c>
      <c r="B614" s="2">
        <v>45317.5</v>
      </c>
      <c r="C614" t="s">
        <v>15</v>
      </c>
      <c r="D614" t="s">
        <v>52</v>
      </c>
      <c r="E614" t="s">
        <v>66</v>
      </c>
      <c r="F614" t="s">
        <v>72</v>
      </c>
      <c r="G614">
        <v>4</v>
      </c>
      <c r="H614">
        <v>58.67</v>
      </c>
      <c r="I614">
        <v>15</v>
      </c>
      <c r="J614" t="s">
        <v>76</v>
      </c>
      <c r="K614" t="s">
        <v>77</v>
      </c>
      <c r="L614">
        <v>234.68</v>
      </c>
      <c r="M614">
        <v>35.201999999999998</v>
      </c>
      <c r="N614">
        <v>199.47800000000001</v>
      </c>
    </row>
    <row r="615" spans="1:14" x14ac:dyDescent="0.3">
      <c r="A615">
        <v>100614</v>
      </c>
      <c r="B615" s="2">
        <v>45317.541666666657</v>
      </c>
      <c r="C615" t="s">
        <v>15</v>
      </c>
      <c r="D615" t="s">
        <v>46</v>
      </c>
      <c r="E615" t="s">
        <v>66</v>
      </c>
      <c r="F615" t="s">
        <v>71</v>
      </c>
      <c r="G615">
        <v>3</v>
      </c>
      <c r="H615">
        <v>60.45</v>
      </c>
      <c r="I615">
        <v>5</v>
      </c>
      <c r="J615" t="s">
        <v>73</v>
      </c>
      <c r="K615" t="s">
        <v>77</v>
      </c>
      <c r="L615">
        <v>181.35</v>
      </c>
      <c r="M615">
        <v>9.0675000000000008</v>
      </c>
      <c r="N615">
        <v>172.2825</v>
      </c>
    </row>
    <row r="616" spans="1:14" x14ac:dyDescent="0.3">
      <c r="A616">
        <v>100615</v>
      </c>
      <c r="B616" s="2">
        <v>45317.583333333343</v>
      </c>
      <c r="C616" t="s">
        <v>15</v>
      </c>
      <c r="D616" t="s">
        <v>22</v>
      </c>
      <c r="E616" t="s">
        <v>66</v>
      </c>
      <c r="F616" t="s">
        <v>71</v>
      </c>
      <c r="G616">
        <v>3</v>
      </c>
      <c r="H616">
        <v>101.7</v>
      </c>
      <c r="I616">
        <v>10</v>
      </c>
      <c r="J616" t="s">
        <v>74</v>
      </c>
      <c r="K616" t="s">
        <v>77</v>
      </c>
      <c r="L616">
        <v>305.10000000000002</v>
      </c>
      <c r="M616">
        <v>30.510000000000009</v>
      </c>
      <c r="N616">
        <v>274.58999999999997</v>
      </c>
    </row>
    <row r="617" spans="1:14" x14ac:dyDescent="0.3">
      <c r="A617">
        <v>100616</v>
      </c>
      <c r="B617" s="2">
        <v>45317.625</v>
      </c>
      <c r="C617" t="s">
        <v>14</v>
      </c>
      <c r="D617" t="s">
        <v>27</v>
      </c>
      <c r="E617" t="s">
        <v>67</v>
      </c>
      <c r="F617" t="s">
        <v>71</v>
      </c>
      <c r="G617">
        <v>4</v>
      </c>
      <c r="H617">
        <v>30.44</v>
      </c>
      <c r="I617">
        <v>5</v>
      </c>
      <c r="J617" t="s">
        <v>74</v>
      </c>
      <c r="K617" t="s">
        <v>77</v>
      </c>
      <c r="L617">
        <v>121.76</v>
      </c>
      <c r="M617">
        <v>6.088000000000001</v>
      </c>
      <c r="N617">
        <v>115.672</v>
      </c>
    </row>
    <row r="618" spans="1:14" x14ac:dyDescent="0.3">
      <c r="A618">
        <v>100617</v>
      </c>
      <c r="B618" s="2">
        <v>45317.666666666657</v>
      </c>
      <c r="C618" t="s">
        <v>14</v>
      </c>
      <c r="D618" t="s">
        <v>65</v>
      </c>
      <c r="E618" t="s">
        <v>70</v>
      </c>
      <c r="F618" t="s">
        <v>71</v>
      </c>
      <c r="G618">
        <v>4</v>
      </c>
      <c r="H618">
        <v>48.81</v>
      </c>
      <c r="I618">
        <v>0</v>
      </c>
      <c r="J618" t="s">
        <v>75</v>
      </c>
      <c r="K618" t="s">
        <v>79</v>
      </c>
      <c r="L618">
        <v>195.24</v>
      </c>
      <c r="M618">
        <v>0</v>
      </c>
      <c r="N618">
        <v>195.24</v>
      </c>
    </row>
    <row r="619" spans="1:14" x14ac:dyDescent="0.3">
      <c r="A619">
        <v>100618</v>
      </c>
      <c r="B619" s="2">
        <v>45317.708333333343</v>
      </c>
      <c r="C619" t="s">
        <v>15</v>
      </c>
      <c r="D619" t="s">
        <v>32</v>
      </c>
      <c r="E619" t="s">
        <v>67</v>
      </c>
      <c r="F619" t="s">
        <v>72</v>
      </c>
      <c r="G619">
        <v>4</v>
      </c>
      <c r="H619">
        <v>97.97</v>
      </c>
      <c r="I619">
        <v>15</v>
      </c>
      <c r="J619" t="s">
        <v>74</v>
      </c>
      <c r="K619" t="s">
        <v>77</v>
      </c>
      <c r="L619">
        <v>391.88</v>
      </c>
      <c r="M619">
        <v>58.781999999999996</v>
      </c>
      <c r="N619">
        <v>333.09800000000001</v>
      </c>
    </row>
    <row r="620" spans="1:14" x14ac:dyDescent="0.3">
      <c r="A620">
        <v>100619</v>
      </c>
      <c r="B620" s="2">
        <v>45317.75</v>
      </c>
      <c r="C620" t="s">
        <v>14</v>
      </c>
      <c r="D620" t="s">
        <v>65</v>
      </c>
      <c r="E620" t="s">
        <v>69</v>
      </c>
      <c r="F620" t="s">
        <v>72</v>
      </c>
      <c r="G620">
        <v>3</v>
      </c>
      <c r="H620">
        <v>99.72</v>
      </c>
      <c r="I620">
        <v>5</v>
      </c>
      <c r="J620" t="s">
        <v>75</v>
      </c>
      <c r="K620" t="s">
        <v>77</v>
      </c>
      <c r="L620">
        <v>299.16000000000003</v>
      </c>
      <c r="M620">
        <v>14.958</v>
      </c>
      <c r="N620">
        <v>284.202</v>
      </c>
    </row>
    <row r="621" spans="1:14" x14ac:dyDescent="0.3">
      <c r="A621">
        <v>100620</v>
      </c>
      <c r="B621" s="2">
        <v>45317.791666666657</v>
      </c>
      <c r="C621" t="s">
        <v>14</v>
      </c>
      <c r="D621" t="s">
        <v>18</v>
      </c>
      <c r="E621" t="s">
        <v>67</v>
      </c>
      <c r="F621" t="s">
        <v>71</v>
      </c>
      <c r="G621">
        <v>4</v>
      </c>
      <c r="H621">
        <v>49.23</v>
      </c>
      <c r="I621">
        <v>0</v>
      </c>
      <c r="J621" t="s">
        <v>75</v>
      </c>
      <c r="K621" t="s">
        <v>77</v>
      </c>
      <c r="L621">
        <v>196.92</v>
      </c>
      <c r="M621">
        <v>0</v>
      </c>
      <c r="N621">
        <v>196.92</v>
      </c>
    </row>
    <row r="622" spans="1:14" x14ac:dyDescent="0.3">
      <c r="A622">
        <v>100621</v>
      </c>
      <c r="B622" s="2">
        <v>45317.833333333343</v>
      </c>
      <c r="C622" t="s">
        <v>15</v>
      </c>
      <c r="D622" t="s">
        <v>49</v>
      </c>
      <c r="E622" t="s">
        <v>69</v>
      </c>
      <c r="F622" t="s">
        <v>71</v>
      </c>
      <c r="G622">
        <v>1</v>
      </c>
      <c r="H622">
        <v>57.8</v>
      </c>
      <c r="I622">
        <v>10</v>
      </c>
      <c r="J622" t="s">
        <v>76</v>
      </c>
      <c r="K622" t="s">
        <v>77</v>
      </c>
      <c r="L622">
        <v>57.8</v>
      </c>
      <c r="M622">
        <v>5.78</v>
      </c>
      <c r="N622">
        <v>52.02</v>
      </c>
    </row>
    <row r="623" spans="1:14" x14ac:dyDescent="0.3">
      <c r="A623">
        <v>100622</v>
      </c>
      <c r="B623" s="2">
        <v>45317.875</v>
      </c>
      <c r="C623" t="s">
        <v>15</v>
      </c>
      <c r="D623" t="s">
        <v>40</v>
      </c>
      <c r="E623" t="s">
        <v>69</v>
      </c>
      <c r="F623" t="s">
        <v>72</v>
      </c>
      <c r="G623">
        <v>5</v>
      </c>
      <c r="H623">
        <v>39.880000000000003</v>
      </c>
      <c r="I623">
        <v>10</v>
      </c>
      <c r="J623" t="s">
        <v>75</v>
      </c>
      <c r="K623" t="s">
        <v>77</v>
      </c>
      <c r="L623">
        <v>199.4</v>
      </c>
      <c r="M623">
        <v>19.940000000000001</v>
      </c>
      <c r="N623">
        <v>179.46</v>
      </c>
    </row>
    <row r="624" spans="1:14" x14ac:dyDescent="0.3">
      <c r="A624">
        <v>100623</v>
      </c>
      <c r="B624" s="2">
        <v>45317.916666666657</v>
      </c>
      <c r="C624" t="s">
        <v>14</v>
      </c>
      <c r="D624" t="s">
        <v>51</v>
      </c>
      <c r="E624" t="s">
        <v>68</v>
      </c>
      <c r="F624" t="s">
        <v>71</v>
      </c>
      <c r="G624">
        <v>5</v>
      </c>
      <c r="H624">
        <v>112.24</v>
      </c>
      <c r="I624">
        <v>10</v>
      </c>
      <c r="J624" t="s">
        <v>76</v>
      </c>
      <c r="K624" t="s">
        <v>78</v>
      </c>
      <c r="L624">
        <v>561.19999999999993</v>
      </c>
      <c r="M624">
        <v>56.12</v>
      </c>
      <c r="N624">
        <v>505.07999999999993</v>
      </c>
    </row>
    <row r="625" spans="1:14" x14ac:dyDescent="0.3">
      <c r="A625">
        <v>100624</v>
      </c>
      <c r="B625" s="2">
        <v>45317.958333333343</v>
      </c>
      <c r="C625" t="s">
        <v>15</v>
      </c>
      <c r="D625" t="s">
        <v>22</v>
      </c>
      <c r="E625" t="s">
        <v>66</v>
      </c>
      <c r="F625" t="s">
        <v>71</v>
      </c>
      <c r="G625">
        <v>2</v>
      </c>
      <c r="H625">
        <v>18.64</v>
      </c>
      <c r="I625">
        <v>0</v>
      </c>
      <c r="J625" t="s">
        <v>74</v>
      </c>
      <c r="K625" t="s">
        <v>77</v>
      </c>
      <c r="L625">
        <v>37.28</v>
      </c>
      <c r="M625">
        <v>0</v>
      </c>
      <c r="N625">
        <v>37.28</v>
      </c>
    </row>
    <row r="626" spans="1:14" x14ac:dyDescent="0.3">
      <c r="A626">
        <v>100625</v>
      </c>
      <c r="B626" s="2">
        <v>45318</v>
      </c>
      <c r="C626" t="s">
        <v>14</v>
      </c>
      <c r="D626" t="s">
        <v>51</v>
      </c>
      <c r="E626" t="s">
        <v>69</v>
      </c>
      <c r="F626" t="s">
        <v>71</v>
      </c>
      <c r="G626">
        <v>2</v>
      </c>
      <c r="H626">
        <v>112.38</v>
      </c>
      <c r="I626">
        <v>15</v>
      </c>
      <c r="J626" t="s">
        <v>75</v>
      </c>
      <c r="K626" t="s">
        <v>77</v>
      </c>
      <c r="L626">
        <v>224.76</v>
      </c>
      <c r="M626">
        <v>33.713999999999999</v>
      </c>
      <c r="N626">
        <v>191.04599999999999</v>
      </c>
    </row>
    <row r="627" spans="1:14" x14ac:dyDescent="0.3">
      <c r="A627">
        <v>100626</v>
      </c>
      <c r="B627" s="2">
        <v>45318.041666666657</v>
      </c>
      <c r="C627" t="s">
        <v>15</v>
      </c>
      <c r="D627" t="s">
        <v>64</v>
      </c>
      <c r="E627" t="s">
        <v>68</v>
      </c>
      <c r="F627" t="s">
        <v>71</v>
      </c>
      <c r="G627">
        <v>5</v>
      </c>
      <c r="H627">
        <v>83.64</v>
      </c>
      <c r="I627">
        <v>5</v>
      </c>
      <c r="J627" t="s">
        <v>75</v>
      </c>
      <c r="K627" t="s">
        <v>77</v>
      </c>
      <c r="L627">
        <v>418.2</v>
      </c>
      <c r="M627">
        <v>20.91</v>
      </c>
      <c r="N627">
        <v>397.29</v>
      </c>
    </row>
    <row r="628" spans="1:14" x14ac:dyDescent="0.3">
      <c r="A628">
        <v>100627</v>
      </c>
      <c r="B628" s="2">
        <v>45318.083333333343</v>
      </c>
      <c r="C628" t="s">
        <v>14</v>
      </c>
      <c r="D628" t="s">
        <v>23</v>
      </c>
      <c r="E628" t="s">
        <v>66</v>
      </c>
      <c r="F628" t="s">
        <v>71</v>
      </c>
      <c r="G628">
        <v>1</v>
      </c>
      <c r="H628">
        <v>66.13</v>
      </c>
      <c r="I628">
        <v>10</v>
      </c>
      <c r="J628" t="s">
        <v>73</v>
      </c>
      <c r="K628" t="s">
        <v>77</v>
      </c>
      <c r="L628">
        <v>66.13</v>
      </c>
      <c r="M628">
        <v>6.6130000000000004</v>
      </c>
      <c r="N628">
        <v>59.517000000000003</v>
      </c>
    </row>
    <row r="629" spans="1:14" x14ac:dyDescent="0.3">
      <c r="A629">
        <v>100628</v>
      </c>
      <c r="B629" s="2">
        <v>45318.125</v>
      </c>
      <c r="C629" t="s">
        <v>15</v>
      </c>
      <c r="D629" t="s">
        <v>27</v>
      </c>
      <c r="E629" t="s">
        <v>69</v>
      </c>
      <c r="F629" t="s">
        <v>71</v>
      </c>
      <c r="G629">
        <v>3</v>
      </c>
      <c r="H629">
        <v>8.76</v>
      </c>
      <c r="I629">
        <v>0</v>
      </c>
      <c r="J629" t="s">
        <v>75</v>
      </c>
      <c r="K629" t="s">
        <v>77</v>
      </c>
      <c r="L629">
        <v>26.28</v>
      </c>
      <c r="M629">
        <v>0</v>
      </c>
      <c r="N629">
        <v>26.28</v>
      </c>
    </row>
    <row r="630" spans="1:14" x14ac:dyDescent="0.3">
      <c r="A630">
        <v>100629</v>
      </c>
      <c r="B630" s="2">
        <v>45318.166666666657</v>
      </c>
      <c r="C630" t="s">
        <v>14</v>
      </c>
      <c r="D630" t="s">
        <v>31</v>
      </c>
      <c r="E630" t="s">
        <v>69</v>
      </c>
      <c r="F630" t="s">
        <v>72</v>
      </c>
      <c r="G630">
        <v>3</v>
      </c>
      <c r="H630">
        <v>59.69</v>
      </c>
      <c r="I630">
        <v>0</v>
      </c>
      <c r="J630" t="s">
        <v>75</v>
      </c>
      <c r="K630" t="s">
        <v>77</v>
      </c>
      <c r="L630">
        <v>179.07</v>
      </c>
      <c r="M630">
        <v>0</v>
      </c>
      <c r="N630">
        <v>179.07</v>
      </c>
    </row>
    <row r="631" spans="1:14" x14ac:dyDescent="0.3">
      <c r="A631">
        <v>100630</v>
      </c>
      <c r="B631" s="2">
        <v>45318.208333333343</v>
      </c>
      <c r="C631" t="s">
        <v>14</v>
      </c>
      <c r="D631" t="s">
        <v>36</v>
      </c>
      <c r="E631" t="s">
        <v>67</v>
      </c>
      <c r="F631" t="s">
        <v>71</v>
      </c>
      <c r="G631">
        <v>1</v>
      </c>
      <c r="H631">
        <v>51.89</v>
      </c>
      <c r="I631">
        <v>5</v>
      </c>
      <c r="J631" t="s">
        <v>73</v>
      </c>
      <c r="K631" t="s">
        <v>77</v>
      </c>
      <c r="L631">
        <v>51.89</v>
      </c>
      <c r="M631">
        <v>2.5945</v>
      </c>
      <c r="N631">
        <v>49.295499999999997</v>
      </c>
    </row>
    <row r="632" spans="1:14" x14ac:dyDescent="0.3">
      <c r="A632">
        <v>100631</v>
      </c>
      <c r="B632" s="2">
        <v>45318.25</v>
      </c>
      <c r="C632" t="s">
        <v>14</v>
      </c>
      <c r="D632" t="s">
        <v>29</v>
      </c>
      <c r="E632" t="s">
        <v>67</v>
      </c>
      <c r="F632" t="s">
        <v>71</v>
      </c>
      <c r="G632">
        <v>3</v>
      </c>
      <c r="H632">
        <v>23.54</v>
      </c>
      <c r="I632">
        <v>10</v>
      </c>
      <c r="J632" t="s">
        <v>73</v>
      </c>
      <c r="K632" t="s">
        <v>78</v>
      </c>
      <c r="L632">
        <v>70.62</v>
      </c>
      <c r="M632">
        <v>7.0620000000000012</v>
      </c>
      <c r="N632">
        <v>63.558000000000007</v>
      </c>
    </row>
    <row r="633" spans="1:14" x14ac:dyDescent="0.3">
      <c r="A633">
        <v>100632</v>
      </c>
      <c r="B633" s="2">
        <v>45318.291666666657</v>
      </c>
      <c r="C633" t="s">
        <v>15</v>
      </c>
      <c r="D633" t="s">
        <v>28</v>
      </c>
      <c r="E633" t="s">
        <v>66</v>
      </c>
      <c r="F633" t="s">
        <v>72</v>
      </c>
      <c r="G633">
        <v>4</v>
      </c>
      <c r="H633">
        <v>80.489999999999995</v>
      </c>
      <c r="I633">
        <v>0</v>
      </c>
      <c r="J633" t="s">
        <v>74</v>
      </c>
      <c r="K633" t="s">
        <v>77</v>
      </c>
      <c r="L633">
        <v>321.95999999999998</v>
      </c>
      <c r="M633">
        <v>0</v>
      </c>
      <c r="N633">
        <v>321.95999999999998</v>
      </c>
    </row>
    <row r="634" spans="1:14" x14ac:dyDescent="0.3">
      <c r="A634">
        <v>100633</v>
      </c>
      <c r="B634" s="2">
        <v>45318.333333333343</v>
      </c>
      <c r="C634" t="s">
        <v>14</v>
      </c>
      <c r="D634" t="s">
        <v>19</v>
      </c>
      <c r="E634" t="s">
        <v>69</v>
      </c>
      <c r="F634" t="s">
        <v>72</v>
      </c>
      <c r="G634">
        <v>5</v>
      </c>
      <c r="H634">
        <v>116.68</v>
      </c>
      <c r="I634">
        <v>5</v>
      </c>
      <c r="J634" t="s">
        <v>75</v>
      </c>
      <c r="K634" t="s">
        <v>77</v>
      </c>
      <c r="L634">
        <v>583.40000000000009</v>
      </c>
      <c r="M634">
        <v>29.170000000000009</v>
      </c>
      <c r="N634">
        <v>554.23000000000013</v>
      </c>
    </row>
    <row r="635" spans="1:14" x14ac:dyDescent="0.3">
      <c r="A635">
        <v>100634</v>
      </c>
      <c r="B635" s="2">
        <v>45318.375</v>
      </c>
      <c r="C635" t="s">
        <v>14</v>
      </c>
      <c r="D635" t="s">
        <v>39</v>
      </c>
      <c r="E635" t="s">
        <v>70</v>
      </c>
      <c r="F635" t="s">
        <v>72</v>
      </c>
      <c r="G635">
        <v>5</v>
      </c>
      <c r="H635">
        <v>69.650000000000006</v>
      </c>
      <c r="I635">
        <v>15</v>
      </c>
      <c r="J635" t="s">
        <v>74</v>
      </c>
      <c r="K635" t="s">
        <v>77</v>
      </c>
      <c r="L635">
        <v>348.25</v>
      </c>
      <c r="M635">
        <v>52.237499999999997</v>
      </c>
      <c r="N635">
        <v>296.01249999999999</v>
      </c>
    </row>
    <row r="636" spans="1:14" x14ac:dyDescent="0.3">
      <c r="A636">
        <v>100635</v>
      </c>
      <c r="B636" s="2">
        <v>45318.416666666657</v>
      </c>
      <c r="C636" t="s">
        <v>15</v>
      </c>
      <c r="D636" t="s">
        <v>61</v>
      </c>
      <c r="E636" t="s">
        <v>67</v>
      </c>
      <c r="F636" t="s">
        <v>71</v>
      </c>
      <c r="G636">
        <v>1</v>
      </c>
      <c r="H636">
        <v>87.2</v>
      </c>
      <c r="I636">
        <v>15</v>
      </c>
      <c r="J636" t="s">
        <v>74</v>
      </c>
      <c r="K636" t="s">
        <v>77</v>
      </c>
      <c r="L636">
        <v>87.2</v>
      </c>
      <c r="M636">
        <v>13.08</v>
      </c>
      <c r="N636">
        <v>74.12</v>
      </c>
    </row>
    <row r="637" spans="1:14" x14ac:dyDescent="0.3">
      <c r="A637">
        <v>100636</v>
      </c>
      <c r="B637" s="2">
        <v>45318.458333333343</v>
      </c>
      <c r="C637" t="s">
        <v>15</v>
      </c>
      <c r="D637" t="s">
        <v>31</v>
      </c>
      <c r="E637" t="s">
        <v>66</v>
      </c>
      <c r="F637" t="s">
        <v>72</v>
      </c>
      <c r="G637">
        <v>3</v>
      </c>
      <c r="H637">
        <v>12.87</v>
      </c>
      <c r="I637">
        <v>15</v>
      </c>
      <c r="J637" t="s">
        <v>73</v>
      </c>
      <c r="K637" t="s">
        <v>77</v>
      </c>
      <c r="L637">
        <v>38.61</v>
      </c>
      <c r="M637">
        <v>5.7915000000000001</v>
      </c>
      <c r="N637">
        <v>32.8185</v>
      </c>
    </row>
    <row r="638" spans="1:14" x14ac:dyDescent="0.3">
      <c r="A638">
        <v>100637</v>
      </c>
      <c r="B638" s="2">
        <v>45318.5</v>
      </c>
      <c r="C638" t="s">
        <v>14</v>
      </c>
      <c r="D638" t="s">
        <v>48</v>
      </c>
      <c r="E638" t="s">
        <v>69</v>
      </c>
      <c r="F638" t="s">
        <v>71</v>
      </c>
      <c r="G638">
        <v>2</v>
      </c>
      <c r="H638">
        <v>53.03</v>
      </c>
      <c r="I638">
        <v>10</v>
      </c>
      <c r="J638" t="s">
        <v>76</v>
      </c>
      <c r="K638" t="s">
        <v>77</v>
      </c>
      <c r="L638">
        <v>106.06</v>
      </c>
      <c r="M638">
        <v>10.606</v>
      </c>
      <c r="N638">
        <v>95.454000000000008</v>
      </c>
    </row>
    <row r="639" spans="1:14" x14ac:dyDescent="0.3">
      <c r="A639">
        <v>100638</v>
      </c>
      <c r="B639" s="2">
        <v>45318.541666666657</v>
      </c>
      <c r="C639" t="s">
        <v>14</v>
      </c>
      <c r="D639" t="s">
        <v>49</v>
      </c>
      <c r="E639" t="s">
        <v>69</v>
      </c>
      <c r="F639" t="s">
        <v>71</v>
      </c>
      <c r="G639">
        <v>2</v>
      </c>
      <c r="H639">
        <v>18.38</v>
      </c>
      <c r="I639">
        <v>5</v>
      </c>
      <c r="J639" t="s">
        <v>74</v>
      </c>
      <c r="K639" t="s">
        <v>79</v>
      </c>
      <c r="L639">
        <v>36.76</v>
      </c>
      <c r="M639">
        <v>1.8380000000000001</v>
      </c>
      <c r="N639">
        <v>34.921999999999997</v>
      </c>
    </row>
    <row r="640" spans="1:14" x14ac:dyDescent="0.3">
      <c r="A640">
        <v>100639</v>
      </c>
      <c r="B640" s="2">
        <v>45318.583333333343</v>
      </c>
      <c r="C640" t="s">
        <v>15</v>
      </c>
      <c r="D640" t="s">
        <v>57</v>
      </c>
      <c r="E640" t="s">
        <v>70</v>
      </c>
      <c r="F640" t="s">
        <v>71</v>
      </c>
      <c r="G640">
        <v>3</v>
      </c>
      <c r="H640">
        <v>75.47</v>
      </c>
      <c r="I640">
        <v>5</v>
      </c>
      <c r="J640" t="s">
        <v>76</v>
      </c>
      <c r="K640" t="s">
        <v>78</v>
      </c>
      <c r="L640">
        <v>226.41</v>
      </c>
      <c r="M640">
        <v>11.320499999999999</v>
      </c>
      <c r="N640">
        <v>215.08949999999999</v>
      </c>
    </row>
    <row r="641" spans="1:14" x14ac:dyDescent="0.3">
      <c r="A641">
        <v>100640</v>
      </c>
      <c r="B641" s="2">
        <v>45318.625</v>
      </c>
      <c r="C641" t="s">
        <v>15</v>
      </c>
      <c r="D641" t="s">
        <v>19</v>
      </c>
      <c r="E641" t="s">
        <v>66</v>
      </c>
      <c r="F641" t="s">
        <v>72</v>
      </c>
      <c r="G641">
        <v>2</v>
      </c>
      <c r="H641">
        <v>112.93</v>
      </c>
      <c r="I641">
        <v>0</v>
      </c>
      <c r="J641" t="s">
        <v>75</v>
      </c>
      <c r="K641" t="s">
        <v>78</v>
      </c>
      <c r="L641">
        <v>225.86</v>
      </c>
      <c r="M641">
        <v>0</v>
      </c>
      <c r="N641">
        <v>225.86</v>
      </c>
    </row>
    <row r="642" spans="1:14" x14ac:dyDescent="0.3">
      <c r="A642">
        <v>100641</v>
      </c>
      <c r="B642" s="2">
        <v>45318.666666666657</v>
      </c>
      <c r="C642" t="s">
        <v>15</v>
      </c>
      <c r="D642" t="s">
        <v>28</v>
      </c>
      <c r="E642" t="s">
        <v>69</v>
      </c>
      <c r="F642" t="s">
        <v>72</v>
      </c>
      <c r="G642">
        <v>1</v>
      </c>
      <c r="H642">
        <v>81.099999999999994</v>
      </c>
      <c r="I642">
        <v>0</v>
      </c>
      <c r="J642" t="s">
        <v>73</v>
      </c>
      <c r="K642" t="s">
        <v>77</v>
      </c>
      <c r="L642">
        <v>81.099999999999994</v>
      </c>
      <c r="M642">
        <v>0</v>
      </c>
      <c r="N642">
        <v>81.099999999999994</v>
      </c>
    </row>
    <row r="643" spans="1:14" x14ac:dyDescent="0.3">
      <c r="A643">
        <v>100642</v>
      </c>
      <c r="B643" s="2">
        <v>45318.708333333343</v>
      </c>
      <c r="C643" t="s">
        <v>15</v>
      </c>
      <c r="D643" t="s">
        <v>50</v>
      </c>
      <c r="E643" t="s">
        <v>67</v>
      </c>
      <c r="F643" t="s">
        <v>72</v>
      </c>
      <c r="G643">
        <v>1</v>
      </c>
      <c r="H643">
        <v>13.83</v>
      </c>
      <c r="I643">
        <v>0</v>
      </c>
      <c r="J643" t="s">
        <v>75</v>
      </c>
      <c r="K643" t="s">
        <v>77</v>
      </c>
      <c r="L643">
        <v>13.83</v>
      </c>
      <c r="M643">
        <v>0</v>
      </c>
      <c r="N643">
        <v>13.83</v>
      </c>
    </row>
    <row r="644" spans="1:14" x14ac:dyDescent="0.3">
      <c r="A644">
        <v>100643</v>
      </c>
      <c r="B644" s="2">
        <v>45318.75</v>
      </c>
      <c r="C644" t="s">
        <v>15</v>
      </c>
      <c r="D644" t="s">
        <v>47</v>
      </c>
      <c r="E644" t="s">
        <v>70</v>
      </c>
      <c r="F644" t="s">
        <v>72</v>
      </c>
      <c r="G644">
        <v>3</v>
      </c>
      <c r="H644">
        <v>45.79</v>
      </c>
      <c r="I644">
        <v>5</v>
      </c>
      <c r="J644" t="s">
        <v>75</v>
      </c>
      <c r="K644" t="s">
        <v>77</v>
      </c>
      <c r="L644">
        <v>137.37</v>
      </c>
      <c r="M644">
        <v>6.8685000000000009</v>
      </c>
      <c r="N644">
        <v>130.50149999999999</v>
      </c>
    </row>
    <row r="645" spans="1:14" x14ac:dyDescent="0.3">
      <c r="A645">
        <v>100644</v>
      </c>
      <c r="B645" s="2">
        <v>45318.791666666657</v>
      </c>
      <c r="C645" t="s">
        <v>14</v>
      </c>
      <c r="D645" t="s">
        <v>33</v>
      </c>
      <c r="E645" t="s">
        <v>66</v>
      </c>
      <c r="F645" t="s">
        <v>72</v>
      </c>
      <c r="G645">
        <v>2</v>
      </c>
      <c r="H645">
        <v>68.33</v>
      </c>
      <c r="I645">
        <v>0</v>
      </c>
      <c r="J645" t="s">
        <v>73</v>
      </c>
      <c r="K645" t="s">
        <v>77</v>
      </c>
      <c r="L645">
        <v>136.66</v>
      </c>
      <c r="M645">
        <v>0</v>
      </c>
      <c r="N645">
        <v>136.66</v>
      </c>
    </row>
    <row r="646" spans="1:14" x14ac:dyDescent="0.3">
      <c r="A646">
        <v>100645</v>
      </c>
      <c r="B646" s="2">
        <v>45318.833333333343</v>
      </c>
      <c r="C646" t="s">
        <v>15</v>
      </c>
      <c r="D646" t="s">
        <v>17</v>
      </c>
      <c r="E646" t="s">
        <v>70</v>
      </c>
      <c r="F646" t="s">
        <v>71</v>
      </c>
      <c r="G646">
        <v>1</v>
      </c>
      <c r="H646">
        <v>51.37</v>
      </c>
      <c r="I646">
        <v>5</v>
      </c>
      <c r="J646" t="s">
        <v>75</v>
      </c>
      <c r="K646" t="s">
        <v>77</v>
      </c>
      <c r="L646">
        <v>51.37</v>
      </c>
      <c r="M646">
        <v>2.5684999999999998</v>
      </c>
      <c r="N646">
        <v>48.801499999999997</v>
      </c>
    </row>
    <row r="647" spans="1:14" x14ac:dyDescent="0.3">
      <c r="A647">
        <v>100646</v>
      </c>
      <c r="B647" s="2">
        <v>45318.875</v>
      </c>
      <c r="C647" t="s">
        <v>14</v>
      </c>
      <c r="D647" t="s">
        <v>44</v>
      </c>
      <c r="E647" t="s">
        <v>67</v>
      </c>
      <c r="F647" t="s">
        <v>71</v>
      </c>
      <c r="G647">
        <v>1</v>
      </c>
      <c r="H647">
        <v>100.87</v>
      </c>
      <c r="I647">
        <v>5</v>
      </c>
      <c r="J647" t="s">
        <v>73</v>
      </c>
      <c r="K647" t="s">
        <v>77</v>
      </c>
      <c r="L647">
        <v>100.87</v>
      </c>
      <c r="M647">
        <v>5.0435000000000008</v>
      </c>
      <c r="N647">
        <v>95.82650000000001</v>
      </c>
    </row>
    <row r="648" spans="1:14" x14ac:dyDescent="0.3">
      <c r="A648">
        <v>100647</v>
      </c>
      <c r="B648" s="2">
        <v>45318.916666666657</v>
      </c>
      <c r="C648" t="s">
        <v>14</v>
      </c>
      <c r="D648" t="s">
        <v>58</v>
      </c>
      <c r="E648" t="s">
        <v>66</v>
      </c>
      <c r="F648" t="s">
        <v>71</v>
      </c>
      <c r="G648">
        <v>4</v>
      </c>
      <c r="H648">
        <v>98.69</v>
      </c>
      <c r="I648">
        <v>15</v>
      </c>
      <c r="J648" t="s">
        <v>76</v>
      </c>
      <c r="K648" t="s">
        <v>77</v>
      </c>
      <c r="L648">
        <v>394.76</v>
      </c>
      <c r="M648">
        <v>59.213999999999999</v>
      </c>
      <c r="N648">
        <v>335.54599999999999</v>
      </c>
    </row>
    <row r="649" spans="1:14" x14ac:dyDescent="0.3">
      <c r="A649">
        <v>100648</v>
      </c>
      <c r="B649" s="2">
        <v>45318.958333333343</v>
      </c>
      <c r="C649" t="s">
        <v>14</v>
      </c>
      <c r="D649" t="s">
        <v>25</v>
      </c>
      <c r="E649" t="s">
        <v>70</v>
      </c>
      <c r="F649" t="s">
        <v>71</v>
      </c>
      <c r="G649">
        <v>4</v>
      </c>
      <c r="H649">
        <v>75.36</v>
      </c>
      <c r="I649">
        <v>0</v>
      </c>
      <c r="J649" t="s">
        <v>75</v>
      </c>
      <c r="K649" t="s">
        <v>77</v>
      </c>
      <c r="L649">
        <v>301.44</v>
      </c>
      <c r="M649">
        <v>0</v>
      </c>
      <c r="N649">
        <v>301.44</v>
      </c>
    </row>
    <row r="650" spans="1:14" x14ac:dyDescent="0.3">
      <c r="A650">
        <v>100649</v>
      </c>
      <c r="B650" s="2">
        <v>45319</v>
      </c>
      <c r="C650" t="s">
        <v>15</v>
      </c>
      <c r="D650" t="s">
        <v>42</v>
      </c>
      <c r="E650" t="s">
        <v>68</v>
      </c>
      <c r="F650" t="s">
        <v>72</v>
      </c>
      <c r="G650">
        <v>1</v>
      </c>
      <c r="H650">
        <v>47.95</v>
      </c>
      <c r="I650">
        <v>15</v>
      </c>
      <c r="J650" t="s">
        <v>73</v>
      </c>
      <c r="K650" t="s">
        <v>77</v>
      </c>
      <c r="L650">
        <v>47.95</v>
      </c>
      <c r="M650">
        <v>7.1924999999999999</v>
      </c>
      <c r="N650">
        <v>40.7575</v>
      </c>
    </row>
    <row r="651" spans="1:14" x14ac:dyDescent="0.3">
      <c r="A651">
        <v>100650</v>
      </c>
      <c r="B651" s="2">
        <v>45319.041666666657</v>
      </c>
      <c r="C651" t="s">
        <v>14</v>
      </c>
      <c r="D651" t="s">
        <v>58</v>
      </c>
      <c r="E651" t="s">
        <v>67</v>
      </c>
      <c r="F651" t="s">
        <v>72</v>
      </c>
      <c r="G651">
        <v>3</v>
      </c>
      <c r="H651">
        <v>34.36</v>
      </c>
      <c r="I651">
        <v>10</v>
      </c>
      <c r="J651" t="s">
        <v>74</v>
      </c>
      <c r="K651" t="s">
        <v>77</v>
      </c>
      <c r="L651">
        <v>103.08</v>
      </c>
      <c r="M651">
        <v>10.308</v>
      </c>
      <c r="N651">
        <v>92.771999999999991</v>
      </c>
    </row>
    <row r="652" spans="1:14" x14ac:dyDescent="0.3">
      <c r="A652">
        <v>100651</v>
      </c>
      <c r="B652" s="2">
        <v>45319.083333333343</v>
      </c>
      <c r="C652" t="s">
        <v>14</v>
      </c>
      <c r="D652" t="s">
        <v>60</v>
      </c>
      <c r="E652" t="s">
        <v>67</v>
      </c>
      <c r="F652" t="s">
        <v>71</v>
      </c>
      <c r="G652">
        <v>5</v>
      </c>
      <c r="H652">
        <v>17.18</v>
      </c>
      <c r="I652">
        <v>10</v>
      </c>
      <c r="J652" t="s">
        <v>75</v>
      </c>
      <c r="K652" t="s">
        <v>77</v>
      </c>
      <c r="L652">
        <v>85.9</v>
      </c>
      <c r="M652">
        <v>8.5900000000000016</v>
      </c>
      <c r="N652">
        <v>77.31</v>
      </c>
    </row>
    <row r="653" spans="1:14" x14ac:dyDescent="0.3">
      <c r="A653">
        <v>100652</v>
      </c>
      <c r="B653" s="2">
        <v>45319.125</v>
      </c>
      <c r="C653" t="s">
        <v>15</v>
      </c>
      <c r="D653" t="s">
        <v>16</v>
      </c>
      <c r="E653" t="s">
        <v>67</v>
      </c>
      <c r="F653" t="s">
        <v>72</v>
      </c>
      <c r="G653">
        <v>5</v>
      </c>
      <c r="H653">
        <v>45.81</v>
      </c>
      <c r="I653">
        <v>10</v>
      </c>
      <c r="J653" t="s">
        <v>76</v>
      </c>
      <c r="K653" t="s">
        <v>77</v>
      </c>
      <c r="L653">
        <v>229.05</v>
      </c>
      <c r="M653">
        <v>22.905000000000001</v>
      </c>
      <c r="N653">
        <v>206.14500000000001</v>
      </c>
    </row>
    <row r="654" spans="1:14" x14ac:dyDescent="0.3">
      <c r="A654">
        <v>100653</v>
      </c>
      <c r="B654" s="2">
        <v>45319.166666666657</v>
      </c>
      <c r="C654" t="s">
        <v>14</v>
      </c>
      <c r="D654" t="s">
        <v>32</v>
      </c>
      <c r="E654" t="s">
        <v>68</v>
      </c>
      <c r="F654" t="s">
        <v>72</v>
      </c>
      <c r="G654">
        <v>1</v>
      </c>
      <c r="H654">
        <v>52.51</v>
      </c>
      <c r="I654">
        <v>5</v>
      </c>
      <c r="J654" t="s">
        <v>73</v>
      </c>
      <c r="K654" t="s">
        <v>77</v>
      </c>
      <c r="L654">
        <v>52.51</v>
      </c>
      <c r="M654">
        <v>2.6255000000000002</v>
      </c>
      <c r="N654">
        <v>49.884500000000003</v>
      </c>
    </row>
    <row r="655" spans="1:14" x14ac:dyDescent="0.3">
      <c r="A655">
        <v>100654</v>
      </c>
      <c r="B655" s="2">
        <v>45319.208333333343</v>
      </c>
      <c r="C655" t="s">
        <v>14</v>
      </c>
      <c r="D655" t="s">
        <v>33</v>
      </c>
      <c r="E655" t="s">
        <v>68</v>
      </c>
      <c r="F655" t="s">
        <v>71</v>
      </c>
      <c r="G655">
        <v>1</v>
      </c>
      <c r="H655">
        <v>82.72</v>
      </c>
      <c r="I655">
        <v>5</v>
      </c>
      <c r="J655" t="s">
        <v>75</v>
      </c>
      <c r="K655" t="s">
        <v>77</v>
      </c>
      <c r="L655">
        <v>82.72</v>
      </c>
      <c r="M655">
        <v>4.1360000000000001</v>
      </c>
      <c r="N655">
        <v>78.584000000000003</v>
      </c>
    </row>
    <row r="656" spans="1:14" x14ac:dyDescent="0.3">
      <c r="A656">
        <v>100655</v>
      </c>
      <c r="B656" s="2">
        <v>45319.25</v>
      </c>
      <c r="C656" t="s">
        <v>15</v>
      </c>
      <c r="D656" t="s">
        <v>24</v>
      </c>
      <c r="E656" t="s">
        <v>69</v>
      </c>
      <c r="F656" t="s">
        <v>71</v>
      </c>
      <c r="G656">
        <v>1</v>
      </c>
      <c r="H656">
        <v>80.69</v>
      </c>
      <c r="I656">
        <v>5</v>
      </c>
      <c r="J656" t="s">
        <v>75</v>
      </c>
      <c r="K656" t="s">
        <v>77</v>
      </c>
      <c r="L656">
        <v>80.69</v>
      </c>
      <c r="M656">
        <v>4.0345000000000004</v>
      </c>
      <c r="N656">
        <v>76.655500000000004</v>
      </c>
    </row>
    <row r="657" spans="1:14" x14ac:dyDescent="0.3">
      <c r="A657">
        <v>100656</v>
      </c>
      <c r="B657" s="2">
        <v>45319.291666666657</v>
      </c>
      <c r="C657" t="s">
        <v>14</v>
      </c>
      <c r="D657" t="s">
        <v>49</v>
      </c>
      <c r="E657" t="s">
        <v>70</v>
      </c>
      <c r="F657" t="s">
        <v>72</v>
      </c>
      <c r="G657">
        <v>3</v>
      </c>
      <c r="H657">
        <v>13.06</v>
      </c>
      <c r="I657">
        <v>0</v>
      </c>
      <c r="J657" t="s">
        <v>75</v>
      </c>
      <c r="K657" t="s">
        <v>77</v>
      </c>
      <c r="L657">
        <v>39.18</v>
      </c>
      <c r="M657">
        <v>0</v>
      </c>
      <c r="N657">
        <v>39.18</v>
      </c>
    </row>
    <row r="658" spans="1:14" x14ac:dyDescent="0.3">
      <c r="A658">
        <v>100657</v>
      </c>
      <c r="B658" s="2">
        <v>45319.333333333343</v>
      </c>
      <c r="C658" t="s">
        <v>14</v>
      </c>
      <c r="D658" t="s">
        <v>37</v>
      </c>
      <c r="E658" t="s">
        <v>69</v>
      </c>
      <c r="F658" t="s">
        <v>72</v>
      </c>
      <c r="G658">
        <v>4</v>
      </c>
      <c r="H658">
        <v>50.45</v>
      </c>
      <c r="I658">
        <v>15</v>
      </c>
      <c r="J658" t="s">
        <v>76</v>
      </c>
      <c r="K658" t="s">
        <v>77</v>
      </c>
      <c r="L658">
        <v>201.8</v>
      </c>
      <c r="M658">
        <v>30.27</v>
      </c>
      <c r="N658">
        <v>171.53</v>
      </c>
    </row>
    <row r="659" spans="1:14" x14ac:dyDescent="0.3">
      <c r="A659">
        <v>100658</v>
      </c>
      <c r="B659" s="2">
        <v>45319.375</v>
      </c>
      <c r="C659" t="s">
        <v>14</v>
      </c>
      <c r="D659" t="s">
        <v>16</v>
      </c>
      <c r="E659" t="s">
        <v>70</v>
      </c>
      <c r="F659" t="s">
        <v>71</v>
      </c>
      <c r="G659">
        <v>1</v>
      </c>
      <c r="H659">
        <v>25.9</v>
      </c>
      <c r="I659">
        <v>5</v>
      </c>
      <c r="J659" t="s">
        <v>73</v>
      </c>
      <c r="K659" t="s">
        <v>77</v>
      </c>
      <c r="L659">
        <v>25.9</v>
      </c>
      <c r="M659">
        <v>1.2949999999999999</v>
      </c>
      <c r="N659">
        <v>24.605</v>
      </c>
    </row>
    <row r="660" spans="1:14" x14ac:dyDescent="0.3">
      <c r="A660">
        <v>100659</v>
      </c>
      <c r="B660" s="2">
        <v>45319.416666666657</v>
      </c>
      <c r="C660" t="s">
        <v>15</v>
      </c>
      <c r="D660" t="s">
        <v>34</v>
      </c>
      <c r="E660" t="s">
        <v>68</v>
      </c>
      <c r="F660" t="s">
        <v>71</v>
      </c>
      <c r="G660">
        <v>1</v>
      </c>
      <c r="H660">
        <v>23.03</v>
      </c>
      <c r="I660">
        <v>15</v>
      </c>
      <c r="J660" t="s">
        <v>74</v>
      </c>
      <c r="K660" t="s">
        <v>77</v>
      </c>
      <c r="L660">
        <v>23.03</v>
      </c>
      <c r="M660">
        <v>3.4544999999999999</v>
      </c>
      <c r="N660">
        <v>19.575500000000002</v>
      </c>
    </row>
    <row r="661" spans="1:14" x14ac:dyDescent="0.3">
      <c r="A661">
        <v>100660</v>
      </c>
      <c r="B661" s="2">
        <v>45319.458333333343</v>
      </c>
      <c r="C661" t="s">
        <v>15</v>
      </c>
      <c r="D661" t="s">
        <v>16</v>
      </c>
      <c r="E661" t="s">
        <v>68</v>
      </c>
      <c r="F661" t="s">
        <v>71</v>
      </c>
      <c r="G661">
        <v>2</v>
      </c>
      <c r="H661">
        <v>100.14</v>
      </c>
      <c r="I661">
        <v>15</v>
      </c>
      <c r="J661" t="s">
        <v>74</v>
      </c>
      <c r="K661" t="s">
        <v>77</v>
      </c>
      <c r="L661">
        <v>200.28</v>
      </c>
      <c r="M661">
        <v>30.042000000000002</v>
      </c>
      <c r="N661">
        <v>170.238</v>
      </c>
    </row>
    <row r="662" spans="1:14" x14ac:dyDescent="0.3">
      <c r="A662">
        <v>100661</v>
      </c>
      <c r="B662" s="2">
        <v>45319.5</v>
      </c>
      <c r="C662" t="s">
        <v>15</v>
      </c>
      <c r="D662" t="s">
        <v>52</v>
      </c>
      <c r="E662" t="s">
        <v>69</v>
      </c>
      <c r="F662" t="s">
        <v>72</v>
      </c>
      <c r="G662">
        <v>3</v>
      </c>
      <c r="H662">
        <v>9.82</v>
      </c>
      <c r="I662">
        <v>15</v>
      </c>
      <c r="J662" t="s">
        <v>74</v>
      </c>
      <c r="K662" t="s">
        <v>77</v>
      </c>
      <c r="L662">
        <v>29.46</v>
      </c>
      <c r="M662">
        <v>4.4189999999999996</v>
      </c>
      <c r="N662">
        <v>25.041</v>
      </c>
    </row>
    <row r="663" spans="1:14" x14ac:dyDescent="0.3">
      <c r="A663">
        <v>100662</v>
      </c>
      <c r="B663" s="2">
        <v>45319.541666666657</v>
      </c>
      <c r="C663" t="s">
        <v>14</v>
      </c>
      <c r="D663" t="s">
        <v>17</v>
      </c>
      <c r="E663" t="s">
        <v>66</v>
      </c>
      <c r="F663" t="s">
        <v>71</v>
      </c>
      <c r="G663">
        <v>1</v>
      </c>
      <c r="H663">
        <v>53.21</v>
      </c>
      <c r="I663">
        <v>0</v>
      </c>
      <c r="J663" t="s">
        <v>73</v>
      </c>
      <c r="K663" t="s">
        <v>77</v>
      </c>
      <c r="L663">
        <v>53.21</v>
      </c>
      <c r="M663">
        <v>0</v>
      </c>
      <c r="N663">
        <v>53.21</v>
      </c>
    </row>
    <row r="664" spans="1:14" x14ac:dyDescent="0.3">
      <c r="A664">
        <v>100663</v>
      </c>
      <c r="B664" s="2">
        <v>45319.583333333343</v>
      </c>
      <c r="C664" t="s">
        <v>14</v>
      </c>
      <c r="D664" t="s">
        <v>54</v>
      </c>
      <c r="E664" t="s">
        <v>69</v>
      </c>
      <c r="F664" t="s">
        <v>71</v>
      </c>
      <c r="G664">
        <v>2</v>
      </c>
      <c r="H664">
        <v>24.34</v>
      </c>
      <c r="I664">
        <v>0</v>
      </c>
      <c r="J664" t="s">
        <v>74</v>
      </c>
      <c r="K664" t="s">
        <v>78</v>
      </c>
      <c r="L664">
        <v>48.68</v>
      </c>
      <c r="M664">
        <v>0</v>
      </c>
      <c r="N664">
        <v>48.68</v>
      </c>
    </row>
    <row r="665" spans="1:14" x14ac:dyDescent="0.3">
      <c r="A665">
        <v>100664</v>
      </c>
      <c r="B665" s="2">
        <v>45319.625</v>
      </c>
      <c r="C665" t="s">
        <v>15</v>
      </c>
      <c r="D665" t="s">
        <v>31</v>
      </c>
      <c r="E665" t="s">
        <v>70</v>
      </c>
      <c r="F665" t="s">
        <v>72</v>
      </c>
      <c r="G665">
        <v>5</v>
      </c>
      <c r="H665">
        <v>106.12</v>
      </c>
      <c r="I665">
        <v>10</v>
      </c>
      <c r="J665" t="s">
        <v>76</v>
      </c>
      <c r="K665" t="s">
        <v>77</v>
      </c>
      <c r="L665">
        <v>530.6</v>
      </c>
      <c r="M665">
        <v>53.06</v>
      </c>
      <c r="N665">
        <v>477.54</v>
      </c>
    </row>
    <row r="666" spans="1:14" x14ac:dyDescent="0.3">
      <c r="A666">
        <v>100665</v>
      </c>
      <c r="B666" s="2">
        <v>45319.666666666657</v>
      </c>
      <c r="C666" t="s">
        <v>14</v>
      </c>
      <c r="D666" t="s">
        <v>35</v>
      </c>
      <c r="E666" t="s">
        <v>69</v>
      </c>
      <c r="F666" t="s">
        <v>72</v>
      </c>
      <c r="G666">
        <v>1</v>
      </c>
      <c r="H666">
        <v>69.06</v>
      </c>
      <c r="I666">
        <v>10</v>
      </c>
      <c r="J666" t="s">
        <v>73</v>
      </c>
      <c r="K666" t="s">
        <v>77</v>
      </c>
      <c r="L666">
        <v>69.06</v>
      </c>
      <c r="M666">
        <v>6.9060000000000006</v>
      </c>
      <c r="N666">
        <v>62.154000000000003</v>
      </c>
    </row>
    <row r="667" spans="1:14" x14ac:dyDescent="0.3">
      <c r="A667">
        <v>100666</v>
      </c>
      <c r="B667" s="2">
        <v>45319.708333333343</v>
      </c>
      <c r="C667" t="s">
        <v>14</v>
      </c>
      <c r="D667" t="s">
        <v>30</v>
      </c>
      <c r="E667" t="s">
        <v>67</v>
      </c>
      <c r="F667" t="s">
        <v>72</v>
      </c>
      <c r="G667">
        <v>1</v>
      </c>
      <c r="H667">
        <v>31.61</v>
      </c>
      <c r="I667">
        <v>15</v>
      </c>
      <c r="J667" t="s">
        <v>75</v>
      </c>
      <c r="K667" t="s">
        <v>77</v>
      </c>
      <c r="L667">
        <v>31.61</v>
      </c>
      <c r="M667">
        <v>4.7414999999999994</v>
      </c>
      <c r="N667">
        <v>26.868500000000001</v>
      </c>
    </row>
    <row r="668" spans="1:14" x14ac:dyDescent="0.3">
      <c r="A668">
        <v>100667</v>
      </c>
      <c r="B668" s="2">
        <v>45319.75</v>
      </c>
      <c r="C668" t="s">
        <v>15</v>
      </c>
      <c r="D668" t="s">
        <v>56</v>
      </c>
      <c r="E668" t="s">
        <v>70</v>
      </c>
      <c r="F668" t="s">
        <v>72</v>
      </c>
      <c r="G668">
        <v>2</v>
      </c>
      <c r="H668">
        <v>62.78</v>
      </c>
      <c r="I668">
        <v>10</v>
      </c>
      <c r="J668" t="s">
        <v>76</v>
      </c>
      <c r="K668" t="s">
        <v>77</v>
      </c>
      <c r="L668">
        <v>125.56</v>
      </c>
      <c r="M668">
        <v>12.555999999999999</v>
      </c>
      <c r="N668">
        <v>113.004</v>
      </c>
    </row>
    <row r="669" spans="1:14" x14ac:dyDescent="0.3">
      <c r="A669">
        <v>100668</v>
      </c>
      <c r="B669" s="2">
        <v>45319.791666666657</v>
      </c>
      <c r="C669" t="s">
        <v>15</v>
      </c>
      <c r="D669" t="s">
        <v>17</v>
      </c>
      <c r="E669" t="s">
        <v>70</v>
      </c>
      <c r="F669" t="s">
        <v>72</v>
      </c>
      <c r="G669">
        <v>3</v>
      </c>
      <c r="H669">
        <v>89.12</v>
      </c>
      <c r="I669">
        <v>15</v>
      </c>
      <c r="J669" t="s">
        <v>75</v>
      </c>
      <c r="K669" t="s">
        <v>77</v>
      </c>
      <c r="L669">
        <v>267.36</v>
      </c>
      <c r="M669">
        <v>40.103999999999999</v>
      </c>
      <c r="N669">
        <v>227.256</v>
      </c>
    </row>
    <row r="670" spans="1:14" x14ac:dyDescent="0.3">
      <c r="A670">
        <v>100669</v>
      </c>
      <c r="B670" s="2">
        <v>45319.833333333343</v>
      </c>
      <c r="C670" t="s">
        <v>14</v>
      </c>
      <c r="D670" t="s">
        <v>42</v>
      </c>
      <c r="E670" t="s">
        <v>66</v>
      </c>
      <c r="F670" t="s">
        <v>71</v>
      </c>
      <c r="G670">
        <v>1</v>
      </c>
      <c r="H670">
        <v>115.18</v>
      </c>
      <c r="I670">
        <v>0</v>
      </c>
      <c r="J670" t="s">
        <v>74</v>
      </c>
      <c r="K670" t="s">
        <v>77</v>
      </c>
      <c r="L670">
        <v>115.18</v>
      </c>
      <c r="M670">
        <v>0</v>
      </c>
      <c r="N670">
        <v>115.18</v>
      </c>
    </row>
    <row r="671" spans="1:14" x14ac:dyDescent="0.3">
      <c r="A671">
        <v>100670</v>
      </c>
      <c r="B671" s="2">
        <v>45319.875</v>
      </c>
      <c r="C671" t="s">
        <v>14</v>
      </c>
      <c r="D671" t="s">
        <v>62</v>
      </c>
      <c r="E671" t="s">
        <v>68</v>
      </c>
      <c r="F671" t="s">
        <v>71</v>
      </c>
      <c r="G671">
        <v>5</v>
      </c>
      <c r="H671">
        <v>30.35</v>
      </c>
      <c r="I671">
        <v>0</v>
      </c>
      <c r="J671" t="s">
        <v>76</v>
      </c>
      <c r="K671" t="s">
        <v>79</v>
      </c>
      <c r="L671">
        <v>151.75</v>
      </c>
      <c r="M671">
        <v>0</v>
      </c>
      <c r="N671">
        <v>151.75</v>
      </c>
    </row>
    <row r="672" spans="1:14" x14ac:dyDescent="0.3">
      <c r="A672">
        <v>100671</v>
      </c>
      <c r="B672" s="2">
        <v>45319.916666666657</v>
      </c>
      <c r="C672" t="s">
        <v>14</v>
      </c>
      <c r="D672" t="s">
        <v>24</v>
      </c>
      <c r="E672" t="s">
        <v>70</v>
      </c>
      <c r="F672" t="s">
        <v>72</v>
      </c>
      <c r="G672">
        <v>1</v>
      </c>
      <c r="H672">
        <v>106.91</v>
      </c>
      <c r="I672">
        <v>0</v>
      </c>
      <c r="J672" t="s">
        <v>73</v>
      </c>
      <c r="K672" t="s">
        <v>77</v>
      </c>
      <c r="L672">
        <v>106.91</v>
      </c>
      <c r="M672">
        <v>0</v>
      </c>
      <c r="N672">
        <v>106.91</v>
      </c>
    </row>
    <row r="673" spans="1:14" x14ac:dyDescent="0.3">
      <c r="A673">
        <v>100672</v>
      </c>
      <c r="B673" s="2">
        <v>45319.958333333343</v>
      </c>
      <c r="C673" t="s">
        <v>15</v>
      </c>
      <c r="D673" t="s">
        <v>53</v>
      </c>
      <c r="E673" t="s">
        <v>68</v>
      </c>
      <c r="F673" t="s">
        <v>72</v>
      </c>
      <c r="G673">
        <v>5</v>
      </c>
      <c r="H673">
        <v>112.44</v>
      </c>
      <c r="I673">
        <v>5</v>
      </c>
      <c r="J673" t="s">
        <v>76</v>
      </c>
      <c r="K673" t="s">
        <v>77</v>
      </c>
      <c r="L673">
        <v>562.20000000000005</v>
      </c>
      <c r="M673">
        <v>28.11</v>
      </c>
      <c r="N673">
        <v>534.09</v>
      </c>
    </row>
    <row r="674" spans="1:14" x14ac:dyDescent="0.3">
      <c r="A674">
        <v>100673</v>
      </c>
      <c r="B674" s="2">
        <v>45320</v>
      </c>
      <c r="C674" t="s">
        <v>15</v>
      </c>
      <c r="D674" t="s">
        <v>41</v>
      </c>
      <c r="E674" t="s">
        <v>69</v>
      </c>
      <c r="F674" t="s">
        <v>72</v>
      </c>
      <c r="G674">
        <v>4</v>
      </c>
      <c r="H674">
        <v>110.39</v>
      </c>
      <c r="I674">
        <v>15</v>
      </c>
      <c r="J674" t="s">
        <v>75</v>
      </c>
      <c r="K674" t="s">
        <v>77</v>
      </c>
      <c r="L674">
        <v>441.56</v>
      </c>
      <c r="M674">
        <v>66.233999999999995</v>
      </c>
      <c r="N674">
        <v>375.32600000000002</v>
      </c>
    </row>
    <row r="675" spans="1:14" x14ac:dyDescent="0.3">
      <c r="A675">
        <v>100674</v>
      </c>
      <c r="B675" s="2">
        <v>45320.041666666657</v>
      </c>
      <c r="C675" t="s">
        <v>15</v>
      </c>
      <c r="D675" t="s">
        <v>23</v>
      </c>
      <c r="E675" t="s">
        <v>67</v>
      </c>
      <c r="F675" t="s">
        <v>72</v>
      </c>
      <c r="G675">
        <v>4</v>
      </c>
      <c r="H675">
        <v>78.069999999999993</v>
      </c>
      <c r="I675">
        <v>0</v>
      </c>
      <c r="J675" t="s">
        <v>73</v>
      </c>
      <c r="K675" t="s">
        <v>78</v>
      </c>
      <c r="L675">
        <v>312.27999999999997</v>
      </c>
      <c r="M675">
        <v>0</v>
      </c>
      <c r="N675">
        <v>312.27999999999997</v>
      </c>
    </row>
    <row r="676" spans="1:14" x14ac:dyDescent="0.3">
      <c r="A676">
        <v>100675</v>
      </c>
      <c r="B676" s="2">
        <v>45320.083333333343</v>
      </c>
      <c r="C676" t="s">
        <v>15</v>
      </c>
      <c r="D676" t="s">
        <v>35</v>
      </c>
      <c r="E676" t="s">
        <v>66</v>
      </c>
      <c r="F676" t="s">
        <v>72</v>
      </c>
      <c r="G676">
        <v>5</v>
      </c>
      <c r="H676">
        <v>77.430000000000007</v>
      </c>
      <c r="I676">
        <v>15</v>
      </c>
      <c r="J676" t="s">
        <v>76</v>
      </c>
      <c r="K676" t="s">
        <v>77</v>
      </c>
      <c r="L676">
        <v>387.15</v>
      </c>
      <c r="M676">
        <v>58.072500000000012</v>
      </c>
      <c r="N676">
        <v>329.07749999999999</v>
      </c>
    </row>
    <row r="677" spans="1:14" x14ac:dyDescent="0.3">
      <c r="A677">
        <v>100676</v>
      </c>
      <c r="B677" s="2">
        <v>45320.125</v>
      </c>
      <c r="C677" t="s">
        <v>14</v>
      </c>
      <c r="D677" t="s">
        <v>44</v>
      </c>
      <c r="E677" t="s">
        <v>68</v>
      </c>
      <c r="F677" t="s">
        <v>71</v>
      </c>
      <c r="G677">
        <v>3</v>
      </c>
      <c r="H677">
        <v>51.37</v>
      </c>
      <c r="I677">
        <v>10</v>
      </c>
      <c r="J677" t="s">
        <v>76</v>
      </c>
      <c r="K677" t="s">
        <v>77</v>
      </c>
      <c r="L677">
        <v>154.11000000000001</v>
      </c>
      <c r="M677">
        <v>15.411</v>
      </c>
      <c r="N677">
        <v>138.69900000000001</v>
      </c>
    </row>
    <row r="678" spans="1:14" x14ac:dyDescent="0.3">
      <c r="A678">
        <v>100677</v>
      </c>
      <c r="B678" s="2">
        <v>45320.166666666657</v>
      </c>
      <c r="C678" t="s">
        <v>15</v>
      </c>
      <c r="D678" t="s">
        <v>49</v>
      </c>
      <c r="E678" t="s">
        <v>70</v>
      </c>
      <c r="F678" t="s">
        <v>71</v>
      </c>
      <c r="G678">
        <v>1</v>
      </c>
      <c r="H678">
        <v>91.53</v>
      </c>
      <c r="I678">
        <v>10</v>
      </c>
      <c r="J678" t="s">
        <v>76</v>
      </c>
      <c r="K678" t="s">
        <v>77</v>
      </c>
      <c r="L678">
        <v>91.53</v>
      </c>
      <c r="M678">
        <v>9.1530000000000005</v>
      </c>
      <c r="N678">
        <v>82.376999999999995</v>
      </c>
    </row>
    <row r="679" spans="1:14" x14ac:dyDescent="0.3">
      <c r="A679">
        <v>100678</v>
      </c>
      <c r="B679" s="2">
        <v>45320.208333333343</v>
      </c>
      <c r="C679" t="s">
        <v>15</v>
      </c>
      <c r="D679" t="s">
        <v>50</v>
      </c>
      <c r="E679" t="s">
        <v>68</v>
      </c>
      <c r="F679" t="s">
        <v>71</v>
      </c>
      <c r="G679">
        <v>1</v>
      </c>
      <c r="H679">
        <v>66.099999999999994</v>
      </c>
      <c r="I679">
        <v>0</v>
      </c>
      <c r="J679" t="s">
        <v>76</v>
      </c>
      <c r="K679" t="s">
        <v>77</v>
      </c>
      <c r="L679">
        <v>66.099999999999994</v>
      </c>
      <c r="M679">
        <v>0</v>
      </c>
      <c r="N679">
        <v>66.099999999999994</v>
      </c>
    </row>
    <row r="680" spans="1:14" x14ac:dyDescent="0.3">
      <c r="A680">
        <v>100679</v>
      </c>
      <c r="B680" s="2">
        <v>45320.25</v>
      </c>
      <c r="C680" t="s">
        <v>15</v>
      </c>
      <c r="D680" t="s">
        <v>39</v>
      </c>
      <c r="E680" t="s">
        <v>70</v>
      </c>
      <c r="F680" t="s">
        <v>71</v>
      </c>
      <c r="G680">
        <v>4</v>
      </c>
      <c r="H680">
        <v>82.91</v>
      </c>
      <c r="I680">
        <v>15</v>
      </c>
      <c r="J680" t="s">
        <v>73</v>
      </c>
      <c r="K680" t="s">
        <v>77</v>
      </c>
      <c r="L680">
        <v>331.64</v>
      </c>
      <c r="M680">
        <v>49.746000000000002</v>
      </c>
      <c r="N680">
        <v>281.89400000000001</v>
      </c>
    </row>
    <row r="681" spans="1:14" x14ac:dyDescent="0.3">
      <c r="A681">
        <v>100680</v>
      </c>
      <c r="B681" s="2">
        <v>45320.291666666657</v>
      </c>
      <c r="C681" t="s">
        <v>15</v>
      </c>
      <c r="D681" t="s">
        <v>26</v>
      </c>
      <c r="E681" t="s">
        <v>68</v>
      </c>
      <c r="F681" t="s">
        <v>72</v>
      </c>
      <c r="G681">
        <v>5</v>
      </c>
      <c r="H681">
        <v>54.27</v>
      </c>
      <c r="I681">
        <v>0</v>
      </c>
      <c r="J681" t="s">
        <v>75</v>
      </c>
      <c r="K681" t="s">
        <v>77</v>
      </c>
      <c r="L681">
        <v>271.35000000000002</v>
      </c>
      <c r="M681">
        <v>0</v>
      </c>
      <c r="N681">
        <v>271.35000000000002</v>
      </c>
    </row>
    <row r="682" spans="1:14" x14ac:dyDescent="0.3">
      <c r="A682">
        <v>100681</v>
      </c>
      <c r="B682" s="2">
        <v>45320.333333333343</v>
      </c>
      <c r="C682" t="s">
        <v>15</v>
      </c>
      <c r="D682" t="s">
        <v>27</v>
      </c>
      <c r="E682" t="s">
        <v>70</v>
      </c>
      <c r="F682" t="s">
        <v>71</v>
      </c>
      <c r="G682">
        <v>1</v>
      </c>
      <c r="H682">
        <v>89.12</v>
      </c>
      <c r="I682">
        <v>10</v>
      </c>
      <c r="J682" t="s">
        <v>76</v>
      </c>
      <c r="K682" t="s">
        <v>77</v>
      </c>
      <c r="L682">
        <v>89.12</v>
      </c>
      <c r="M682">
        <v>8.9120000000000008</v>
      </c>
      <c r="N682">
        <v>80.207999999999998</v>
      </c>
    </row>
    <row r="683" spans="1:14" x14ac:dyDescent="0.3">
      <c r="A683">
        <v>100682</v>
      </c>
      <c r="B683" s="2">
        <v>45320.375</v>
      </c>
      <c r="C683" t="s">
        <v>14</v>
      </c>
      <c r="D683" t="s">
        <v>40</v>
      </c>
      <c r="E683" t="s">
        <v>69</v>
      </c>
      <c r="F683" t="s">
        <v>72</v>
      </c>
      <c r="G683">
        <v>1</v>
      </c>
      <c r="H683">
        <v>99.81</v>
      </c>
      <c r="I683">
        <v>0</v>
      </c>
      <c r="J683" t="s">
        <v>73</v>
      </c>
      <c r="K683" t="s">
        <v>77</v>
      </c>
      <c r="L683">
        <v>99.81</v>
      </c>
      <c r="M683">
        <v>0</v>
      </c>
      <c r="N683">
        <v>99.81</v>
      </c>
    </row>
    <row r="684" spans="1:14" x14ac:dyDescent="0.3">
      <c r="A684">
        <v>100683</v>
      </c>
      <c r="B684" s="2">
        <v>45320.416666666657</v>
      </c>
      <c r="C684" t="s">
        <v>14</v>
      </c>
      <c r="D684" t="s">
        <v>61</v>
      </c>
      <c r="E684" t="s">
        <v>70</v>
      </c>
      <c r="F684" t="s">
        <v>72</v>
      </c>
      <c r="G684">
        <v>3</v>
      </c>
      <c r="H684">
        <v>21.84</v>
      </c>
      <c r="I684">
        <v>15</v>
      </c>
      <c r="J684" t="s">
        <v>75</v>
      </c>
      <c r="K684" t="s">
        <v>78</v>
      </c>
      <c r="L684">
        <v>65.52</v>
      </c>
      <c r="M684">
        <v>9.8279999999999994</v>
      </c>
      <c r="N684">
        <v>55.691999999999993</v>
      </c>
    </row>
    <row r="685" spans="1:14" x14ac:dyDescent="0.3">
      <c r="A685">
        <v>100684</v>
      </c>
      <c r="B685" s="2">
        <v>45320.458333333343</v>
      </c>
      <c r="C685" t="s">
        <v>15</v>
      </c>
      <c r="D685" t="s">
        <v>64</v>
      </c>
      <c r="E685" t="s">
        <v>70</v>
      </c>
      <c r="F685" t="s">
        <v>72</v>
      </c>
      <c r="G685">
        <v>2</v>
      </c>
      <c r="H685">
        <v>100.79</v>
      </c>
      <c r="I685">
        <v>10</v>
      </c>
      <c r="J685" t="s">
        <v>76</v>
      </c>
      <c r="K685" t="s">
        <v>77</v>
      </c>
      <c r="L685">
        <v>201.58</v>
      </c>
      <c r="M685">
        <v>20.158000000000001</v>
      </c>
      <c r="N685">
        <v>181.422</v>
      </c>
    </row>
    <row r="686" spans="1:14" x14ac:dyDescent="0.3">
      <c r="A686">
        <v>100685</v>
      </c>
      <c r="B686" s="2">
        <v>45320.5</v>
      </c>
      <c r="C686" t="s">
        <v>14</v>
      </c>
      <c r="D686" t="s">
        <v>45</v>
      </c>
      <c r="E686" t="s">
        <v>67</v>
      </c>
      <c r="F686" t="s">
        <v>71</v>
      </c>
      <c r="G686">
        <v>4</v>
      </c>
      <c r="H686">
        <v>67.13</v>
      </c>
      <c r="I686">
        <v>5</v>
      </c>
      <c r="J686" t="s">
        <v>75</v>
      </c>
      <c r="K686" t="s">
        <v>79</v>
      </c>
      <c r="L686">
        <v>268.52</v>
      </c>
      <c r="M686">
        <v>13.426</v>
      </c>
      <c r="N686">
        <v>255.09399999999999</v>
      </c>
    </row>
    <row r="687" spans="1:14" x14ac:dyDescent="0.3">
      <c r="A687">
        <v>100686</v>
      </c>
      <c r="B687" s="2">
        <v>45320.541666666657</v>
      </c>
      <c r="C687" t="s">
        <v>15</v>
      </c>
      <c r="D687" t="s">
        <v>47</v>
      </c>
      <c r="E687" t="s">
        <v>70</v>
      </c>
      <c r="F687" t="s">
        <v>72</v>
      </c>
      <c r="G687">
        <v>4</v>
      </c>
      <c r="H687">
        <v>102.14</v>
      </c>
      <c r="I687">
        <v>10</v>
      </c>
      <c r="J687" t="s">
        <v>75</v>
      </c>
      <c r="K687" t="s">
        <v>77</v>
      </c>
      <c r="L687">
        <v>408.56</v>
      </c>
      <c r="M687">
        <v>40.856000000000002</v>
      </c>
      <c r="N687">
        <v>367.70400000000001</v>
      </c>
    </row>
    <row r="688" spans="1:14" x14ac:dyDescent="0.3">
      <c r="A688">
        <v>100687</v>
      </c>
      <c r="B688" s="2">
        <v>45320.583333333343</v>
      </c>
      <c r="C688" t="s">
        <v>15</v>
      </c>
      <c r="D688" t="s">
        <v>44</v>
      </c>
      <c r="E688" t="s">
        <v>67</v>
      </c>
      <c r="F688" t="s">
        <v>71</v>
      </c>
      <c r="G688">
        <v>2</v>
      </c>
      <c r="H688">
        <v>54.6</v>
      </c>
      <c r="I688">
        <v>5</v>
      </c>
      <c r="J688" t="s">
        <v>73</v>
      </c>
      <c r="K688" t="s">
        <v>77</v>
      </c>
      <c r="L688">
        <v>109.2</v>
      </c>
      <c r="M688">
        <v>5.4600000000000009</v>
      </c>
      <c r="N688">
        <v>103.74</v>
      </c>
    </row>
    <row r="689" spans="1:14" x14ac:dyDescent="0.3">
      <c r="A689">
        <v>100688</v>
      </c>
      <c r="B689" s="2">
        <v>45320.625</v>
      </c>
      <c r="C689" t="s">
        <v>14</v>
      </c>
      <c r="D689" t="s">
        <v>16</v>
      </c>
      <c r="E689" t="s">
        <v>66</v>
      </c>
      <c r="F689" t="s">
        <v>71</v>
      </c>
      <c r="G689">
        <v>1</v>
      </c>
      <c r="H689">
        <v>48.59</v>
      </c>
      <c r="I689">
        <v>0</v>
      </c>
      <c r="J689" t="s">
        <v>75</v>
      </c>
      <c r="K689" t="s">
        <v>77</v>
      </c>
      <c r="L689">
        <v>48.59</v>
      </c>
      <c r="M689">
        <v>0</v>
      </c>
      <c r="N689">
        <v>48.59</v>
      </c>
    </row>
    <row r="690" spans="1:14" x14ac:dyDescent="0.3">
      <c r="A690">
        <v>100689</v>
      </c>
      <c r="B690" s="2">
        <v>45320.666666666657</v>
      </c>
      <c r="C690" t="s">
        <v>14</v>
      </c>
      <c r="D690" t="s">
        <v>50</v>
      </c>
      <c r="E690" t="s">
        <v>67</v>
      </c>
      <c r="F690" t="s">
        <v>72</v>
      </c>
      <c r="G690">
        <v>3</v>
      </c>
      <c r="H690">
        <v>110.23</v>
      </c>
      <c r="I690">
        <v>0</v>
      </c>
      <c r="J690" t="s">
        <v>73</v>
      </c>
      <c r="K690" t="s">
        <v>77</v>
      </c>
      <c r="L690">
        <v>330.69</v>
      </c>
      <c r="M690">
        <v>0</v>
      </c>
      <c r="N690">
        <v>330.69</v>
      </c>
    </row>
    <row r="691" spans="1:14" x14ac:dyDescent="0.3">
      <c r="A691">
        <v>100690</v>
      </c>
      <c r="B691" s="2">
        <v>45320.708333333343</v>
      </c>
      <c r="C691" t="s">
        <v>15</v>
      </c>
      <c r="D691" t="s">
        <v>30</v>
      </c>
      <c r="E691" t="s">
        <v>69</v>
      </c>
      <c r="F691" t="s">
        <v>72</v>
      </c>
      <c r="G691">
        <v>3</v>
      </c>
      <c r="H691">
        <v>33.880000000000003</v>
      </c>
      <c r="I691">
        <v>15</v>
      </c>
      <c r="J691" t="s">
        <v>76</v>
      </c>
      <c r="K691" t="s">
        <v>77</v>
      </c>
      <c r="L691">
        <v>101.64</v>
      </c>
      <c r="M691">
        <v>15.246</v>
      </c>
      <c r="N691">
        <v>86.394000000000005</v>
      </c>
    </row>
    <row r="692" spans="1:14" x14ac:dyDescent="0.3">
      <c r="A692">
        <v>100691</v>
      </c>
      <c r="B692" s="2">
        <v>45320.75</v>
      </c>
      <c r="C692" t="s">
        <v>15</v>
      </c>
      <c r="D692" t="s">
        <v>47</v>
      </c>
      <c r="E692" t="s">
        <v>67</v>
      </c>
      <c r="F692" t="s">
        <v>72</v>
      </c>
      <c r="G692">
        <v>4</v>
      </c>
      <c r="H692">
        <v>102.08</v>
      </c>
      <c r="I692">
        <v>5</v>
      </c>
      <c r="J692" t="s">
        <v>75</v>
      </c>
      <c r="K692" t="s">
        <v>77</v>
      </c>
      <c r="L692">
        <v>408.32</v>
      </c>
      <c r="M692">
        <v>20.416</v>
      </c>
      <c r="N692">
        <v>387.904</v>
      </c>
    </row>
    <row r="693" spans="1:14" x14ac:dyDescent="0.3">
      <c r="A693">
        <v>100692</v>
      </c>
      <c r="B693" s="2">
        <v>45320.791666666657</v>
      </c>
      <c r="C693" t="s">
        <v>15</v>
      </c>
      <c r="D693" t="s">
        <v>57</v>
      </c>
      <c r="E693" t="s">
        <v>66</v>
      </c>
      <c r="F693" t="s">
        <v>71</v>
      </c>
      <c r="G693">
        <v>3</v>
      </c>
      <c r="H693">
        <v>60.66</v>
      </c>
      <c r="I693">
        <v>0</v>
      </c>
      <c r="J693" t="s">
        <v>75</v>
      </c>
      <c r="K693" t="s">
        <v>77</v>
      </c>
      <c r="L693">
        <v>181.98</v>
      </c>
      <c r="M693">
        <v>0</v>
      </c>
      <c r="N693">
        <v>181.98</v>
      </c>
    </row>
    <row r="694" spans="1:14" x14ac:dyDescent="0.3">
      <c r="A694">
        <v>100693</v>
      </c>
      <c r="B694" s="2">
        <v>45320.833333333343</v>
      </c>
      <c r="C694" t="s">
        <v>14</v>
      </c>
      <c r="D694" t="s">
        <v>49</v>
      </c>
      <c r="E694" t="s">
        <v>69</v>
      </c>
      <c r="F694" t="s">
        <v>72</v>
      </c>
      <c r="G694">
        <v>2</v>
      </c>
      <c r="H694">
        <v>64.12</v>
      </c>
      <c r="I694">
        <v>5</v>
      </c>
      <c r="J694" t="s">
        <v>74</v>
      </c>
      <c r="K694" t="s">
        <v>77</v>
      </c>
      <c r="L694">
        <v>128.24</v>
      </c>
      <c r="M694">
        <v>6.4120000000000008</v>
      </c>
      <c r="N694">
        <v>121.828</v>
      </c>
    </row>
    <row r="695" spans="1:14" x14ac:dyDescent="0.3">
      <c r="A695">
        <v>100694</v>
      </c>
      <c r="B695" s="2">
        <v>45320.875</v>
      </c>
      <c r="C695" t="s">
        <v>15</v>
      </c>
      <c r="D695" t="s">
        <v>61</v>
      </c>
      <c r="E695" t="s">
        <v>68</v>
      </c>
      <c r="F695" t="s">
        <v>71</v>
      </c>
      <c r="G695">
        <v>1</v>
      </c>
      <c r="H695">
        <v>40.47</v>
      </c>
      <c r="I695">
        <v>0</v>
      </c>
      <c r="J695" t="s">
        <v>76</v>
      </c>
      <c r="K695" t="s">
        <v>77</v>
      </c>
      <c r="L695">
        <v>40.47</v>
      </c>
      <c r="M695">
        <v>0</v>
      </c>
      <c r="N695">
        <v>40.47</v>
      </c>
    </row>
    <row r="696" spans="1:14" x14ac:dyDescent="0.3">
      <c r="A696">
        <v>100695</v>
      </c>
      <c r="B696" s="2">
        <v>45320.916666666657</v>
      </c>
      <c r="C696" t="s">
        <v>15</v>
      </c>
      <c r="D696" t="s">
        <v>42</v>
      </c>
      <c r="E696" t="s">
        <v>68</v>
      </c>
      <c r="F696" t="s">
        <v>72</v>
      </c>
      <c r="G696">
        <v>2</v>
      </c>
      <c r="H696">
        <v>70.900000000000006</v>
      </c>
      <c r="I696">
        <v>10</v>
      </c>
      <c r="J696" t="s">
        <v>76</v>
      </c>
      <c r="K696" t="s">
        <v>77</v>
      </c>
      <c r="L696">
        <v>141.80000000000001</v>
      </c>
      <c r="M696">
        <v>14.18</v>
      </c>
      <c r="N696">
        <v>127.62</v>
      </c>
    </row>
    <row r="697" spans="1:14" x14ac:dyDescent="0.3">
      <c r="A697">
        <v>100696</v>
      </c>
      <c r="B697" s="2">
        <v>45320.958333333343</v>
      </c>
      <c r="C697" t="s">
        <v>15</v>
      </c>
      <c r="D697" t="s">
        <v>40</v>
      </c>
      <c r="E697" t="s">
        <v>67</v>
      </c>
      <c r="F697" t="s">
        <v>72</v>
      </c>
      <c r="G697">
        <v>5</v>
      </c>
      <c r="H697">
        <v>42.4</v>
      </c>
      <c r="I697">
        <v>0</v>
      </c>
      <c r="J697" t="s">
        <v>74</v>
      </c>
      <c r="K697" t="s">
        <v>77</v>
      </c>
      <c r="L697">
        <v>212</v>
      </c>
      <c r="M697">
        <v>0</v>
      </c>
      <c r="N697">
        <v>212</v>
      </c>
    </row>
    <row r="698" spans="1:14" x14ac:dyDescent="0.3">
      <c r="A698">
        <v>100697</v>
      </c>
      <c r="B698" s="2">
        <v>45321</v>
      </c>
      <c r="C698" t="s">
        <v>14</v>
      </c>
      <c r="D698" t="s">
        <v>43</v>
      </c>
      <c r="E698" t="s">
        <v>67</v>
      </c>
      <c r="F698" t="s">
        <v>71</v>
      </c>
      <c r="G698">
        <v>4</v>
      </c>
      <c r="H698">
        <v>9.52</v>
      </c>
      <c r="I698">
        <v>15</v>
      </c>
      <c r="J698" t="s">
        <v>74</v>
      </c>
      <c r="K698" t="s">
        <v>77</v>
      </c>
      <c r="L698">
        <v>38.08</v>
      </c>
      <c r="M698">
        <v>5.7119999999999997</v>
      </c>
      <c r="N698">
        <v>32.367999999999988</v>
      </c>
    </row>
    <row r="699" spans="1:14" x14ac:dyDescent="0.3">
      <c r="A699">
        <v>100698</v>
      </c>
      <c r="B699" s="2">
        <v>45321.041666666657</v>
      </c>
      <c r="C699" t="s">
        <v>15</v>
      </c>
      <c r="D699" t="s">
        <v>46</v>
      </c>
      <c r="E699" t="s">
        <v>66</v>
      </c>
      <c r="F699" t="s">
        <v>71</v>
      </c>
      <c r="G699">
        <v>3</v>
      </c>
      <c r="H699">
        <v>36.28</v>
      </c>
      <c r="I699">
        <v>10</v>
      </c>
      <c r="J699" t="s">
        <v>73</v>
      </c>
      <c r="K699" t="s">
        <v>78</v>
      </c>
      <c r="L699">
        <v>108.84</v>
      </c>
      <c r="M699">
        <v>10.884</v>
      </c>
      <c r="N699">
        <v>97.956000000000003</v>
      </c>
    </row>
    <row r="700" spans="1:14" x14ac:dyDescent="0.3">
      <c r="A700">
        <v>100699</v>
      </c>
      <c r="B700" s="2">
        <v>45321.083333333343</v>
      </c>
      <c r="C700" t="s">
        <v>15</v>
      </c>
      <c r="D700" t="s">
        <v>26</v>
      </c>
      <c r="E700" t="s">
        <v>66</v>
      </c>
      <c r="F700" t="s">
        <v>71</v>
      </c>
      <c r="G700">
        <v>5</v>
      </c>
      <c r="H700">
        <v>5.73</v>
      </c>
      <c r="I700">
        <v>15</v>
      </c>
      <c r="J700" t="s">
        <v>73</v>
      </c>
      <c r="K700" t="s">
        <v>77</v>
      </c>
      <c r="L700">
        <v>28.65</v>
      </c>
      <c r="M700">
        <v>4.2975000000000003</v>
      </c>
      <c r="N700">
        <v>24.352499999999999</v>
      </c>
    </row>
    <row r="701" spans="1:14" x14ac:dyDescent="0.3">
      <c r="A701">
        <v>100700</v>
      </c>
      <c r="B701" s="2">
        <v>45321.125</v>
      </c>
      <c r="C701" t="s">
        <v>14</v>
      </c>
      <c r="D701" t="s">
        <v>43</v>
      </c>
      <c r="E701" t="s">
        <v>70</v>
      </c>
      <c r="F701" t="s">
        <v>71</v>
      </c>
      <c r="G701">
        <v>3</v>
      </c>
      <c r="H701">
        <v>117.51</v>
      </c>
      <c r="I701">
        <v>10</v>
      </c>
      <c r="J701" t="s">
        <v>75</v>
      </c>
      <c r="K701" t="s">
        <v>77</v>
      </c>
      <c r="L701">
        <v>352.53</v>
      </c>
      <c r="M701">
        <v>35.253000000000007</v>
      </c>
      <c r="N701">
        <v>317.27699999999999</v>
      </c>
    </row>
    <row r="702" spans="1:14" x14ac:dyDescent="0.3">
      <c r="A702">
        <v>100701</v>
      </c>
      <c r="B702" s="2">
        <v>45321.166666666657</v>
      </c>
      <c r="C702" t="s">
        <v>15</v>
      </c>
      <c r="D702" t="s">
        <v>54</v>
      </c>
      <c r="E702" t="s">
        <v>66</v>
      </c>
      <c r="F702" t="s">
        <v>71</v>
      </c>
      <c r="G702">
        <v>1</v>
      </c>
      <c r="H702">
        <v>116.06</v>
      </c>
      <c r="I702">
        <v>5</v>
      </c>
      <c r="J702" t="s">
        <v>75</v>
      </c>
      <c r="K702" t="s">
        <v>77</v>
      </c>
      <c r="L702">
        <v>116.06</v>
      </c>
      <c r="M702">
        <v>5.8030000000000008</v>
      </c>
      <c r="N702">
        <v>110.25700000000001</v>
      </c>
    </row>
    <row r="703" spans="1:14" x14ac:dyDescent="0.3">
      <c r="A703">
        <v>100702</v>
      </c>
      <c r="B703" s="2">
        <v>45321.208333333343</v>
      </c>
      <c r="C703" t="s">
        <v>15</v>
      </c>
      <c r="D703" t="s">
        <v>44</v>
      </c>
      <c r="E703" t="s">
        <v>70</v>
      </c>
      <c r="F703" t="s">
        <v>71</v>
      </c>
      <c r="G703">
        <v>1</v>
      </c>
      <c r="H703">
        <v>50.44</v>
      </c>
      <c r="I703">
        <v>15</v>
      </c>
      <c r="J703" t="s">
        <v>75</v>
      </c>
      <c r="K703" t="s">
        <v>77</v>
      </c>
      <c r="L703">
        <v>50.44</v>
      </c>
      <c r="M703">
        <v>7.5659999999999989</v>
      </c>
      <c r="N703">
        <v>42.874000000000002</v>
      </c>
    </row>
    <row r="704" spans="1:14" x14ac:dyDescent="0.3">
      <c r="A704">
        <v>100703</v>
      </c>
      <c r="B704" s="2">
        <v>45321.25</v>
      </c>
      <c r="C704" t="s">
        <v>14</v>
      </c>
      <c r="D704" t="s">
        <v>57</v>
      </c>
      <c r="E704" t="s">
        <v>69</v>
      </c>
      <c r="F704" t="s">
        <v>72</v>
      </c>
      <c r="G704">
        <v>1</v>
      </c>
      <c r="H704">
        <v>88.76</v>
      </c>
      <c r="I704">
        <v>0</v>
      </c>
      <c r="J704" t="s">
        <v>75</v>
      </c>
      <c r="K704" t="s">
        <v>79</v>
      </c>
      <c r="L704">
        <v>88.76</v>
      </c>
      <c r="M704">
        <v>0</v>
      </c>
      <c r="N704">
        <v>88.76</v>
      </c>
    </row>
    <row r="705" spans="1:14" x14ac:dyDescent="0.3">
      <c r="A705">
        <v>100704</v>
      </c>
      <c r="B705" s="2">
        <v>45321.291666666657</v>
      </c>
      <c r="C705" t="s">
        <v>15</v>
      </c>
      <c r="D705" t="s">
        <v>35</v>
      </c>
      <c r="E705" t="s">
        <v>67</v>
      </c>
      <c r="F705" t="s">
        <v>72</v>
      </c>
      <c r="G705">
        <v>3</v>
      </c>
      <c r="H705">
        <v>44.77</v>
      </c>
      <c r="I705">
        <v>5</v>
      </c>
      <c r="J705" t="s">
        <v>73</v>
      </c>
      <c r="K705" t="s">
        <v>77</v>
      </c>
      <c r="L705">
        <v>134.31</v>
      </c>
      <c r="M705">
        <v>6.7154999999999996</v>
      </c>
      <c r="N705">
        <v>127.5945</v>
      </c>
    </row>
    <row r="706" spans="1:14" x14ac:dyDescent="0.3">
      <c r="A706">
        <v>100705</v>
      </c>
      <c r="B706" s="2">
        <v>45321.333333333343</v>
      </c>
      <c r="C706" t="s">
        <v>14</v>
      </c>
      <c r="D706" t="s">
        <v>65</v>
      </c>
      <c r="E706" t="s">
        <v>69</v>
      </c>
      <c r="F706" t="s">
        <v>71</v>
      </c>
      <c r="G706">
        <v>5</v>
      </c>
      <c r="H706">
        <v>82.18</v>
      </c>
      <c r="I706">
        <v>0</v>
      </c>
      <c r="J706" t="s">
        <v>76</v>
      </c>
      <c r="K706" t="s">
        <v>77</v>
      </c>
      <c r="L706">
        <v>410.9</v>
      </c>
      <c r="M706">
        <v>0</v>
      </c>
      <c r="N706">
        <v>410.9</v>
      </c>
    </row>
    <row r="707" spans="1:14" x14ac:dyDescent="0.3">
      <c r="A707">
        <v>100706</v>
      </c>
      <c r="B707" s="2">
        <v>45321.375</v>
      </c>
      <c r="C707" t="s">
        <v>14</v>
      </c>
      <c r="D707" t="s">
        <v>32</v>
      </c>
      <c r="E707" t="s">
        <v>66</v>
      </c>
      <c r="F707" t="s">
        <v>72</v>
      </c>
      <c r="G707">
        <v>1</v>
      </c>
      <c r="H707">
        <v>97.62</v>
      </c>
      <c r="I707">
        <v>10</v>
      </c>
      <c r="J707" t="s">
        <v>75</v>
      </c>
      <c r="K707" t="s">
        <v>77</v>
      </c>
      <c r="L707">
        <v>97.62</v>
      </c>
      <c r="M707">
        <v>9.7620000000000005</v>
      </c>
      <c r="N707">
        <v>87.858000000000004</v>
      </c>
    </row>
    <row r="708" spans="1:14" x14ac:dyDescent="0.3">
      <c r="A708">
        <v>100707</v>
      </c>
      <c r="B708" s="2">
        <v>45321.416666666657</v>
      </c>
      <c r="C708" t="s">
        <v>15</v>
      </c>
      <c r="D708" t="s">
        <v>35</v>
      </c>
      <c r="E708" t="s">
        <v>69</v>
      </c>
      <c r="F708" t="s">
        <v>71</v>
      </c>
      <c r="G708">
        <v>5</v>
      </c>
      <c r="H708">
        <v>113.88</v>
      </c>
      <c r="I708">
        <v>10</v>
      </c>
      <c r="J708" t="s">
        <v>76</v>
      </c>
      <c r="K708" t="s">
        <v>77</v>
      </c>
      <c r="L708">
        <v>569.4</v>
      </c>
      <c r="M708">
        <v>56.94</v>
      </c>
      <c r="N708">
        <v>512.46</v>
      </c>
    </row>
    <row r="709" spans="1:14" x14ac:dyDescent="0.3">
      <c r="A709">
        <v>100708</v>
      </c>
      <c r="B709" s="2">
        <v>45321.458333333343</v>
      </c>
      <c r="C709" t="s">
        <v>15</v>
      </c>
      <c r="D709" t="s">
        <v>16</v>
      </c>
      <c r="E709" t="s">
        <v>69</v>
      </c>
      <c r="F709" t="s">
        <v>72</v>
      </c>
      <c r="G709">
        <v>3</v>
      </c>
      <c r="H709">
        <v>51.02</v>
      </c>
      <c r="I709">
        <v>0</v>
      </c>
      <c r="J709" t="s">
        <v>75</v>
      </c>
      <c r="K709" t="s">
        <v>79</v>
      </c>
      <c r="L709">
        <v>153.06</v>
      </c>
      <c r="M709">
        <v>0</v>
      </c>
      <c r="N709">
        <v>153.06</v>
      </c>
    </row>
    <row r="710" spans="1:14" x14ac:dyDescent="0.3">
      <c r="A710">
        <v>100709</v>
      </c>
      <c r="B710" s="2">
        <v>45321.5</v>
      </c>
      <c r="C710" t="s">
        <v>15</v>
      </c>
      <c r="D710" t="s">
        <v>41</v>
      </c>
      <c r="E710" t="s">
        <v>69</v>
      </c>
      <c r="F710" t="s">
        <v>72</v>
      </c>
      <c r="G710">
        <v>5</v>
      </c>
      <c r="H710">
        <v>95.08</v>
      </c>
      <c r="I710">
        <v>0</v>
      </c>
      <c r="J710" t="s">
        <v>74</v>
      </c>
      <c r="K710" t="s">
        <v>77</v>
      </c>
      <c r="L710">
        <v>475.4</v>
      </c>
      <c r="M710">
        <v>0</v>
      </c>
      <c r="N710">
        <v>475.4</v>
      </c>
    </row>
    <row r="711" spans="1:14" x14ac:dyDescent="0.3">
      <c r="A711">
        <v>100710</v>
      </c>
      <c r="B711" s="2">
        <v>45321.541666666657</v>
      </c>
      <c r="C711" t="s">
        <v>15</v>
      </c>
      <c r="D711" t="s">
        <v>40</v>
      </c>
      <c r="E711" t="s">
        <v>66</v>
      </c>
      <c r="F711" t="s">
        <v>71</v>
      </c>
      <c r="G711">
        <v>3</v>
      </c>
      <c r="H711">
        <v>35.58</v>
      </c>
      <c r="I711">
        <v>5</v>
      </c>
      <c r="J711" t="s">
        <v>75</v>
      </c>
      <c r="K711" t="s">
        <v>77</v>
      </c>
      <c r="L711">
        <v>106.74</v>
      </c>
      <c r="M711">
        <v>5.3369999999999997</v>
      </c>
      <c r="N711">
        <v>101.40300000000001</v>
      </c>
    </row>
    <row r="712" spans="1:14" x14ac:dyDescent="0.3">
      <c r="A712">
        <v>100711</v>
      </c>
      <c r="B712" s="2">
        <v>45321.583333333343</v>
      </c>
      <c r="C712" t="s">
        <v>14</v>
      </c>
      <c r="D712" t="s">
        <v>21</v>
      </c>
      <c r="E712" t="s">
        <v>69</v>
      </c>
      <c r="F712" t="s">
        <v>71</v>
      </c>
      <c r="G712">
        <v>3</v>
      </c>
      <c r="H712">
        <v>118.89</v>
      </c>
      <c r="I712">
        <v>0</v>
      </c>
      <c r="J712" t="s">
        <v>75</v>
      </c>
      <c r="K712" t="s">
        <v>77</v>
      </c>
      <c r="L712">
        <v>356.67</v>
      </c>
      <c r="M712">
        <v>0</v>
      </c>
      <c r="N712">
        <v>356.67</v>
      </c>
    </row>
    <row r="713" spans="1:14" x14ac:dyDescent="0.3">
      <c r="A713">
        <v>100712</v>
      </c>
      <c r="B713" s="2">
        <v>45321.625</v>
      </c>
      <c r="C713" t="s">
        <v>15</v>
      </c>
      <c r="D713" t="s">
        <v>24</v>
      </c>
      <c r="E713" t="s">
        <v>70</v>
      </c>
      <c r="F713" t="s">
        <v>71</v>
      </c>
      <c r="G713">
        <v>4</v>
      </c>
      <c r="H713">
        <v>7.96</v>
      </c>
      <c r="I713">
        <v>15</v>
      </c>
      <c r="J713" t="s">
        <v>75</v>
      </c>
      <c r="K713" t="s">
        <v>77</v>
      </c>
      <c r="L713">
        <v>31.84</v>
      </c>
      <c r="M713">
        <v>4.7759999999999998</v>
      </c>
      <c r="N713">
        <v>27.064</v>
      </c>
    </row>
    <row r="714" spans="1:14" x14ac:dyDescent="0.3">
      <c r="A714">
        <v>100713</v>
      </c>
      <c r="B714" s="2">
        <v>45321.666666666657</v>
      </c>
      <c r="C714" t="s">
        <v>14</v>
      </c>
      <c r="D714" t="s">
        <v>31</v>
      </c>
      <c r="E714" t="s">
        <v>66</v>
      </c>
      <c r="F714" t="s">
        <v>72</v>
      </c>
      <c r="G714">
        <v>3</v>
      </c>
      <c r="H714">
        <v>74.41</v>
      </c>
      <c r="I714">
        <v>15</v>
      </c>
      <c r="J714" t="s">
        <v>73</v>
      </c>
      <c r="K714" t="s">
        <v>77</v>
      </c>
      <c r="L714">
        <v>223.23</v>
      </c>
      <c r="M714">
        <v>33.484499999999997</v>
      </c>
      <c r="N714">
        <v>189.74549999999999</v>
      </c>
    </row>
    <row r="715" spans="1:14" x14ac:dyDescent="0.3">
      <c r="A715">
        <v>100714</v>
      </c>
      <c r="B715" s="2">
        <v>45321.708333333343</v>
      </c>
      <c r="C715" t="s">
        <v>15</v>
      </c>
      <c r="D715" t="s">
        <v>62</v>
      </c>
      <c r="E715" t="s">
        <v>69</v>
      </c>
      <c r="F715" t="s">
        <v>71</v>
      </c>
      <c r="G715">
        <v>3</v>
      </c>
      <c r="H715">
        <v>80.84</v>
      </c>
      <c r="I715">
        <v>0</v>
      </c>
      <c r="J715" t="s">
        <v>74</v>
      </c>
      <c r="K715" t="s">
        <v>77</v>
      </c>
      <c r="L715">
        <v>242.52</v>
      </c>
      <c r="M715">
        <v>0</v>
      </c>
      <c r="N715">
        <v>242.52</v>
      </c>
    </row>
    <row r="716" spans="1:14" x14ac:dyDescent="0.3">
      <c r="A716">
        <v>100715</v>
      </c>
      <c r="B716" s="2">
        <v>45321.75</v>
      </c>
      <c r="C716" t="s">
        <v>15</v>
      </c>
      <c r="D716" t="s">
        <v>36</v>
      </c>
      <c r="E716" t="s">
        <v>66</v>
      </c>
      <c r="F716" t="s">
        <v>72</v>
      </c>
      <c r="G716">
        <v>2</v>
      </c>
      <c r="H716">
        <v>84.13</v>
      </c>
      <c r="I716">
        <v>15</v>
      </c>
      <c r="J716" t="s">
        <v>75</v>
      </c>
      <c r="K716" t="s">
        <v>77</v>
      </c>
      <c r="L716">
        <v>168.26</v>
      </c>
      <c r="M716">
        <v>25.239000000000001</v>
      </c>
      <c r="N716">
        <v>143.02099999999999</v>
      </c>
    </row>
    <row r="717" spans="1:14" x14ac:dyDescent="0.3">
      <c r="A717">
        <v>100716</v>
      </c>
      <c r="B717" s="2">
        <v>45321.791666666657</v>
      </c>
      <c r="C717" t="s">
        <v>15</v>
      </c>
      <c r="D717" t="s">
        <v>64</v>
      </c>
      <c r="E717" t="s">
        <v>68</v>
      </c>
      <c r="F717" t="s">
        <v>71</v>
      </c>
      <c r="G717">
        <v>1</v>
      </c>
      <c r="H717">
        <v>18.84</v>
      </c>
      <c r="I717">
        <v>0</v>
      </c>
      <c r="J717" t="s">
        <v>75</v>
      </c>
      <c r="K717" t="s">
        <v>78</v>
      </c>
      <c r="L717">
        <v>18.84</v>
      </c>
      <c r="M717">
        <v>0</v>
      </c>
      <c r="N717">
        <v>18.84</v>
      </c>
    </row>
    <row r="718" spans="1:14" x14ac:dyDescent="0.3">
      <c r="A718">
        <v>100717</v>
      </c>
      <c r="B718" s="2">
        <v>45321.833333333343</v>
      </c>
      <c r="C718" t="s">
        <v>14</v>
      </c>
      <c r="D718" t="s">
        <v>41</v>
      </c>
      <c r="E718" t="s">
        <v>70</v>
      </c>
      <c r="F718" t="s">
        <v>72</v>
      </c>
      <c r="G718">
        <v>4</v>
      </c>
      <c r="H718">
        <v>112.93</v>
      </c>
      <c r="I718">
        <v>5</v>
      </c>
      <c r="J718" t="s">
        <v>76</v>
      </c>
      <c r="K718" t="s">
        <v>77</v>
      </c>
      <c r="L718">
        <v>451.72</v>
      </c>
      <c r="M718">
        <v>22.585999999999999</v>
      </c>
      <c r="N718">
        <v>429.13400000000001</v>
      </c>
    </row>
    <row r="719" spans="1:14" x14ac:dyDescent="0.3">
      <c r="A719">
        <v>100718</v>
      </c>
      <c r="B719" s="2">
        <v>45321.875</v>
      </c>
      <c r="C719" t="s">
        <v>15</v>
      </c>
      <c r="D719" t="s">
        <v>23</v>
      </c>
      <c r="E719" t="s">
        <v>69</v>
      </c>
      <c r="F719" t="s">
        <v>72</v>
      </c>
      <c r="G719">
        <v>4</v>
      </c>
      <c r="H719">
        <v>25.84</v>
      </c>
      <c r="I719">
        <v>15</v>
      </c>
      <c r="J719" t="s">
        <v>74</v>
      </c>
      <c r="K719" t="s">
        <v>77</v>
      </c>
      <c r="L719">
        <v>103.36</v>
      </c>
      <c r="M719">
        <v>15.504</v>
      </c>
      <c r="N719">
        <v>87.855999999999995</v>
      </c>
    </row>
    <row r="720" spans="1:14" x14ac:dyDescent="0.3">
      <c r="A720">
        <v>100719</v>
      </c>
      <c r="B720" s="2">
        <v>45321.916666666657</v>
      </c>
      <c r="C720" t="s">
        <v>15</v>
      </c>
      <c r="D720" t="s">
        <v>40</v>
      </c>
      <c r="E720" t="s">
        <v>68</v>
      </c>
      <c r="F720" t="s">
        <v>71</v>
      </c>
      <c r="G720">
        <v>4</v>
      </c>
      <c r="H720">
        <v>76.62</v>
      </c>
      <c r="I720">
        <v>15</v>
      </c>
      <c r="J720" t="s">
        <v>75</v>
      </c>
      <c r="K720" t="s">
        <v>77</v>
      </c>
      <c r="L720">
        <v>306.48</v>
      </c>
      <c r="M720">
        <v>45.972000000000001</v>
      </c>
      <c r="N720">
        <v>260.50799999999998</v>
      </c>
    </row>
    <row r="721" spans="1:14" x14ac:dyDescent="0.3">
      <c r="A721">
        <v>100720</v>
      </c>
      <c r="B721" s="2">
        <v>45321.958333333343</v>
      </c>
      <c r="C721" t="s">
        <v>15</v>
      </c>
      <c r="D721" t="s">
        <v>39</v>
      </c>
      <c r="E721" t="s">
        <v>68</v>
      </c>
      <c r="F721" t="s">
        <v>72</v>
      </c>
      <c r="G721">
        <v>2</v>
      </c>
      <c r="H721">
        <v>30.61</v>
      </c>
      <c r="I721">
        <v>0</v>
      </c>
      <c r="J721" t="s">
        <v>76</v>
      </c>
      <c r="K721" t="s">
        <v>79</v>
      </c>
      <c r="L721">
        <v>61.22</v>
      </c>
      <c r="M721">
        <v>0</v>
      </c>
      <c r="N721">
        <v>61.22</v>
      </c>
    </row>
    <row r="722" spans="1:14" x14ac:dyDescent="0.3">
      <c r="A722">
        <v>100721</v>
      </c>
      <c r="B722" s="2">
        <v>45322</v>
      </c>
      <c r="C722" t="s">
        <v>15</v>
      </c>
      <c r="D722" t="s">
        <v>54</v>
      </c>
      <c r="E722" t="s">
        <v>66</v>
      </c>
      <c r="F722" t="s">
        <v>72</v>
      </c>
      <c r="G722">
        <v>3</v>
      </c>
      <c r="H722">
        <v>40.33</v>
      </c>
      <c r="I722">
        <v>15</v>
      </c>
      <c r="J722" t="s">
        <v>76</v>
      </c>
      <c r="K722" t="s">
        <v>77</v>
      </c>
      <c r="L722">
        <v>120.99</v>
      </c>
      <c r="M722">
        <v>18.148499999999999</v>
      </c>
      <c r="N722">
        <v>102.8415</v>
      </c>
    </row>
    <row r="723" spans="1:14" x14ac:dyDescent="0.3">
      <c r="A723">
        <v>100722</v>
      </c>
      <c r="B723" s="2">
        <v>45322.041666666657</v>
      </c>
      <c r="C723" t="s">
        <v>14</v>
      </c>
      <c r="D723" t="s">
        <v>39</v>
      </c>
      <c r="E723" t="s">
        <v>68</v>
      </c>
      <c r="F723" t="s">
        <v>71</v>
      </c>
      <c r="G723">
        <v>1</v>
      </c>
      <c r="H723">
        <v>67.84</v>
      </c>
      <c r="I723">
        <v>10</v>
      </c>
      <c r="J723" t="s">
        <v>73</v>
      </c>
      <c r="K723" t="s">
        <v>77</v>
      </c>
      <c r="L723">
        <v>67.84</v>
      </c>
      <c r="M723">
        <v>6.7840000000000007</v>
      </c>
      <c r="N723">
        <v>61.055999999999997</v>
      </c>
    </row>
    <row r="724" spans="1:14" x14ac:dyDescent="0.3">
      <c r="A724">
        <v>100723</v>
      </c>
      <c r="B724" s="2">
        <v>45322.083333333343</v>
      </c>
      <c r="C724" t="s">
        <v>15</v>
      </c>
      <c r="D724" t="s">
        <v>64</v>
      </c>
      <c r="E724" t="s">
        <v>70</v>
      </c>
      <c r="F724" t="s">
        <v>72</v>
      </c>
      <c r="G724">
        <v>5</v>
      </c>
      <c r="H724">
        <v>52.98</v>
      </c>
      <c r="I724">
        <v>5</v>
      </c>
      <c r="J724" t="s">
        <v>76</v>
      </c>
      <c r="K724" t="s">
        <v>77</v>
      </c>
      <c r="L724">
        <v>264.89999999999998</v>
      </c>
      <c r="M724">
        <v>13.244999999999999</v>
      </c>
      <c r="N724">
        <v>251.655</v>
      </c>
    </row>
    <row r="725" spans="1:14" x14ac:dyDescent="0.3">
      <c r="A725">
        <v>100724</v>
      </c>
      <c r="B725" s="2">
        <v>45322.125</v>
      </c>
      <c r="C725" t="s">
        <v>14</v>
      </c>
      <c r="D725" t="s">
        <v>38</v>
      </c>
      <c r="E725" t="s">
        <v>70</v>
      </c>
      <c r="F725" t="s">
        <v>71</v>
      </c>
      <c r="G725">
        <v>3</v>
      </c>
      <c r="H725">
        <v>23.43</v>
      </c>
      <c r="I725">
        <v>5</v>
      </c>
      <c r="J725" t="s">
        <v>75</v>
      </c>
      <c r="K725" t="s">
        <v>77</v>
      </c>
      <c r="L725">
        <v>70.289999999999992</v>
      </c>
      <c r="M725">
        <v>3.5145</v>
      </c>
      <c r="N725">
        <v>66.775499999999994</v>
      </c>
    </row>
    <row r="726" spans="1:14" x14ac:dyDescent="0.3">
      <c r="A726">
        <v>100725</v>
      </c>
      <c r="B726" s="2">
        <v>45322.166666666657</v>
      </c>
      <c r="C726" t="s">
        <v>14</v>
      </c>
      <c r="D726" t="s">
        <v>56</v>
      </c>
      <c r="E726" t="s">
        <v>67</v>
      </c>
      <c r="F726" t="s">
        <v>71</v>
      </c>
      <c r="G726">
        <v>2</v>
      </c>
      <c r="H726">
        <v>24.66</v>
      </c>
      <c r="I726">
        <v>15</v>
      </c>
      <c r="J726" t="s">
        <v>73</v>
      </c>
      <c r="K726" t="s">
        <v>77</v>
      </c>
      <c r="L726">
        <v>49.32</v>
      </c>
      <c r="M726">
        <v>7.3979999999999997</v>
      </c>
      <c r="N726">
        <v>41.921999999999997</v>
      </c>
    </row>
    <row r="727" spans="1:14" x14ac:dyDescent="0.3">
      <c r="A727">
        <v>100726</v>
      </c>
      <c r="B727" s="2">
        <v>45322.208333333343</v>
      </c>
      <c r="C727" t="s">
        <v>14</v>
      </c>
      <c r="D727" t="s">
        <v>54</v>
      </c>
      <c r="E727" t="s">
        <v>70</v>
      </c>
      <c r="F727" t="s">
        <v>71</v>
      </c>
      <c r="G727">
        <v>3</v>
      </c>
      <c r="H727">
        <v>53.09</v>
      </c>
      <c r="I727">
        <v>15</v>
      </c>
      <c r="J727" t="s">
        <v>73</v>
      </c>
      <c r="K727" t="s">
        <v>77</v>
      </c>
      <c r="L727">
        <v>159.27000000000001</v>
      </c>
      <c r="M727">
        <v>23.890499999999999</v>
      </c>
      <c r="N727">
        <v>135.37950000000001</v>
      </c>
    </row>
    <row r="728" spans="1:14" x14ac:dyDescent="0.3">
      <c r="A728">
        <v>100727</v>
      </c>
      <c r="B728" s="2">
        <v>45322.25</v>
      </c>
      <c r="C728" t="s">
        <v>14</v>
      </c>
      <c r="D728" t="s">
        <v>25</v>
      </c>
      <c r="E728" t="s">
        <v>68</v>
      </c>
      <c r="F728" t="s">
        <v>71</v>
      </c>
      <c r="G728">
        <v>3</v>
      </c>
      <c r="H728">
        <v>92.09</v>
      </c>
      <c r="I728">
        <v>10</v>
      </c>
      <c r="J728" t="s">
        <v>75</v>
      </c>
      <c r="K728" t="s">
        <v>77</v>
      </c>
      <c r="L728">
        <v>276.27</v>
      </c>
      <c r="M728">
        <v>27.626999999999999</v>
      </c>
      <c r="N728">
        <v>248.643</v>
      </c>
    </row>
    <row r="729" spans="1:14" x14ac:dyDescent="0.3">
      <c r="A729">
        <v>100728</v>
      </c>
      <c r="B729" s="2">
        <v>45322.291666666657</v>
      </c>
      <c r="C729" t="s">
        <v>14</v>
      </c>
      <c r="D729" t="s">
        <v>44</v>
      </c>
      <c r="E729" t="s">
        <v>70</v>
      </c>
      <c r="F729" t="s">
        <v>72</v>
      </c>
      <c r="G729">
        <v>2</v>
      </c>
      <c r="H729">
        <v>108.27</v>
      </c>
      <c r="I729">
        <v>10</v>
      </c>
      <c r="J729" t="s">
        <v>74</v>
      </c>
      <c r="K729" t="s">
        <v>77</v>
      </c>
      <c r="L729">
        <v>216.54</v>
      </c>
      <c r="M729">
        <v>21.654</v>
      </c>
      <c r="N729">
        <v>194.886</v>
      </c>
    </row>
    <row r="730" spans="1:14" x14ac:dyDescent="0.3">
      <c r="A730">
        <v>100729</v>
      </c>
      <c r="B730" s="2">
        <v>45322.333333333343</v>
      </c>
      <c r="C730" t="s">
        <v>14</v>
      </c>
      <c r="D730" t="s">
        <v>29</v>
      </c>
      <c r="E730" t="s">
        <v>66</v>
      </c>
      <c r="F730" t="s">
        <v>72</v>
      </c>
      <c r="G730">
        <v>4</v>
      </c>
      <c r="H730">
        <v>14.67</v>
      </c>
      <c r="I730">
        <v>15</v>
      </c>
      <c r="J730" t="s">
        <v>76</v>
      </c>
      <c r="K730" t="s">
        <v>77</v>
      </c>
      <c r="L730">
        <v>58.68</v>
      </c>
      <c r="M730">
        <v>8.8019999999999996</v>
      </c>
      <c r="N730">
        <v>49.878</v>
      </c>
    </row>
    <row r="731" spans="1:14" x14ac:dyDescent="0.3">
      <c r="A731">
        <v>100730</v>
      </c>
      <c r="B731" s="2">
        <v>45322.375</v>
      </c>
      <c r="C731" t="s">
        <v>15</v>
      </c>
      <c r="D731" t="s">
        <v>60</v>
      </c>
      <c r="E731" t="s">
        <v>67</v>
      </c>
      <c r="F731" t="s">
        <v>72</v>
      </c>
      <c r="G731">
        <v>4</v>
      </c>
      <c r="H731">
        <v>50.21</v>
      </c>
      <c r="I731">
        <v>15</v>
      </c>
      <c r="J731" t="s">
        <v>73</v>
      </c>
      <c r="K731" t="s">
        <v>78</v>
      </c>
      <c r="L731">
        <v>200.84</v>
      </c>
      <c r="M731">
        <v>30.126000000000001</v>
      </c>
      <c r="N731">
        <v>170.714</v>
      </c>
    </row>
    <row r="732" spans="1:14" x14ac:dyDescent="0.3">
      <c r="A732">
        <v>100731</v>
      </c>
      <c r="B732" s="2">
        <v>45322.416666666657</v>
      </c>
      <c r="C732" t="s">
        <v>14</v>
      </c>
      <c r="D732" t="s">
        <v>42</v>
      </c>
      <c r="E732" t="s">
        <v>68</v>
      </c>
      <c r="F732" t="s">
        <v>71</v>
      </c>
      <c r="G732">
        <v>1</v>
      </c>
      <c r="H732">
        <v>16.53</v>
      </c>
      <c r="I732">
        <v>10</v>
      </c>
      <c r="J732" t="s">
        <v>74</v>
      </c>
      <c r="K732" t="s">
        <v>79</v>
      </c>
      <c r="L732">
        <v>16.53</v>
      </c>
      <c r="M732">
        <v>1.653</v>
      </c>
      <c r="N732">
        <v>14.877000000000001</v>
      </c>
    </row>
    <row r="733" spans="1:14" x14ac:dyDescent="0.3">
      <c r="A733">
        <v>100732</v>
      </c>
      <c r="B733" s="2">
        <v>45322.458333333343</v>
      </c>
      <c r="C733" t="s">
        <v>14</v>
      </c>
      <c r="D733" t="s">
        <v>28</v>
      </c>
      <c r="E733" t="s">
        <v>67</v>
      </c>
      <c r="F733" t="s">
        <v>72</v>
      </c>
      <c r="G733">
        <v>1</v>
      </c>
      <c r="H733">
        <v>6.91</v>
      </c>
      <c r="I733">
        <v>0</v>
      </c>
      <c r="J733" t="s">
        <v>75</v>
      </c>
      <c r="K733" t="s">
        <v>77</v>
      </c>
      <c r="L733">
        <v>6.91</v>
      </c>
      <c r="M733">
        <v>0</v>
      </c>
      <c r="N733">
        <v>6.91</v>
      </c>
    </row>
    <row r="734" spans="1:14" x14ac:dyDescent="0.3">
      <c r="A734">
        <v>100733</v>
      </c>
      <c r="B734" s="2">
        <v>45322.5</v>
      </c>
      <c r="C734" t="s">
        <v>14</v>
      </c>
      <c r="D734" t="s">
        <v>18</v>
      </c>
      <c r="E734" t="s">
        <v>68</v>
      </c>
      <c r="F734" t="s">
        <v>72</v>
      </c>
      <c r="G734">
        <v>4</v>
      </c>
      <c r="H734">
        <v>81.099999999999994</v>
      </c>
      <c r="I734">
        <v>10</v>
      </c>
      <c r="J734" t="s">
        <v>76</v>
      </c>
      <c r="K734" t="s">
        <v>77</v>
      </c>
      <c r="L734">
        <v>324.39999999999998</v>
      </c>
      <c r="M734">
        <v>32.44</v>
      </c>
      <c r="N734">
        <v>291.95999999999998</v>
      </c>
    </row>
    <row r="735" spans="1:14" x14ac:dyDescent="0.3">
      <c r="A735">
        <v>100734</v>
      </c>
      <c r="B735" s="2">
        <v>45322.541666666657</v>
      </c>
      <c r="C735" t="s">
        <v>15</v>
      </c>
      <c r="D735" t="s">
        <v>64</v>
      </c>
      <c r="E735" t="s">
        <v>66</v>
      </c>
      <c r="F735" t="s">
        <v>71</v>
      </c>
      <c r="G735">
        <v>5</v>
      </c>
      <c r="H735">
        <v>74.28</v>
      </c>
      <c r="I735">
        <v>0</v>
      </c>
      <c r="J735" t="s">
        <v>76</v>
      </c>
      <c r="K735" t="s">
        <v>77</v>
      </c>
      <c r="L735">
        <v>371.4</v>
      </c>
      <c r="M735">
        <v>0</v>
      </c>
      <c r="N735">
        <v>371.4</v>
      </c>
    </row>
    <row r="736" spans="1:14" x14ac:dyDescent="0.3">
      <c r="A736">
        <v>100735</v>
      </c>
      <c r="B736" s="2">
        <v>45322.583333333343</v>
      </c>
      <c r="C736" t="s">
        <v>15</v>
      </c>
      <c r="D736" t="s">
        <v>29</v>
      </c>
      <c r="E736" t="s">
        <v>67</v>
      </c>
      <c r="F736" t="s">
        <v>71</v>
      </c>
      <c r="G736">
        <v>3</v>
      </c>
      <c r="H736">
        <v>23.75</v>
      </c>
      <c r="I736">
        <v>5</v>
      </c>
      <c r="J736" t="s">
        <v>73</v>
      </c>
      <c r="K736" t="s">
        <v>77</v>
      </c>
      <c r="L736">
        <v>71.25</v>
      </c>
      <c r="M736">
        <v>3.5625</v>
      </c>
      <c r="N736">
        <v>67.6875</v>
      </c>
    </row>
    <row r="737" spans="1:14" x14ac:dyDescent="0.3">
      <c r="A737">
        <v>100736</v>
      </c>
      <c r="B737" s="2">
        <v>45322.625</v>
      </c>
      <c r="C737" t="s">
        <v>14</v>
      </c>
      <c r="D737" t="s">
        <v>19</v>
      </c>
      <c r="E737" t="s">
        <v>69</v>
      </c>
      <c r="F737" t="s">
        <v>72</v>
      </c>
      <c r="G737">
        <v>5</v>
      </c>
      <c r="H737">
        <v>31.89</v>
      </c>
      <c r="I737">
        <v>5</v>
      </c>
      <c r="J737" t="s">
        <v>76</v>
      </c>
      <c r="K737" t="s">
        <v>77</v>
      </c>
      <c r="L737">
        <v>159.44999999999999</v>
      </c>
      <c r="M737">
        <v>7.9725000000000001</v>
      </c>
      <c r="N737">
        <v>151.47749999999999</v>
      </c>
    </row>
    <row r="738" spans="1:14" x14ac:dyDescent="0.3">
      <c r="A738">
        <v>100737</v>
      </c>
      <c r="B738" s="2">
        <v>45322.666666666657</v>
      </c>
      <c r="C738" t="s">
        <v>15</v>
      </c>
      <c r="D738" t="s">
        <v>51</v>
      </c>
      <c r="E738" t="s">
        <v>68</v>
      </c>
      <c r="F738" t="s">
        <v>71</v>
      </c>
      <c r="G738">
        <v>3</v>
      </c>
      <c r="H738">
        <v>7.73</v>
      </c>
      <c r="I738">
        <v>10</v>
      </c>
      <c r="J738" t="s">
        <v>76</v>
      </c>
      <c r="K738" t="s">
        <v>77</v>
      </c>
      <c r="L738">
        <v>23.19</v>
      </c>
      <c r="M738">
        <v>2.319</v>
      </c>
      <c r="N738">
        <v>20.870999999999999</v>
      </c>
    </row>
    <row r="739" spans="1:14" x14ac:dyDescent="0.3">
      <c r="A739">
        <v>100738</v>
      </c>
      <c r="B739" s="2">
        <v>45322.708333333343</v>
      </c>
      <c r="C739" t="s">
        <v>14</v>
      </c>
      <c r="D739" t="s">
        <v>25</v>
      </c>
      <c r="E739" t="s">
        <v>69</v>
      </c>
      <c r="F739" t="s">
        <v>71</v>
      </c>
      <c r="G739">
        <v>4</v>
      </c>
      <c r="H739">
        <v>101.02</v>
      </c>
      <c r="I739">
        <v>0</v>
      </c>
      <c r="J739" t="s">
        <v>76</v>
      </c>
      <c r="K739" t="s">
        <v>77</v>
      </c>
      <c r="L739">
        <v>404.08</v>
      </c>
      <c r="M739">
        <v>0</v>
      </c>
      <c r="N739">
        <v>404.08</v>
      </c>
    </row>
    <row r="740" spans="1:14" x14ac:dyDescent="0.3">
      <c r="A740">
        <v>100739</v>
      </c>
      <c r="B740" s="2">
        <v>45322.75</v>
      </c>
      <c r="C740" t="s">
        <v>14</v>
      </c>
      <c r="D740" t="s">
        <v>62</v>
      </c>
      <c r="E740" t="s">
        <v>67</v>
      </c>
      <c r="F740" t="s">
        <v>71</v>
      </c>
      <c r="G740">
        <v>1</v>
      </c>
      <c r="H740">
        <v>117.09</v>
      </c>
      <c r="I740">
        <v>10</v>
      </c>
      <c r="J740" t="s">
        <v>76</v>
      </c>
      <c r="K740" t="s">
        <v>77</v>
      </c>
      <c r="L740">
        <v>117.09</v>
      </c>
      <c r="M740">
        <v>11.709</v>
      </c>
      <c r="N740">
        <v>105.381</v>
      </c>
    </row>
    <row r="741" spans="1:14" x14ac:dyDescent="0.3">
      <c r="A741">
        <v>100740</v>
      </c>
      <c r="B741" s="2">
        <v>45322.791666666657</v>
      </c>
      <c r="C741" t="s">
        <v>15</v>
      </c>
      <c r="D741" t="s">
        <v>16</v>
      </c>
      <c r="E741" t="s">
        <v>69</v>
      </c>
      <c r="F741" t="s">
        <v>71</v>
      </c>
      <c r="G741">
        <v>1</v>
      </c>
      <c r="H741">
        <v>20.58</v>
      </c>
      <c r="I741">
        <v>10</v>
      </c>
      <c r="J741" t="s">
        <v>75</v>
      </c>
      <c r="K741" t="s">
        <v>77</v>
      </c>
      <c r="L741">
        <v>20.58</v>
      </c>
      <c r="M741">
        <v>2.0579999999999998</v>
      </c>
      <c r="N741">
        <v>18.521999999999998</v>
      </c>
    </row>
    <row r="742" spans="1:14" x14ac:dyDescent="0.3">
      <c r="A742">
        <v>100741</v>
      </c>
      <c r="B742" s="2">
        <v>45322.833333333343</v>
      </c>
      <c r="C742" t="s">
        <v>14</v>
      </c>
      <c r="D742" t="s">
        <v>35</v>
      </c>
      <c r="E742" t="s">
        <v>69</v>
      </c>
      <c r="F742" t="s">
        <v>72</v>
      </c>
      <c r="G742">
        <v>5</v>
      </c>
      <c r="H742">
        <v>31.62</v>
      </c>
      <c r="I742">
        <v>0</v>
      </c>
      <c r="J742" t="s">
        <v>74</v>
      </c>
      <c r="K742" t="s">
        <v>77</v>
      </c>
      <c r="L742">
        <v>158.1</v>
      </c>
      <c r="M742">
        <v>0</v>
      </c>
      <c r="N742">
        <v>158.1</v>
      </c>
    </row>
    <row r="743" spans="1:14" x14ac:dyDescent="0.3">
      <c r="A743">
        <v>100742</v>
      </c>
      <c r="B743" s="2">
        <v>45322.875</v>
      </c>
      <c r="C743" t="s">
        <v>15</v>
      </c>
      <c r="D743" t="s">
        <v>62</v>
      </c>
      <c r="E743" t="s">
        <v>67</v>
      </c>
      <c r="F743" t="s">
        <v>71</v>
      </c>
      <c r="G743">
        <v>1</v>
      </c>
      <c r="H743">
        <v>104.87</v>
      </c>
      <c r="I743">
        <v>10</v>
      </c>
      <c r="J743" t="s">
        <v>75</v>
      </c>
      <c r="K743" t="s">
        <v>77</v>
      </c>
      <c r="L743">
        <v>104.87</v>
      </c>
      <c r="M743">
        <v>10.487</v>
      </c>
      <c r="N743">
        <v>94.38300000000001</v>
      </c>
    </row>
    <row r="744" spans="1:14" x14ac:dyDescent="0.3">
      <c r="A744">
        <v>100743</v>
      </c>
      <c r="B744" s="2">
        <v>45322.916666666657</v>
      </c>
      <c r="C744" t="s">
        <v>15</v>
      </c>
      <c r="D744" t="s">
        <v>44</v>
      </c>
      <c r="E744" t="s">
        <v>66</v>
      </c>
      <c r="F744" t="s">
        <v>71</v>
      </c>
      <c r="G744">
        <v>4</v>
      </c>
      <c r="H744">
        <v>111.54</v>
      </c>
      <c r="I744">
        <v>5</v>
      </c>
      <c r="J744" t="s">
        <v>75</v>
      </c>
      <c r="K744" t="s">
        <v>77</v>
      </c>
      <c r="L744">
        <v>446.16</v>
      </c>
      <c r="M744">
        <v>22.308</v>
      </c>
      <c r="N744">
        <v>423.85199999999998</v>
      </c>
    </row>
    <row r="745" spans="1:14" x14ac:dyDescent="0.3">
      <c r="A745">
        <v>100744</v>
      </c>
      <c r="B745" s="2">
        <v>45322.958333333343</v>
      </c>
      <c r="C745" t="s">
        <v>14</v>
      </c>
      <c r="D745" t="s">
        <v>17</v>
      </c>
      <c r="E745" t="s">
        <v>69</v>
      </c>
      <c r="F745" t="s">
        <v>71</v>
      </c>
      <c r="G745">
        <v>5</v>
      </c>
      <c r="H745">
        <v>53.26</v>
      </c>
      <c r="I745">
        <v>15</v>
      </c>
      <c r="J745" t="s">
        <v>73</v>
      </c>
      <c r="K745" t="s">
        <v>77</v>
      </c>
      <c r="L745">
        <v>266.3</v>
      </c>
      <c r="M745">
        <v>39.945</v>
      </c>
      <c r="N745">
        <v>226.35499999999999</v>
      </c>
    </row>
    <row r="746" spans="1:14" x14ac:dyDescent="0.3">
      <c r="A746">
        <v>100745</v>
      </c>
      <c r="B746" s="2">
        <v>45323</v>
      </c>
      <c r="C746" t="s">
        <v>14</v>
      </c>
      <c r="D746" t="s">
        <v>41</v>
      </c>
      <c r="E746" t="s">
        <v>69</v>
      </c>
      <c r="F746" t="s">
        <v>71</v>
      </c>
      <c r="G746">
        <v>3</v>
      </c>
      <c r="H746">
        <v>10.82</v>
      </c>
      <c r="I746">
        <v>15</v>
      </c>
      <c r="J746" t="s">
        <v>76</v>
      </c>
      <c r="K746" t="s">
        <v>77</v>
      </c>
      <c r="L746">
        <v>32.46</v>
      </c>
      <c r="M746">
        <v>4.8689999999999998</v>
      </c>
      <c r="N746">
        <v>27.591000000000001</v>
      </c>
    </row>
    <row r="747" spans="1:14" x14ac:dyDescent="0.3">
      <c r="A747">
        <v>100746</v>
      </c>
      <c r="B747" s="2">
        <v>45323.041666666657</v>
      </c>
      <c r="C747" t="s">
        <v>15</v>
      </c>
      <c r="D747" t="s">
        <v>31</v>
      </c>
      <c r="E747" t="s">
        <v>66</v>
      </c>
      <c r="F747" t="s">
        <v>71</v>
      </c>
      <c r="G747">
        <v>1</v>
      </c>
      <c r="H747">
        <v>9.5299999999999994</v>
      </c>
      <c r="I747">
        <v>10</v>
      </c>
      <c r="J747" t="s">
        <v>75</v>
      </c>
      <c r="K747" t="s">
        <v>77</v>
      </c>
      <c r="L747">
        <v>9.5299999999999994</v>
      </c>
      <c r="M747">
        <v>0.95299999999999996</v>
      </c>
      <c r="N747">
        <v>8.577</v>
      </c>
    </row>
    <row r="748" spans="1:14" x14ac:dyDescent="0.3">
      <c r="A748">
        <v>100747</v>
      </c>
      <c r="B748" s="2">
        <v>45323.083333333343</v>
      </c>
      <c r="C748" t="s">
        <v>14</v>
      </c>
      <c r="D748" t="s">
        <v>17</v>
      </c>
      <c r="E748" t="s">
        <v>69</v>
      </c>
      <c r="F748" t="s">
        <v>71</v>
      </c>
      <c r="G748">
        <v>2</v>
      </c>
      <c r="H748">
        <v>71</v>
      </c>
      <c r="I748">
        <v>0</v>
      </c>
      <c r="J748" t="s">
        <v>76</v>
      </c>
      <c r="K748" t="s">
        <v>77</v>
      </c>
      <c r="L748">
        <v>142</v>
      </c>
      <c r="M748">
        <v>0</v>
      </c>
      <c r="N748">
        <v>142</v>
      </c>
    </row>
    <row r="749" spans="1:14" x14ac:dyDescent="0.3">
      <c r="A749">
        <v>100748</v>
      </c>
      <c r="B749" s="2">
        <v>45323.125</v>
      </c>
      <c r="C749" t="s">
        <v>14</v>
      </c>
      <c r="D749" t="s">
        <v>17</v>
      </c>
      <c r="E749" t="s">
        <v>69</v>
      </c>
      <c r="F749" t="s">
        <v>71</v>
      </c>
      <c r="G749">
        <v>1</v>
      </c>
      <c r="H749">
        <v>50.18</v>
      </c>
      <c r="I749">
        <v>0</v>
      </c>
      <c r="J749" t="s">
        <v>75</v>
      </c>
      <c r="K749" t="s">
        <v>78</v>
      </c>
      <c r="L749">
        <v>50.18</v>
      </c>
      <c r="M749">
        <v>0</v>
      </c>
      <c r="N749">
        <v>50.18</v>
      </c>
    </row>
    <row r="750" spans="1:14" x14ac:dyDescent="0.3">
      <c r="A750">
        <v>100749</v>
      </c>
      <c r="B750" s="2">
        <v>45323.166666666657</v>
      </c>
      <c r="C750" t="s">
        <v>14</v>
      </c>
      <c r="D750" t="s">
        <v>54</v>
      </c>
      <c r="E750" t="s">
        <v>69</v>
      </c>
      <c r="F750" t="s">
        <v>71</v>
      </c>
      <c r="G750">
        <v>3</v>
      </c>
      <c r="H750">
        <v>8.3000000000000007</v>
      </c>
      <c r="I750">
        <v>5</v>
      </c>
      <c r="J750" t="s">
        <v>75</v>
      </c>
      <c r="K750" t="s">
        <v>77</v>
      </c>
      <c r="L750">
        <v>24.9</v>
      </c>
      <c r="M750">
        <v>1.2450000000000001</v>
      </c>
      <c r="N750">
        <v>23.655000000000001</v>
      </c>
    </row>
    <row r="751" spans="1:14" x14ac:dyDescent="0.3">
      <c r="A751">
        <v>100750</v>
      </c>
      <c r="B751" s="2">
        <v>45323.208333333343</v>
      </c>
      <c r="C751" t="s">
        <v>15</v>
      </c>
      <c r="D751" t="s">
        <v>16</v>
      </c>
      <c r="E751" t="s">
        <v>70</v>
      </c>
      <c r="F751" t="s">
        <v>72</v>
      </c>
      <c r="G751">
        <v>5</v>
      </c>
      <c r="H751">
        <v>72.069999999999993</v>
      </c>
      <c r="I751">
        <v>0</v>
      </c>
      <c r="J751" t="s">
        <v>73</v>
      </c>
      <c r="K751" t="s">
        <v>77</v>
      </c>
      <c r="L751">
        <v>360.35</v>
      </c>
      <c r="M751">
        <v>0</v>
      </c>
      <c r="N751">
        <v>360.35</v>
      </c>
    </row>
    <row r="752" spans="1:14" x14ac:dyDescent="0.3">
      <c r="A752">
        <v>100751</v>
      </c>
      <c r="B752" s="2">
        <v>45323.25</v>
      </c>
      <c r="C752" t="s">
        <v>15</v>
      </c>
      <c r="D752" t="s">
        <v>36</v>
      </c>
      <c r="E752" t="s">
        <v>66</v>
      </c>
      <c r="F752" t="s">
        <v>71</v>
      </c>
      <c r="G752">
        <v>3</v>
      </c>
      <c r="H752">
        <v>6.3</v>
      </c>
      <c r="I752">
        <v>0</v>
      </c>
      <c r="J752" t="s">
        <v>74</v>
      </c>
      <c r="K752" t="s">
        <v>77</v>
      </c>
      <c r="L752">
        <v>18.899999999999999</v>
      </c>
      <c r="M752">
        <v>0</v>
      </c>
      <c r="N752">
        <v>18.899999999999999</v>
      </c>
    </row>
    <row r="753" spans="1:14" x14ac:dyDescent="0.3">
      <c r="A753">
        <v>100752</v>
      </c>
      <c r="B753" s="2">
        <v>45323.291666666657</v>
      </c>
      <c r="C753" t="s">
        <v>14</v>
      </c>
      <c r="D753" t="s">
        <v>30</v>
      </c>
      <c r="E753" t="s">
        <v>69</v>
      </c>
      <c r="F753" t="s">
        <v>72</v>
      </c>
      <c r="G753">
        <v>2</v>
      </c>
      <c r="H753">
        <v>95.55</v>
      </c>
      <c r="I753">
        <v>5</v>
      </c>
      <c r="J753" t="s">
        <v>74</v>
      </c>
      <c r="K753" t="s">
        <v>78</v>
      </c>
      <c r="L753">
        <v>191.1</v>
      </c>
      <c r="M753">
        <v>9.5549999999999997</v>
      </c>
      <c r="N753">
        <v>181.54499999999999</v>
      </c>
    </row>
    <row r="754" spans="1:14" x14ac:dyDescent="0.3">
      <c r="A754">
        <v>100753</v>
      </c>
      <c r="B754" s="2">
        <v>45323.333333333343</v>
      </c>
      <c r="C754" t="s">
        <v>15</v>
      </c>
      <c r="D754" t="s">
        <v>62</v>
      </c>
      <c r="E754" t="s">
        <v>66</v>
      </c>
      <c r="F754" t="s">
        <v>71</v>
      </c>
      <c r="G754">
        <v>4</v>
      </c>
      <c r="H754">
        <v>40.24</v>
      </c>
      <c r="I754">
        <v>10</v>
      </c>
      <c r="J754" t="s">
        <v>75</v>
      </c>
      <c r="K754" t="s">
        <v>78</v>
      </c>
      <c r="L754">
        <v>160.96</v>
      </c>
      <c r="M754">
        <v>16.096</v>
      </c>
      <c r="N754">
        <v>144.864</v>
      </c>
    </row>
    <row r="755" spans="1:14" x14ac:dyDescent="0.3">
      <c r="A755">
        <v>100754</v>
      </c>
      <c r="B755" s="2">
        <v>45323.375</v>
      </c>
      <c r="C755" t="s">
        <v>15</v>
      </c>
      <c r="D755" t="s">
        <v>54</v>
      </c>
      <c r="E755" t="s">
        <v>68</v>
      </c>
      <c r="F755" t="s">
        <v>71</v>
      </c>
      <c r="G755">
        <v>1</v>
      </c>
      <c r="H755">
        <v>9.6300000000000008</v>
      </c>
      <c r="I755">
        <v>15</v>
      </c>
      <c r="J755" t="s">
        <v>73</v>
      </c>
      <c r="K755" t="s">
        <v>77</v>
      </c>
      <c r="L755">
        <v>9.6300000000000008</v>
      </c>
      <c r="M755">
        <v>1.4444999999999999</v>
      </c>
      <c r="N755">
        <v>8.1855000000000011</v>
      </c>
    </row>
    <row r="756" spans="1:14" x14ac:dyDescent="0.3">
      <c r="A756">
        <v>100755</v>
      </c>
      <c r="B756" s="2">
        <v>45323.416666666657</v>
      </c>
      <c r="C756" t="s">
        <v>15</v>
      </c>
      <c r="D756" t="s">
        <v>61</v>
      </c>
      <c r="E756" t="s">
        <v>68</v>
      </c>
      <c r="F756" t="s">
        <v>71</v>
      </c>
      <c r="G756">
        <v>5</v>
      </c>
      <c r="H756">
        <v>72.66</v>
      </c>
      <c r="I756">
        <v>5</v>
      </c>
      <c r="J756" t="s">
        <v>76</v>
      </c>
      <c r="K756" t="s">
        <v>78</v>
      </c>
      <c r="L756">
        <v>363.3</v>
      </c>
      <c r="M756">
        <v>18.164999999999999</v>
      </c>
      <c r="N756">
        <v>345.13499999999988</v>
      </c>
    </row>
    <row r="757" spans="1:14" x14ac:dyDescent="0.3">
      <c r="A757">
        <v>100756</v>
      </c>
      <c r="B757" s="2">
        <v>45323.458333333343</v>
      </c>
      <c r="C757" t="s">
        <v>15</v>
      </c>
      <c r="D757" t="s">
        <v>30</v>
      </c>
      <c r="E757" t="s">
        <v>69</v>
      </c>
      <c r="F757" t="s">
        <v>71</v>
      </c>
      <c r="G757">
        <v>4</v>
      </c>
      <c r="H757">
        <v>50.73</v>
      </c>
      <c r="I757">
        <v>10</v>
      </c>
      <c r="J757" t="s">
        <v>76</v>
      </c>
      <c r="K757" t="s">
        <v>77</v>
      </c>
      <c r="L757">
        <v>202.92</v>
      </c>
      <c r="M757">
        <v>20.292000000000002</v>
      </c>
      <c r="N757">
        <v>182.62799999999999</v>
      </c>
    </row>
    <row r="758" spans="1:14" x14ac:dyDescent="0.3">
      <c r="A758">
        <v>100757</v>
      </c>
      <c r="B758" s="2">
        <v>45323.5</v>
      </c>
      <c r="C758" t="s">
        <v>15</v>
      </c>
      <c r="D758" t="s">
        <v>56</v>
      </c>
      <c r="E758" t="s">
        <v>66</v>
      </c>
      <c r="F758" t="s">
        <v>72</v>
      </c>
      <c r="G758">
        <v>3</v>
      </c>
      <c r="H758">
        <v>116.99</v>
      </c>
      <c r="I758">
        <v>5</v>
      </c>
      <c r="J758" t="s">
        <v>75</v>
      </c>
      <c r="K758" t="s">
        <v>77</v>
      </c>
      <c r="L758">
        <v>350.97</v>
      </c>
      <c r="M758">
        <v>17.548500000000001</v>
      </c>
      <c r="N758">
        <v>333.42149999999998</v>
      </c>
    </row>
    <row r="759" spans="1:14" x14ac:dyDescent="0.3">
      <c r="A759">
        <v>100758</v>
      </c>
      <c r="B759" s="2">
        <v>45323.541666666657</v>
      </c>
      <c r="C759" t="s">
        <v>14</v>
      </c>
      <c r="D759" t="s">
        <v>25</v>
      </c>
      <c r="E759" t="s">
        <v>66</v>
      </c>
      <c r="F759" t="s">
        <v>71</v>
      </c>
      <c r="G759">
        <v>5</v>
      </c>
      <c r="H759">
        <v>67.58</v>
      </c>
      <c r="I759">
        <v>10</v>
      </c>
      <c r="J759" t="s">
        <v>74</v>
      </c>
      <c r="K759" t="s">
        <v>77</v>
      </c>
      <c r="L759">
        <v>337.9</v>
      </c>
      <c r="M759">
        <v>33.79</v>
      </c>
      <c r="N759">
        <v>304.11</v>
      </c>
    </row>
    <row r="760" spans="1:14" x14ac:dyDescent="0.3">
      <c r="A760">
        <v>100759</v>
      </c>
      <c r="B760" s="2">
        <v>45323.583333333343</v>
      </c>
      <c r="C760" t="s">
        <v>14</v>
      </c>
      <c r="D760" t="s">
        <v>48</v>
      </c>
      <c r="E760" t="s">
        <v>66</v>
      </c>
      <c r="F760" t="s">
        <v>71</v>
      </c>
      <c r="G760">
        <v>4</v>
      </c>
      <c r="H760">
        <v>36.65</v>
      </c>
      <c r="I760">
        <v>5</v>
      </c>
      <c r="J760" t="s">
        <v>73</v>
      </c>
      <c r="K760" t="s">
        <v>77</v>
      </c>
      <c r="L760">
        <v>146.6</v>
      </c>
      <c r="M760">
        <v>7.33</v>
      </c>
      <c r="N760">
        <v>139.27000000000001</v>
      </c>
    </row>
    <row r="761" spans="1:14" x14ac:dyDescent="0.3">
      <c r="A761">
        <v>100760</v>
      </c>
      <c r="B761" s="2">
        <v>45323.625</v>
      </c>
      <c r="C761" t="s">
        <v>14</v>
      </c>
      <c r="D761" t="s">
        <v>34</v>
      </c>
      <c r="E761" t="s">
        <v>70</v>
      </c>
      <c r="F761" t="s">
        <v>72</v>
      </c>
      <c r="G761">
        <v>5</v>
      </c>
      <c r="H761">
        <v>86.59</v>
      </c>
      <c r="I761">
        <v>10</v>
      </c>
      <c r="J761" t="s">
        <v>74</v>
      </c>
      <c r="K761" t="s">
        <v>78</v>
      </c>
      <c r="L761">
        <v>432.95</v>
      </c>
      <c r="M761">
        <v>43.295000000000009</v>
      </c>
      <c r="N761">
        <v>389.65499999999997</v>
      </c>
    </row>
    <row r="762" spans="1:14" x14ac:dyDescent="0.3">
      <c r="A762">
        <v>100761</v>
      </c>
      <c r="B762" s="2">
        <v>45323.666666666657</v>
      </c>
      <c r="C762" t="s">
        <v>15</v>
      </c>
      <c r="D762" t="s">
        <v>50</v>
      </c>
      <c r="E762" t="s">
        <v>68</v>
      </c>
      <c r="F762" t="s">
        <v>72</v>
      </c>
      <c r="G762">
        <v>2</v>
      </c>
      <c r="H762">
        <v>36.22</v>
      </c>
      <c r="I762">
        <v>5</v>
      </c>
      <c r="J762" t="s">
        <v>76</v>
      </c>
      <c r="K762" t="s">
        <v>77</v>
      </c>
      <c r="L762">
        <v>72.44</v>
      </c>
      <c r="M762">
        <v>3.6219999999999999</v>
      </c>
      <c r="N762">
        <v>68.817999999999998</v>
      </c>
    </row>
    <row r="763" spans="1:14" x14ac:dyDescent="0.3">
      <c r="A763">
        <v>100762</v>
      </c>
      <c r="B763" s="2">
        <v>45323.708333333343</v>
      </c>
      <c r="C763" t="s">
        <v>15</v>
      </c>
      <c r="D763" t="s">
        <v>58</v>
      </c>
      <c r="E763" t="s">
        <v>66</v>
      </c>
      <c r="F763" t="s">
        <v>71</v>
      </c>
      <c r="G763">
        <v>2</v>
      </c>
      <c r="H763">
        <v>108.99</v>
      </c>
      <c r="I763">
        <v>10</v>
      </c>
      <c r="J763" t="s">
        <v>74</v>
      </c>
      <c r="K763" t="s">
        <v>79</v>
      </c>
      <c r="L763">
        <v>217.98</v>
      </c>
      <c r="M763">
        <v>21.797999999999998</v>
      </c>
      <c r="N763">
        <v>196.18199999999999</v>
      </c>
    </row>
    <row r="764" spans="1:14" x14ac:dyDescent="0.3">
      <c r="A764">
        <v>100763</v>
      </c>
      <c r="B764" s="2">
        <v>45323.75</v>
      </c>
      <c r="C764" t="s">
        <v>14</v>
      </c>
      <c r="D764" t="s">
        <v>58</v>
      </c>
      <c r="E764" t="s">
        <v>66</v>
      </c>
      <c r="F764" t="s">
        <v>72</v>
      </c>
      <c r="G764">
        <v>1</v>
      </c>
      <c r="H764">
        <v>48.09</v>
      </c>
      <c r="I764">
        <v>5</v>
      </c>
      <c r="J764" t="s">
        <v>76</v>
      </c>
      <c r="K764" t="s">
        <v>77</v>
      </c>
      <c r="L764">
        <v>48.09</v>
      </c>
      <c r="M764">
        <v>2.404500000000001</v>
      </c>
      <c r="N764">
        <v>45.685499999999998</v>
      </c>
    </row>
    <row r="765" spans="1:14" x14ac:dyDescent="0.3">
      <c r="A765">
        <v>100764</v>
      </c>
      <c r="B765" s="2">
        <v>45323.791666666657</v>
      </c>
      <c r="C765" t="s">
        <v>15</v>
      </c>
      <c r="D765" t="s">
        <v>33</v>
      </c>
      <c r="E765" t="s">
        <v>70</v>
      </c>
      <c r="F765" t="s">
        <v>72</v>
      </c>
      <c r="G765">
        <v>1</v>
      </c>
      <c r="H765">
        <v>68.23</v>
      </c>
      <c r="I765">
        <v>15</v>
      </c>
      <c r="J765" t="s">
        <v>73</v>
      </c>
      <c r="K765" t="s">
        <v>77</v>
      </c>
      <c r="L765">
        <v>68.23</v>
      </c>
      <c r="M765">
        <v>10.234500000000001</v>
      </c>
      <c r="N765">
        <v>57.995500000000007</v>
      </c>
    </row>
    <row r="766" spans="1:14" x14ac:dyDescent="0.3">
      <c r="A766">
        <v>100765</v>
      </c>
      <c r="B766" s="2">
        <v>45323.833333333343</v>
      </c>
      <c r="C766" t="s">
        <v>14</v>
      </c>
      <c r="D766" t="s">
        <v>47</v>
      </c>
      <c r="E766" t="s">
        <v>70</v>
      </c>
      <c r="F766" t="s">
        <v>72</v>
      </c>
      <c r="G766">
        <v>2</v>
      </c>
      <c r="H766">
        <v>10.82</v>
      </c>
      <c r="I766">
        <v>15</v>
      </c>
      <c r="J766" t="s">
        <v>73</v>
      </c>
      <c r="K766" t="s">
        <v>77</v>
      </c>
      <c r="L766">
        <v>21.64</v>
      </c>
      <c r="M766">
        <v>3.246</v>
      </c>
      <c r="N766">
        <v>18.393999999999998</v>
      </c>
    </row>
    <row r="767" spans="1:14" x14ac:dyDescent="0.3">
      <c r="A767">
        <v>100766</v>
      </c>
      <c r="B767" s="2">
        <v>45323.875</v>
      </c>
      <c r="C767" t="s">
        <v>14</v>
      </c>
      <c r="D767" t="s">
        <v>44</v>
      </c>
      <c r="E767" t="s">
        <v>66</v>
      </c>
      <c r="F767" t="s">
        <v>71</v>
      </c>
      <c r="G767">
        <v>5</v>
      </c>
      <c r="H767">
        <v>54</v>
      </c>
      <c r="I767">
        <v>0</v>
      </c>
      <c r="J767" t="s">
        <v>75</v>
      </c>
      <c r="K767" t="s">
        <v>77</v>
      </c>
      <c r="L767">
        <v>270</v>
      </c>
      <c r="M767">
        <v>0</v>
      </c>
      <c r="N767">
        <v>270</v>
      </c>
    </row>
    <row r="768" spans="1:14" x14ac:dyDescent="0.3">
      <c r="A768">
        <v>100767</v>
      </c>
      <c r="B768" s="2">
        <v>45323.916666666657</v>
      </c>
      <c r="C768" t="s">
        <v>14</v>
      </c>
      <c r="D768" t="s">
        <v>57</v>
      </c>
      <c r="E768" t="s">
        <v>67</v>
      </c>
      <c r="F768" t="s">
        <v>71</v>
      </c>
      <c r="G768">
        <v>2</v>
      </c>
      <c r="H768">
        <v>100.72</v>
      </c>
      <c r="I768">
        <v>10</v>
      </c>
      <c r="J768" t="s">
        <v>75</v>
      </c>
      <c r="K768" t="s">
        <v>77</v>
      </c>
      <c r="L768">
        <v>201.44</v>
      </c>
      <c r="M768">
        <v>20.143999999999998</v>
      </c>
      <c r="N768">
        <v>181.29599999999999</v>
      </c>
    </row>
    <row r="769" spans="1:14" x14ac:dyDescent="0.3">
      <c r="A769">
        <v>100768</v>
      </c>
      <c r="B769" s="2">
        <v>45323.958333333343</v>
      </c>
      <c r="C769" t="s">
        <v>15</v>
      </c>
      <c r="D769" t="s">
        <v>51</v>
      </c>
      <c r="E769" t="s">
        <v>66</v>
      </c>
      <c r="F769" t="s">
        <v>71</v>
      </c>
      <c r="G769">
        <v>1</v>
      </c>
      <c r="H769">
        <v>97.65</v>
      </c>
      <c r="I769">
        <v>5</v>
      </c>
      <c r="J769" t="s">
        <v>74</v>
      </c>
      <c r="K769" t="s">
        <v>77</v>
      </c>
      <c r="L769">
        <v>97.65</v>
      </c>
      <c r="M769">
        <v>4.8825000000000003</v>
      </c>
      <c r="N769">
        <v>92.767500000000013</v>
      </c>
    </row>
    <row r="770" spans="1:14" x14ac:dyDescent="0.3">
      <c r="A770">
        <v>100769</v>
      </c>
      <c r="B770" s="2">
        <v>45324</v>
      </c>
      <c r="C770" t="s">
        <v>15</v>
      </c>
      <c r="D770" t="s">
        <v>50</v>
      </c>
      <c r="E770" t="s">
        <v>66</v>
      </c>
      <c r="F770" t="s">
        <v>72</v>
      </c>
      <c r="G770">
        <v>2</v>
      </c>
      <c r="H770">
        <v>30.8</v>
      </c>
      <c r="I770">
        <v>10</v>
      </c>
      <c r="J770" t="s">
        <v>73</v>
      </c>
      <c r="K770" t="s">
        <v>79</v>
      </c>
      <c r="L770">
        <v>61.6</v>
      </c>
      <c r="M770">
        <v>6.16</v>
      </c>
      <c r="N770">
        <v>55.44</v>
      </c>
    </row>
    <row r="771" spans="1:14" x14ac:dyDescent="0.3">
      <c r="A771">
        <v>100770</v>
      </c>
      <c r="B771" s="2">
        <v>45324.041666666657</v>
      </c>
      <c r="C771" t="s">
        <v>14</v>
      </c>
      <c r="D771" t="s">
        <v>58</v>
      </c>
      <c r="E771" t="s">
        <v>70</v>
      </c>
      <c r="F771" t="s">
        <v>71</v>
      </c>
      <c r="G771">
        <v>2</v>
      </c>
      <c r="H771">
        <v>31</v>
      </c>
      <c r="I771">
        <v>15</v>
      </c>
      <c r="J771" t="s">
        <v>73</v>
      </c>
      <c r="K771" t="s">
        <v>77</v>
      </c>
      <c r="L771">
        <v>62</v>
      </c>
      <c r="M771">
        <v>9.2999999999999989</v>
      </c>
      <c r="N771">
        <v>52.7</v>
      </c>
    </row>
    <row r="772" spans="1:14" x14ac:dyDescent="0.3">
      <c r="A772">
        <v>100771</v>
      </c>
      <c r="B772" s="2">
        <v>45324.083333333343</v>
      </c>
      <c r="C772" t="s">
        <v>14</v>
      </c>
      <c r="D772" t="s">
        <v>38</v>
      </c>
      <c r="E772" t="s">
        <v>70</v>
      </c>
      <c r="F772" t="s">
        <v>72</v>
      </c>
      <c r="G772">
        <v>5</v>
      </c>
      <c r="H772">
        <v>98.99</v>
      </c>
      <c r="I772">
        <v>10</v>
      </c>
      <c r="J772" t="s">
        <v>75</v>
      </c>
      <c r="K772" t="s">
        <v>77</v>
      </c>
      <c r="L772">
        <v>494.95</v>
      </c>
      <c r="M772">
        <v>49.494999999999997</v>
      </c>
      <c r="N772">
        <v>445.45499999999998</v>
      </c>
    </row>
    <row r="773" spans="1:14" x14ac:dyDescent="0.3">
      <c r="A773">
        <v>100772</v>
      </c>
      <c r="B773" s="2">
        <v>45324.125</v>
      </c>
      <c r="C773" t="s">
        <v>14</v>
      </c>
      <c r="D773" t="s">
        <v>16</v>
      </c>
      <c r="E773" t="s">
        <v>66</v>
      </c>
      <c r="F773" t="s">
        <v>71</v>
      </c>
      <c r="G773">
        <v>4</v>
      </c>
      <c r="H773">
        <v>112</v>
      </c>
      <c r="I773">
        <v>5</v>
      </c>
      <c r="J773" t="s">
        <v>76</v>
      </c>
      <c r="K773" t="s">
        <v>77</v>
      </c>
      <c r="L773">
        <v>448</v>
      </c>
      <c r="M773">
        <v>22.4</v>
      </c>
      <c r="N773">
        <v>425.6</v>
      </c>
    </row>
    <row r="774" spans="1:14" x14ac:dyDescent="0.3">
      <c r="A774">
        <v>100773</v>
      </c>
      <c r="B774" s="2">
        <v>45324.166666666657</v>
      </c>
      <c r="C774" t="s">
        <v>14</v>
      </c>
      <c r="D774" t="s">
        <v>32</v>
      </c>
      <c r="E774" t="s">
        <v>66</v>
      </c>
      <c r="F774" t="s">
        <v>71</v>
      </c>
      <c r="G774">
        <v>1</v>
      </c>
      <c r="H774">
        <v>15.97</v>
      </c>
      <c r="I774">
        <v>10</v>
      </c>
      <c r="J774" t="s">
        <v>74</v>
      </c>
      <c r="K774" t="s">
        <v>77</v>
      </c>
      <c r="L774">
        <v>15.97</v>
      </c>
      <c r="M774">
        <v>1.597</v>
      </c>
      <c r="N774">
        <v>14.372999999999999</v>
      </c>
    </row>
    <row r="775" spans="1:14" x14ac:dyDescent="0.3">
      <c r="A775">
        <v>100774</v>
      </c>
      <c r="B775" s="2">
        <v>45324.208333333343</v>
      </c>
      <c r="C775" t="s">
        <v>15</v>
      </c>
      <c r="D775" t="s">
        <v>38</v>
      </c>
      <c r="E775" t="s">
        <v>66</v>
      </c>
      <c r="F775" t="s">
        <v>72</v>
      </c>
      <c r="G775">
        <v>5</v>
      </c>
      <c r="H775">
        <v>56.76</v>
      </c>
      <c r="I775">
        <v>5</v>
      </c>
      <c r="J775" t="s">
        <v>74</v>
      </c>
      <c r="K775" t="s">
        <v>78</v>
      </c>
      <c r="L775">
        <v>283.8</v>
      </c>
      <c r="M775">
        <v>14.19</v>
      </c>
      <c r="N775">
        <v>269.61</v>
      </c>
    </row>
    <row r="776" spans="1:14" x14ac:dyDescent="0.3">
      <c r="A776">
        <v>100775</v>
      </c>
      <c r="B776" s="2">
        <v>45324.25</v>
      </c>
      <c r="C776" t="s">
        <v>15</v>
      </c>
      <c r="D776" t="s">
        <v>29</v>
      </c>
      <c r="E776" t="s">
        <v>70</v>
      </c>
      <c r="F776" t="s">
        <v>71</v>
      </c>
      <c r="G776">
        <v>2</v>
      </c>
      <c r="H776">
        <v>43.81</v>
      </c>
      <c r="I776">
        <v>15</v>
      </c>
      <c r="J776" t="s">
        <v>75</v>
      </c>
      <c r="K776" t="s">
        <v>77</v>
      </c>
      <c r="L776">
        <v>87.62</v>
      </c>
      <c r="M776">
        <v>13.143000000000001</v>
      </c>
      <c r="N776">
        <v>74.477000000000004</v>
      </c>
    </row>
    <row r="777" spans="1:14" x14ac:dyDescent="0.3">
      <c r="A777">
        <v>100776</v>
      </c>
      <c r="B777" s="2">
        <v>45324.291666666657</v>
      </c>
      <c r="C777" t="s">
        <v>14</v>
      </c>
      <c r="D777" t="s">
        <v>57</v>
      </c>
      <c r="E777" t="s">
        <v>66</v>
      </c>
      <c r="F777" t="s">
        <v>72</v>
      </c>
      <c r="G777">
        <v>2</v>
      </c>
      <c r="H777">
        <v>105.13</v>
      </c>
      <c r="I777">
        <v>15</v>
      </c>
      <c r="J777" t="s">
        <v>73</v>
      </c>
      <c r="K777" t="s">
        <v>77</v>
      </c>
      <c r="L777">
        <v>210.26</v>
      </c>
      <c r="M777">
        <v>31.539000000000001</v>
      </c>
      <c r="N777">
        <v>178.721</v>
      </c>
    </row>
    <row r="778" spans="1:14" x14ac:dyDescent="0.3">
      <c r="A778">
        <v>100777</v>
      </c>
      <c r="B778" s="2">
        <v>45324.333333333343</v>
      </c>
      <c r="C778" t="s">
        <v>14</v>
      </c>
      <c r="D778" t="s">
        <v>63</v>
      </c>
      <c r="E778" t="s">
        <v>66</v>
      </c>
      <c r="F778" t="s">
        <v>72</v>
      </c>
      <c r="G778">
        <v>4</v>
      </c>
      <c r="H778">
        <v>14.61</v>
      </c>
      <c r="I778">
        <v>15</v>
      </c>
      <c r="J778" t="s">
        <v>75</v>
      </c>
      <c r="K778" t="s">
        <v>77</v>
      </c>
      <c r="L778">
        <v>58.44</v>
      </c>
      <c r="M778">
        <v>8.766</v>
      </c>
      <c r="N778">
        <v>49.673999999999999</v>
      </c>
    </row>
    <row r="779" spans="1:14" x14ac:dyDescent="0.3">
      <c r="A779">
        <v>100778</v>
      </c>
      <c r="B779" s="2">
        <v>45324.375</v>
      </c>
      <c r="C779" t="s">
        <v>15</v>
      </c>
      <c r="D779" t="s">
        <v>60</v>
      </c>
      <c r="E779" t="s">
        <v>69</v>
      </c>
      <c r="F779" t="s">
        <v>71</v>
      </c>
      <c r="G779">
        <v>1</v>
      </c>
      <c r="H779">
        <v>29.28</v>
      </c>
      <c r="I779">
        <v>0</v>
      </c>
      <c r="J779" t="s">
        <v>75</v>
      </c>
      <c r="K779" t="s">
        <v>77</v>
      </c>
      <c r="L779">
        <v>29.28</v>
      </c>
      <c r="M779">
        <v>0</v>
      </c>
      <c r="N779">
        <v>29.28</v>
      </c>
    </row>
    <row r="780" spans="1:14" x14ac:dyDescent="0.3">
      <c r="A780">
        <v>100779</v>
      </c>
      <c r="B780" s="2">
        <v>45324.416666666657</v>
      </c>
      <c r="C780" t="s">
        <v>15</v>
      </c>
      <c r="D780" t="s">
        <v>51</v>
      </c>
      <c r="E780" t="s">
        <v>67</v>
      </c>
      <c r="F780" t="s">
        <v>72</v>
      </c>
      <c r="G780">
        <v>1</v>
      </c>
      <c r="H780">
        <v>91.53</v>
      </c>
      <c r="I780">
        <v>15</v>
      </c>
      <c r="J780" t="s">
        <v>75</v>
      </c>
      <c r="K780" t="s">
        <v>77</v>
      </c>
      <c r="L780">
        <v>91.53</v>
      </c>
      <c r="M780">
        <v>13.7295</v>
      </c>
      <c r="N780">
        <v>77.8005</v>
      </c>
    </row>
    <row r="781" spans="1:14" x14ac:dyDescent="0.3">
      <c r="A781">
        <v>100780</v>
      </c>
      <c r="B781" s="2">
        <v>45324.458333333343</v>
      </c>
      <c r="C781" t="s">
        <v>14</v>
      </c>
      <c r="D781" t="s">
        <v>55</v>
      </c>
      <c r="E781" t="s">
        <v>68</v>
      </c>
      <c r="F781" t="s">
        <v>71</v>
      </c>
      <c r="G781">
        <v>3</v>
      </c>
      <c r="H781">
        <v>10.9</v>
      </c>
      <c r="I781">
        <v>10</v>
      </c>
      <c r="J781" t="s">
        <v>75</v>
      </c>
      <c r="K781" t="s">
        <v>77</v>
      </c>
      <c r="L781">
        <v>32.700000000000003</v>
      </c>
      <c r="M781">
        <v>3.27</v>
      </c>
      <c r="N781">
        <v>29.43</v>
      </c>
    </row>
    <row r="782" spans="1:14" x14ac:dyDescent="0.3">
      <c r="A782">
        <v>100781</v>
      </c>
      <c r="B782" s="2">
        <v>45324.5</v>
      </c>
      <c r="C782" t="s">
        <v>14</v>
      </c>
      <c r="D782" t="s">
        <v>46</v>
      </c>
      <c r="E782" t="s">
        <v>67</v>
      </c>
      <c r="F782" t="s">
        <v>71</v>
      </c>
      <c r="G782">
        <v>1</v>
      </c>
      <c r="H782">
        <v>61.64</v>
      </c>
      <c r="I782">
        <v>0</v>
      </c>
      <c r="J782" t="s">
        <v>76</v>
      </c>
      <c r="K782" t="s">
        <v>77</v>
      </c>
      <c r="L782">
        <v>61.64</v>
      </c>
      <c r="M782">
        <v>0</v>
      </c>
      <c r="N782">
        <v>61.64</v>
      </c>
    </row>
    <row r="783" spans="1:14" x14ac:dyDescent="0.3">
      <c r="A783">
        <v>100782</v>
      </c>
      <c r="B783" s="2">
        <v>45324.541666666657</v>
      </c>
      <c r="C783" t="s">
        <v>14</v>
      </c>
      <c r="D783" t="s">
        <v>40</v>
      </c>
      <c r="E783" t="s">
        <v>69</v>
      </c>
      <c r="F783" t="s">
        <v>72</v>
      </c>
      <c r="G783">
        <v>4</v>
      </c>
      <c r="H783">
        <v>55.84</v>
      </c>
      <c r="I783">
        <v>15</v>
      </c>
      <c r="J783" t="s">
        <v>76</v>
      </c>
      <c r="K783" t="s">
        <v>77</v>
      </c>
      <c r="L783">
        <v>223.36</v>
      </c>
      <c r="M783">
        <v>33.503999999999998</v>
      </c>
      <c r="N783">
        <v>189.85599999999999</v>
      </c>
    </row>
    <row r="784" spans="1:14" x14ac:dyDescent="0.3">
      <c r="A784">
        <v>100783</v>
      </c>
      <c r="B784" s="2">
        <v>45324.583333333343</v>
      </c>
      <c r="C784" t="s">
        <v>15</v>
      </c>
      <c r="D784" t="s">
        <v>16</v>
      </c>
      <c r="E784" t="s">
        <v>68</v>
      </c>
      <c r="F784" t="s">
        <v>71</v>
      </c>
      <c r="G784">
        <v>3</v>
      </c>
      <c r="H784">
        <v>43.46</v>
      </c>
      <c r="I784">
        <v>10</v>
      </c>
      <c r="J784" t="s">
        <v>73</v>
      </c>
      <c r="K784" t="s">
        <v>77</v>
      </c>
      <c r="L784">
        <v>130.38</v>
      </c>
      <c r="M784">
        <v>13.038</v>
      </c>
      <c r="N784">
        <v>117.342</v>
      </c>
    </row>
    <row r="785" spans="1:14" x14ac:dyDescent="0.3">
      <c r="A785">
        <v>100784</v>
      </c>
      <c r="B785" s="2">
        <v>45324.625</v>
      </c>
      <c r="C785" t="s">
        <v>15</v>
      </c>
      <c r="D785" t="s">
        <v>49</v>
      </c>
      <c r="E785" t="s">
        <v>66</v>
      </c>
      <c r="F785" t="s">
        <v>72</v>
      </c>
      <c r="G785">
        <v>3</v>
      </c>
      <c r="H785">
        <v>50.38</v>
      </c>
      <c r="I785">
        <v>10</v>
      </c>
      <c r="J785" t="s">
        <v>75</v>
      </c>
      <c r="K785" t="s">
        <v>77</v>
      </c>
      <c r="L785">
        <v>151.13999999999999</v>
      </c>
      <c r="M785">
        <v>15.114000000000001</v>
      </c>
      <c r="N785">
        <v>136.02600000000001</v>
      </c>
    </row>
    <row r="786" spans="1:14" x14ac:dyDescent="0.3">
      <c r="A786">
        <v>100785</v>
      </c>
      <c r="B786" s="2">
        <v>45324.666666666657</v>
      </c>
      <c r="C786" t="s">
        <v>15</v>
      </c>
      <c r="D786" t="s">
        <v>50</v>
      </c>
      <c r="E786" t="s">
        <v>69</v>
      </c>
      <c r="F786" t="s">
        <v>71</v>
      </c>
      <c r="G786">
        <v>2</v>
      </c>
      <c r="H786">
        <v>65.94</v>
      </c>
      <c r="I786">
        <v>10</v>
      </c>
      <c r="J786" t="s">
        <v>76</v>
      </c>
      <c r="K786" t="s">
        <v>77</v>
      </c>
      <c r="L786">
        <v>131.88</v>
      </c>
      <c r="M786">
        <v>13.188000000000001</v>
      </c>
      <c r="N786">
        <v>118.69199999999999</v>
      </c>
    </row>
    <row r="787" spans="1:14" x14ac:dyDescent="0.3">
      <c r="A787">
        <v>100786</v>
      </c>
      <c r="B787" s="2">
        <v>45324.708333333343</v>
      </c>
      <c r="C787" t="s">
        <v>14</v>
      </c>
      <c r="D787" t="s">
        <v>63</v>
      </c>
      <c r="E787" t="s">
        <v>66</v>
      </c>
      <c r="F787" t="s">
        <v>71</v>
      </c>
      <c r="G787">
        <v>2</v>
      </c>
      <c r="H787">
        <v>23.56</v>
      </c>
      <c r="I787">
        <v>5</v>
      </c>
      <c r="J787" t="s">
        <v>73</v>
      </c>
      <c r="K787" t="s">
        <v>77</v>
      </c>
      <c r="L787">
        <v>47.12</v>
      </c>
      <c r="M787">
        <v>2.3559999999999999</v>
      </c>
      <c r="N787">
        <v>44.764000000000003</v>
      </c>
    </row>
    <row r="788" spans="1:14" x14ac:dyDescent="0.3">
      <c r="A788">
        <v>100787</v>
      </c>
      <c r="B788" s="2">
        <v>45324.75</v>
      </c>
      <c r="C788" t="s">
        <v>14</v>
      </c>
      <c r="D788" t="s">
        <v>26</v>
      </c>
      <c r="E788" t="s">
        <v>70</v>
      </c>
      <c r="F788" t="s">
        <v>71</v>
      </c>
      <c r="G788">
        <v>1</v>
      </c>
      <c r="H788">
        <v>70.78</v>
      </c>
      <c r="I788">
        <v>0</v>
      </c>
      <c r="J788" t="s">
        <v>75</v>
      </c>
      <c r="K788" t="s">
        <v>77</v>
      </c>
      <c r="L788">
        <v>70.78</v>
      </c>
      <c r="M788">
        <v>0</v>
      </c>
      <c r="N788">
        <v>70.78</v>
      </c>
    </row>
    <row r="789" spans="1:14" x14ac:dyDescent="0.3">
      <c r="A789">
        <v>100788</v>
      </c>
      <c r="B789" s="2">
        <v>45324.791666666657</v>
      </c>
      <c r="C789" t="s">
        <v>15</v>
      </c>
      <c r="D789" t="s">
        <v>55</v>
      </c>
      <c r="E789" t="s">
        <v>69</v>
      </c>
      <c r="F789" t="s">
        <v>71</v>
      </c>
      <c r="G789">
        <v>3</v>
      </c>
      <c r="H789">
        <v>97.62</v>
      </c>
      <c r="I789">
        <v>10</v>
      </c>
      <c r="J789" t="s">
        <v>74</v>
      </c>
      <c r="K789" t="s">
        <v>77</v>
      </c>
      <c r="L789">
        <v>292.86</v>
      </c>
      <c r="M789">
        <v>29.286000000000001</v>
      </c>
      <c r="N789">
        <v>263.57400000000001</v>
      </c>
    </row>
    <row r="790" spans="1:14" x14ac:dyDescent="0.3">
      <c r="A790">
        <v>100789</v>
      </c>
      <c r="B790" s="2">
        <v>45324.833333333343</v>
      </c>
      <c r="C790" t="s">
        <v>15</v>
      </c>
      <c r="D790" t="s">
        <v>30</v>
      </c>
      <c r="E790" t="s">
        <v>70</v>
      </c>
      <c r="F790" t="s">
        <v>71</v>
      </c>
      <c r="G790">
        <v>2</v>
      </c>
      <c r="H790">
        <v>92.42</v>
      </c>
      <c r="I790">
        <v>5</v>
      </c>
      <c r="J790" t="s">
        <v>76</v>
      </c>
      <c r="K790" t="s">
        <v>78</v>
      </c>
      <c r="L790">
        <v>184.84</v>
      </c>
      <c r="M790">
        <v>9.2420000000000009</v>
      </c>
      <c r="N790">
        <v>175.59800000000001</v>
      </c>
    </row>
    <row r="791" spans="1:14" x14ac:dyDescent="0.3">
      <c r="A791">
        <v>100790</v>
      </c>
      <c r="B791" s="2">
        <v>45324.875</v>
      </c>
      <c r="C791" t="s">
        <v>14</v>
      </c>
      <c r="D791" t="s">
        <v>27</v>
      </c>
      <c r="E791" t="s">
        <v>69</v>
      </c>
      <c r="F791" t="s">
        <v>72</v>
      </c>
      <c r="G791">
        <v>4</v>
      </c>
      <c r="H791">
        <v>22.7</v>
      </c>
      <c r="I791">
        <v>15</v>
      </c>
      <c r="J791" t="s">
        <v>73</v>
      </c>
      <c r="K791" t="s">
        <v>77</v>
      </c>
      <c r="L791">
        <v>90.8</v>
      </c>
      <c r="M791">
        <v>13.62</v>
      </c>
      <c r="N791">
        <v>77.179999999999993</v>
      </c>
    </row>
    <row r="792" spans="1:14" x14ac:dyDescent="0.3">
      <c r="A792">
        <v>100791</v>
      </c>
      <c r="B792" s="2">
        <v>45324.916666666657</v>
      </c>
      <c r="C792" t="s">
        <v>15</v>
      </c>
      <c r="D792" t="s">
        <v>30</v>
      </c>
      <c r="E792" t="s">
        <v>69</v>
      </c>
      <c r="F792" t="s">
        <v>72</v>
      </c>
      <c r="G792">
        <v>2</v>
      </c>
      <c r="H792">
        <v>22.16</v>
      </c>
      <c r="I792">
        <v>10</v>
      </c>
      <c r="J792" t="s">
        <v>74</v>
      </c>
      <c r="K792" t="s">
        <v>77</v>
      </c>
      <c r="L792">
        <v>44.32</v>
      </c>
      <c r="M792">
        <v>4.4320000000000004</v>
      </c>
      <c r="N792">
        <v>39.887999999999998</v>
      </c>
    </row>
    <row r="793" spans="1:14" x14ac:dyDescent="0.3">
      <c r="A793">
        <v>100792</v>
      </c>
      <c r="B793" s="2">
        <v>45324.958333333343</v>
      </c>
      <c r="C793" t="s">
        <v>15</v>
      </c>
      <c r="D793" t="s">
        <v>57</v>
      </c>
      <c r="E793" t="s">
        <v>70</v>
      </c>
      <c r="F793" t="s">
        <v>72</v>
      </c>
      <c r="G793">
        <v>2</v>
      </c>
      <c r="H793">
        <v>35.840000000000003</v>
      </c>
      <c r="I793">
        <v>5</v>
      </c>
      <c r="J793" t="s">
        <v>75</v>
      </c>
      <c r="K793" t="s">
        <v>79</v>
      </c>
      <c r="L793">
        <v>71.680000000000007</v>
      </c>
      <c r="M793">
        <v>3.584000000000001</v>
      </c>
      <c r="N793">
        <v>68.096000000000004</v>
      </c>
    </row>
    <row r="794" spans="1:14" x14ac:dyDescent="0.3">
      <c r="A794">
        <v>100793</v>
      </c>
      <c r="B794" s="2">
        <v>45325</v>
      </c>
      <c r="C794" t="s">
        <v>14</v>
      </c>
      <c r="D794" t="s">
        <v>59</v>
      </c>
      <c r="E794" t="s">
        <v>68</v>
      </c>
      <c r="F794" t="s">
        <v>72</v>
      </c>
      <c r="G794">
        <v>3</v>
      </c>
      <c r="H794">
        <v>46.52</v>
      </c>
      <c r="I794">
        <v>10</v>
      </c>
      <c r="J794" t="s">
        <v>75</v>
      </c>
      <c r="K794" t="s">
        <v>77</v>
      </c>
      <c r="L794">
        <v>139.56</v>
      </c>
      <c r="M794">
        <v>13.956</v>
      </c>
      <c r="N794">
        <v>125.604</v>
      </c>
    </row>
    <row r="795" spans="1:14" x14ac:dyDescent="0.3">
      <c r="A795">
        <v>100794</v>
      </c>
      <c r="B795" s="2">
        <v>45325.041666666657</v>
      </c>
      <c r="C795" t="s">
        <v>15</v>
      </c>
      <c r="D795" t="s">
        <v>41</v>
      </c>
      <c r="E795" t="s">
        <v>67</v>
      </c>
      <c r="F795" t="s">
        <v>72</v>
      </c>
      <c r="G795">
        <v>3</v>
      </c>
      <c r="H795">
        <v>51.97</v>
      </c>
      <c r="I795">
        <v>0</v>
      </c>
      <c r="J795" t="s">
        <v>75</v>
      </c>
      <c r="K795" t="s">
        <v>77</v>
      </c>
      <c r="L795">
        <v>155.91</v>
      </c>
      <c r="M795">
        <v>0</v>
      </c>
      <c r="N795">
        <v>155.91</v>
      </c>
    </row>
    <row r="796" spans="1:14" x14ac:dyDescent="0.3">
      <c r="A796">
        <v>100795</v>
      </c>
      <c r="B796" s="2">
        <v>45325.083333333343</v>
      </c>
      <c r="C796" t="s">
        <v>14</v>
      </c>
      <c r="D796" t="s">
        <v>45</v>
      </c>
      <c r="E796" t="s">
        <v>66</v>
      </c>
      <c r="F796" t="s">
        <v>72</v>
      </c>
      <c r="G796">
        <v>5</v>
      </c>
      <c r="H796">
        <v>83.17</v>
      </c>
      <c r="I796">
        <v>0</v>
      </c>
      <c r="J796" t="s">
        <v>76</v>
      </c>
      <c r="K796" t="s">
        <v>77</v>
      </c>
      <c r="L796">
        <v>415.85</v>
      </c>
      <c r="M796">
        <v>0</v>
      </c>
      <c r="N796">
        <v>415.85</v>
      </c>
    </row>
    <row r="797" spans="1:14" x14ac:dyDescent="0.3">
      <c r="A797">
        <v>100796</v>
      </c>
      <c r="B797" s="2">
        <v>45325.125</v>
      </c>
      <c r="C797" t="s">
        <v>14</v>
      </c>
      <c r="D797" t="s">
        <v>35</v>
      </c>
      <c r="E797" t="s">
        <v>69</v>
      </c>
      <c r="F797" t="s">
        <v>71</v>
      </c>
      <c r="G797">
        <v>4</v>
      </c>
      <c r="H797">
        <v>11.52</v>
      </c>
      <c r="I797">
        <v>15</v>
      </c>
      <c r="J797" t="s">
        <v>73</v>
      </c>
      <c r="K797" t="s">
        <v>77</v>
      </c>
      <c r="L797">
        <v>46.08</v>
      </c>
      <c r="M797">
        <v>6.9119999999999999</v>
      </c>
      <c r="N797">
        <v>39.167999999999999</v>
      </c>
    </row>
    <row r="798" spans="1:14" x14ac:dyDescent="0.3">
      <c r="A798">
        <v>100797</v>
      </c>
      <c r="B798" s="2">
        <v>45325.166666666657</v>
      </c>
      <c r="C798" t="s">
        <v>14</v>
      </c>
      <c r="D798" t="s">
        <v>41</v>
      </c>
      <c r="E798" t="s">
        <v>66</v>
      </c>
      <c r="F798" t="s">
        <v>71</v>
      </c>
      <c r="G798">
        <v>3</v>
      </c>
      <c r="H798">
        <v>8.99</v>
      </c>
      <c r="I798">
        <v>10</v>
      </c>
      <c r="J798" t="s">
        <v>74</v>
      </c>
      <c r="K798" t="s">
        <v>77</v>
      </c>
      <c r="L798">
        <v>26.97</v>
      </c>
      <c r="M798">
        <v>2.6970000000000001</v>
      </c>
      <c r="N798">
        <v>24.273</v>
      </c>
    </row>
    <row r="799" spans="1:14" x14ac:dyDescent="0.3">
      <c r="A799">
        <v>100798</v>
      </c>
      <c r="B799" s="2">
        <v>45325.208333333343</v>
      </c>
      <c r="C799" t="s">
        <v>14</v>
      </c>
      <c r="D799" t="s">
        <v>29</v>
      </c>
      <c r="E799" t="s">
        <v>70</v>
      </c>
      <c r="F799" t="s">
        <v>72</v>
      </c>
      <c r="G799">
        <v>1</v>
      </c>
      <c r="H799">
        <v>50.07</v>
      </c>
      <c r="I799">
        <v>5</v>
      </c>
      <c r="J799" t="s">
        <v>73</v>
      </c>
      <c r="K799" t="s">
        <v>77</v>
      </c>
      <c r="L799">
        <v>50.07</v>
      </c>
      <c r="M799">
        <v>2.5034999999999998</v>
      </c>
      <c r="N799">
        <v>47.566499999999998</v>
      </c>
    </row>
    <row r="800" spans="1:14" x14ac:dyDescent="0.3">
      <c r="A800">
        <v>100799</v>
      </c>
      <c r="B800" s="2">
        <v>45325.25</v>
      </c>
      <c r="C800" t="s">
        <v>14</v>
      </c>
      <c r="D800" t="s">
        <v>37</v>
      </c>
      <c r="E800" t="s">
        <v>66</v>
      </c>
      <c r="F800" t="s">
        <v>72</v>
      </c>
      <c r="G800">
        <v>4</v>
      </c>
      <c r="H800">
        <v>85.17</v>
      </c>
      <c r="I800">
        <v>15</v>
      </c>
      <c r="J800" t="s">
        <v>76</v>
      </c>
      <c r="K800" t="s">
        <v>79</v>
      </c>
      <c r="L800">
        <v>340.68</v>
      </c>
      <c r="M800">
        <v>51.101999999999997</v>
      </c>
      <c r="N800">
        <v>289.57799999999997</v>
      </c>
    </row>
    <row r="801" spans="1:14" x14ac:dyDescent="0.3">
      <c r="A801">
        <v>100800</v>
      </c>
      <c r="B801" s="2">
        <v>45325.291666666657</v>
      </c>
      <c r="C801" t="s">
        <v>14</v>
      </c>
      <c r="D801" t="s">
        <v>32</v>
      </c>
      <c r="E801" t="s">
        <v>70</v>
      </c>
      <c r="F801" t="s">
        <v>71</v>
      </c>
      <c r="G801">
        <v>4</v>
      </c>
      <c r="H801">
        <v>27.25</v>
      </c>
      <c r="I801">
        <v>10</v>
      </c>
      <c r="J801" t="s">
        <v>73</v>
      </c>
      <c r="K801" t="s">
        <v>77</v>
      </c>
      <c r="L801">
        <v>109</v>
      </c>
      <c r="M801">
        <v>10.9</v>
      </c>
      <c r="N801">
        <v>98.1</v>
      </c>
    </row>
    <row r="802" spans="1:14" x14ac:dyDescent="0.3">
      <c r="A802">
        <v>100801</v>
      </c>
      <c r="B802" s="2">
        <v>45325.333333333343</v>
      </c>
      <c r="C802" t="s">
        <v>14</v>
      </c>
      <c r="D802" t="s">
        <v>63</v>
      </c>
      <c r="E802" t="s">
        <v>66</v>
      </c>
      <c r="F802" t="s">
        <v>71</v>
      </c>
      <c r="G802">
        <v>3</v>
      </c>
      <c r="H802">
        <v>78.77</v>
      </c>
      <c r="I802">
        <v>15</v>
      </c>
      <c r="J802" t="s">
        <v>76</v>
      </c>
      <c r="K802" t="s">
        <v>77</v>
      </c>
      <c r="L802">
        <v>236.31</v>
      </c>
      <c r="M802">
        <v>35.4465</v>
      </c>
      <c r="N802">
        <v>200.86349999999999</v>
      </c>
    </row>
    <row r="803" spans="1:14" x14ac:dyDescent="0.3">
      <c r="A803">
        <v>100802</v>
      </c>
      <c r="B803" s="2">
        <v>45325.375</v>
      </c>
      <c r="C803" t="s">
        <v>15</v>
      </c>
      <c r="D803" t="s">
        <v>65</v>
      </c>
      <c r="E803" t="s">
        <v>67</v>
      </c>
      <c r="F803" t="s">
        <v>71</v>
      </c>
      <c r="G803">
        <v>4</v>
      </c>
      <c r="H803">
        <v>34.880000000000003</v>
      </c>
      <c r="I803">
        <v>5</v>
      </c>
      <c r="J803" t="s">
        <v>75</v>
      </c>
      <c r="K803" t="s">
        <v>77</v>
      </c>
      <c r="L803">
        <v>139.52000000000001</v>
      </c>
      <c r="M803">
        <v>6.9760000000000009</v>
      </c>
      <c r="N803">
        <v>132.54400000000001</v>
      </c>
    </row>
    <row r="804" spans="1:14" x14ac:dyDescent="0.3">
      <c r="A804">
        <v>100803</v>
      </c>
      <c r="B804" s="2">
        <v>45325.416666666657</v>
      </c>
      <c r="C804" t="s">
        <v>14</v>
      </c>
      <c r="D804" t="s">
        <v>16</v>
      </c>
      <c r="E804" t="s">
        <v>67</v>
      </c>
      <c r="F804" t="s">
        <v>72</v>
      </c>
      <c r="G804">
        <v>3</v>
      </c>
      <c r="H804">
        <v>106.9</v>
      </c>
      <c r="I804">
        <v>15</v>
      </c>
      <c r="J804" t="s">
        <v>74</v>
      </c>
      <c r="K804" t="s">
        <v>77</v>
      </c>
      <c r="L804">
        <v>320.7</v>
      </c>
      <c r="M804">
        <v>48.104999999999997</v>
      </c>
      <c r="N804">
        <v>272.59500000000003</v>
      </c>
    </row>
    <row r="805" spans="1:14" x14ac:dyDescent="0.3">
      <c r="A805">
        <v>100804</v>
      </c>
      <c r="B805" s="2">
        <v>45325.458333333343</v>
      </c>
      <c r="C805" t="s">
        <v>14</v>
      </c>
      <c r="D805" t="s">
        <v>49</v>
      </c>
      <c r="E805" t="s">
        <v>67</v>
      </c>
      <c r="F805" t="s">
        <v>72</v>
      </c>
      <c r="G805">
        <v>2</v>
      </c>
      <c r="H805">
        <v>108</v>
      </c>
      <c r="I805">
        <v>15</v>
      </c>
      <c r="J805" t="s">
        <v>75</v>
      </c>
      <c r="K805" t="s">
        <v>77</v>
      </c>
      <c r="L805">
        <v>216</v>
      </c>
      <c r="M805">
        <v>32.4</v>
      </c>
      <c r="N805">
        <v>183.6</v>
      </c>
    </row>
    <row r="806" spans="1:14" x14ac:dyDescent="0.3">
      <c r="A806">
        <v>100805</v>
      </c>
      <c r="B806" s="2">
        <v>45325.5</v>
      </c>
      <c r="C806" t="s">
        <v>15</v>
      </c>
      <c r="D806" t="s">
        <v>41</v>
      </c>
      <c r="E806" t="s">
        <v>67</v>
      </c>
      <c r="F806" t="s">
        <v>72</v>
      </c>
      <c r="G806">
        <v>5</v>
      </c>
      <c r="H806">
        <v>39.19</v>
      </c>
      <c r="I806">
        <v>15</v>
      </c>
      <c r="J806" t="s">
        <v>73</v>
      </c>
      <c r="K806" t="s">
        <v>77</v>
      </c>
      <c r="L806">
        <v>195.95</v>
      </c>
      <c r="M806">
        <v>29.392499999999998</v>
      </c>
      <c r="N806">
        <v>166.5575</v>
      </c>
    </row>
    <row r="807" spans="1:14" x14ac:dyDescent="0.3">
      <c r="A807">
        <v>100806</v>
      </c>
      <c r="B807" s="2">
        <v>45325.541666666657</v>
      </c>
      <c r="C807" t="s">
        <v>15</v>
      </c>
      <c r="D807" t="s">
        <v>40</v>
      </c>
      <c r="E807" t="s">
        <v>67</v>
      </c>
      <c r="F807" t="s">
        <v>71</v>
      </c>
      <c r="G807">
        <v>2</v>
      </c>
      <c r="H807">
        <v>31.45</v>
      </c>
      <c r="I807">
        <v>10</v>
      </c>
      <c r="J807" t="s">
        <v>75</v>
      </c>
      <c r="K807" t="s">
        <v>77</v>
      </c>
      <c r="L807">
        <v>62.9</v>
      </c>
      <c r="M807">
        <v>6.29</v>
      </c>
      <c r="N807">
        <v>56.61</v>
      </c>
    </row>
    <row r="808" spans="1:14" x14ac:dyDescent="0.3">
      <c r="A808">
        <v>100807</v>
      </c>
      <c r="B808" s="2">
        <v>45325.583333333343</v>
      </c>
      <c r="C808" t="s">
        <v>15</v>
      </c>
      <c r="D808" t="s">
        <v>42</v>
      </c>
      <c r="E808" t="s">
        <v>67</v>
      </c>
      <c r="F808" t="s">
        <v>71</v>
      </c>
      <c r="G808">
        <v>3</v>
      </c>
      <c r="H808">
        <v>52.3</v>
      </c>
      <c r="I808">
        <v>5</v>
      </c>
      <c r="J808" t="s">
        <v>74</v>
      </c>
      <c r="K808" t="s">
        <v>77</v>
      </c>
      <c r="L808">
        <v>156.9</v>
      </c>
      <c r="M808">
        <v>7.8449999999999989</v>
      </c>
      <c r="N808">
        <v>149.05500000000001</v>
      </c>
    </row>
    <row r="809" spans="1:14" x14ac:dyDescent="0.3">
      <c r="A809">
        <v>100808</v>
      </c>
      <c r="B809" s="2">
        <v>45325.625</v>
      </c>
      <c r="C809" t="s">
        <v>14</v>
      </c>
      <c r="D809" t="s">
        <v>65</v>
      </c>
      <c r="E809" t="s">
        <v>70</v>
      </c>
      <c r="F809" t="s">
        <v>72</v>
      </c>
      <c r="G809">
        <v>3</v>
      </c>
      <c r="H809">
        <v>32.659999999999997</v>
      </c>
      <c r="I809">
        <v>0</v>
      </c>
      <c r="J809" t="s">
        <v>75</v>
      </c>
      <c r="K809" t="s">
        <v>78</v>
      </c>
      <c r="L809">
        <v>97.97999999999999</v>
      </c>
      <c r="M809">
        <v>0</v>
      </c>
      <c r="N809">
        <v>97.97999999999999</v>
      </c>
    </row>
    <row r="810" spans="1:14" x14ac:dyDescent="0.3">
      <c r="A810">
        <v>100809</v>
      </c>
      <c r="B810" s="2">
        <v>45325.666666666657</v>
      </c>
      <c r="C810" t="s">
        <v>15</v>
      </c>
      <c r="D810" t="s">
        <v>52</v>
      </c>
      <c r="E810" t="s">
        <v>69</v>
      </c>
      <c r="F810" t="s">
        <v>72</v>
      </c>
      <c r="G810">
        <v>2</v>
      </c>
      <c r="H810">
        <v>82.32</v>
      </c>
      <c r="I810">
        <v>10</v>
      </c>
      <c r="J810" t="s">
        <v>74</v>
      </c>
      <c r="K810" t="s">
        <v>78</v>
      </c>
      <c r="L810">
        <v>164.64</v>
      </c>
      <c r="M810">
        <v>16.463999999999999</v>
      </c>
      <c r="N810">
        <v>148.17599999999999</v>
      </c>
    </row>
    <row r="811" spans="1:14" x14ac:dyDescent="0.3">
      <c r="A811">
        <v>100810</v>
      </c>
      <c r="B811" s="2">
        <v>45325.708333333343</v>
      </c>
      <c r="C811" t="s">
        <v>14</v>
      </c>
      <c r="D811" t="s">
        <v>59</v>
      </c>
      <c r="E811" t="s">
        <v>66</v>
      </c>
      <c r="F811" t="s">
        <v>71</v>
      </c>
      <c r="G811">
        <v>1</v>
      </c>
      <c r="H811">
        <v>100</v>
      </c>
      <c r="I811">
        <v>0</v>
      </c>
      <c r="J811" t="s">
        <v>74</v>
      </c>
      <c r="K811" t="s">
        <v>77</v>
      </c>
      <c r="L811">
        <v>100</v>
      </c>
      <c r="M811">
        <v>0</v>
      </c>
      <c r="N811">
        <v>100</v>
      </c>
    </row>
    <row r="812" spans="1:14" x14ac:dyDescent="0.3">
      <c r="A812">
        <v>100811</v>
      </c>
      <c r="B812" s="2">
        <v>45325.75</v>
      </c>
      <c r="C812" t="s">
        <v>14</v>
      </c>
      <c r="D812" t="s">
        <v>65</v>
      </c>
      <c r="E812" t="s">
        <v>67</v>
      </c>
      <c r="F812" t="s">
        <v>71</v>
      </c>
      <c r="G812">
        <v>1</v>
      </c>
      <c r="H812">
        <v>82.41</v>
      </c>
      <c r="I812">
        <v>0</v>
      </c>
      <c r="J812" t="s">
        <v>75</v>
      </c>
      <c r="K812" t="s">
        <v>77</v>
      </c>
      <c r="L812">
        <v>82.41</v>
      </c>
      <c r="M812">
        <v>0</v>
      </c>
      <c r="N812">
        <v>82.41</v>
      </c>
    </row>
    <row r="813" spans="1:14" x14ac:dyDescent="0.3">
      <c r="A813">
        <v>100812</v>
      </c>
      <c r="B813" s="2">
        <v>45325.791666666657</v>
      </c>
      <c r="C813" t="s">
        <v>14</v>
      </c>
      <c r="D813" t="s">
        <v>17</v>
      </c>
      <c r="E813" t="s">
        <v>70</v>
      </c>
      <c r="F813" t="s">
        <v>71</v>
      </c>
      <c r="G813">
        <v>1</v>
      </c>
      <c r="H813">
        <v>99.8</v>
      </c>
      <c r="I813">
        <v>10</v>
      </c>
      <c r="J813" t="s">
        <v>76</v>
      </c>
      <c r="K813" t="s">
        <v>77</v>
      </c>
      <c r="L813">
        <v>99.8</v>
      </c>
      <c r="M813">
        <v>9.98</v>
      </c>
      <c r="N813">
        <v>89.82</v>
      </c>
    </row>
    <row r="814" spans="1:14" x14ac:dyDescent="0.3">
      <c r="A814">
        <v>100813</v>
      </c>
      <c r="B814" s="2">
        <v>45325.833333333343</v>
      </c>
      <c r="C814" t="s">
        <v>14</v>
      </c>
      <c r="D814" t="s">
        <v>22</v>
      </c>
      <c r="E814" t="s">
        <v>70</v>
      </c>
      <c r="F814" t="s">
        <v>71</v>
      </c>
      <c r="G814">
        <v>3</v>
      </c>
      <c r="H814">
        <v>50.65</v>
      </c>
      <c r="I814">
        <v>10</v>
      </c>
      <c r="J814" t="s">
        <v>73</v>
      </c>
      <c r="K814" t="s">
        <v>78</v>
      </c>
      <c r="L814">
        <v>151.94999999999999</v>
      </c>
      <c r="M814">
        <v>15.195</v>
      </c>
      <c r="N814">
        <v>136.755</v>
      </c>
    </row>
    <row r="815" spans="1:14" x14ac:dyDescent="0.3">
      <c r="A815">
        <v>100814</v>
      </c>
      <c r="B815" s="2">
        <v>45325.875</v>
      </c>
      <c r="C815" t="s">
        <v>15</v>
      </c>
      <c r="D815" t="s">
        <v>55</v>
      </c>
      <c r="E815" t="s">
        <v>70</v>
      </c>
      <c r="F815" t="s">
        <v>72</v>
      </c>
      <c r="G815">
        <v>4</v>
      </c>
      <c r="H815">
        <v>22.98</v>
      </c>
      <c r="I815">
        <v>5</v>
      </c>
      <c r="J815" t="s">
        <v>76</v>
      </c>
      <c r="K815" t="s">
        <v>77</v>
      </c>
      <c r="L815">
        <v>91.92</v>
      </c>
      <c r="M815">
        <v>4.5960000000000001</v>
      </c>
      <c r="N815">
        <v>87.323999999999998</v>
      </c>
    </row>
    <row r="816" spans="1:14" x14ac:dyDescent="0.3">
      <c r="A816">
        <v>100815</v>
      </c>
      <c r="B816" s="2">
        <v>45325.916666666657</v>
      </c>
      <c r="C816" t="s">
        <v>15</v>
      </c>
      <c r="D816" t="s">
        <v>34</v>
      </c>
      <c r="E816" t="s">
        <v>69</v>
      </c>
      <c r="F816" t="s">
        <v>71</v>
      </c>
      <c r="G816">
        <v>3</v>
      </c>
      <c r="H816">
        <v>89.86</v>
      </c>
      <c r="I816">
        <v>5</v>
      </c>
      <c r="J816" t="s">
        <v>76</v>
      </c>
      <c r="K816" t="s">
        <v>77</v>
      </c>
      <c r="L816">
        <v>269.58</v>
      </c>
      <c r="M816">
        <v>13.478999999999999</v>
      </c>
      <c r="N816">
        <v>256.101</v>
      </c>
    </row>
    <row r="817" spans="1:14" x14ac:dyDescent="0.3">
      <c r="A817">
        <v>100816</v>
      </c>
      <c r="B817" s="2">
        <v>45325.958333333343</v>
      </c>
      <c r="C817" t="s">
        <v>14</v>
      </c>
      <c r="D817" t="s">
        <v>49</v>
      </c>
      <c r="E817" t="s">
        <v>66</v>
      </c>
      <c r="F817" t="s">
        <v>71</v>
      </c>
      <c r="G817">
        <v>4</v>
      </c>
      <c r="H817">
        <v>46.45</v>
      </c>
      <c r="I817">
        <v>15</v>
      </c>
      <c r="J817" t="s">
        <v>75</v>
      </c>
      <c r="K817" t="s">
        <v>77</v>
      </c>
      <c r="L817">
        <v>185.8</v>
      </c>
      <c r="M817">
        <v>27.87</v>
      </c>
      <c r="N817">
        <v>157.93</v>
      </c>
    </row>
    <row r="818" spans="1:14" x14ac:dyDescent="0.3">
      <c r="A818">
        <v>100817</v>
      </c>
      <c r="B818" s="2">
        <v>45326</v>
      </c>
      <c r="C818" t="s">
        <v>14</v>
      </c>
      <c r="D818" t="s">
        <v>23</v>
      </c>
      <c r="E818" t="s">
        <v>69</v>
      </c>
      <c r="F818" t="s">
        <v>71</v>
      </c>
      <c r="G818">
        <v>2</v>
      </c>
      <c r="H818">
        <v>82.2</v>
      </c>
      <c r="I818">
        <v>0</v>
      </c>
      <c r="J818" t="s">
        <v>73</v>
      </c>
      <c r="K818" t="s">
        <v>77</v>
      </c>
      <c r="L818">
        <v>164.4</v>
      </c>
      <c r="M818">
        <v>0</v>
      </c>
      <c r="N818">
        <v>164.4</v>
      </c>
    </row>
    <row r="819" spans="1:14" x14ac:dyDescent="0.3">
      <c r="A819">
        <v>100818</v>
      </c>
      <c r="B819" s="2">
        <v>45326.041666666657</v>
      </c>
      <c r="C819" t="s">
        <v>14</v>
      </c>
      <c r="D819" t="s">
        <v>27</v>
      </c>
      <c r="E819" t="s">
        <v>68</v>
      </c>
      <c r="F819" t="s">
        <v>72</v>
      </c>
      <c r="G819">
        <v>5</v>
      </c>
      <c r="H819">
        <v>36.119999999999997</v>
      </c>
      <c r="I819">
        <v>5</v>
      </c>
      <c r="J819" t="s">
        <v>73</v>
      </c>
      <c r="K819" t="s">
        <v>77</v>
      </c>
      <c r="L819">
        <v>180.6</v>
      </c>
      <c r="M819">
        <v>9.0299999999999994</v>
      </c>
      <c r="N819">
        <v>171.57</v>
      </c>
    </row>
    <row r="820" spans="1:14" x14ac:dyDescent="0.3">
      <c r="A820">
        <v>100819</v>
      </c>
      <c r="B820" s="2">
        <v>45326.083333333343</v>
      </c>
      <c r="C820" t="s">
        <v>15</v>
      </c>
      <c r="D820" t="s">
        <v>46</v>
      </c>
      <c r="E820" t="s">
        <v>70</v>
      </c>
      <c r="F820" t="s">
        <v>72</v>
      </c>
      <c r="G820">
        <v>4</v>
      </c>
      <c r="H820">
        <v>14.34</v>
      </c>
      <c r="I820">
        <v>15</v>
      </c>
      <c r="J820" t="s">
        <v>76</v>
      </c>
      <c r="K820" t="s">
        <v>77</v>
      </c>
      <c r="L820">
        <v>57.36</v>
      </c>
      <c r="M820">
        <v>8.6039999999999992</v>
      </c>
      <c r="N820">
        <v>48.756</v>
      </c>
    </row>
    <row r="821" spans="1:14" x14ac:dyDescent="0.3">
      <c r="A821">
        <v>100820</v>
      </c>
      <c r="B821" s="2">
        <v>45326.125</v>
      </c>
      <c r="C821" t="s">
        <v>14</v>
      </c>
      <c r="D821" t="s">
        <v>33</v>
      </c>
      <c r="E821" t="s">
        <v>68</v>
      </c>
      <c r="F821" t="s">
        <v>71</v>
      </c>
      <c r="G821">
        <v>1</v>
      </c>
      <c r="H821">
        <v>119.15</v>
      </c>
      <c r="I821">
        <v>5</v>
      </c>
      <c r="J821" t="s">
        <v>75</v>
      </c>
      <c r="K821" t="s">
        <v>77</v>
      </c>
      <c r="L821">
        <v>119.15</v>
      </c>
      <c r="M821">
        <v>5.9574999999999996</v>
      </c>
      <c r="N821">
        <v>113.1925</v>
      </c>
    </row>
    <row r="822" spans="1:14" x14ac:dyDescent="0.3">
      <c r="A822">
        <v>100821</v>
      </c>
      <c r="B822" s="2">
        <v>45326.166666666657</v>
      </c>
      <c r="C822" t="s">
        <v>14</v>
      </c>
      <c r="D822" t="s">
        <v>56</v>
      </c>
      <c r="E822" t="s">
        <v>67</v>
      </c>
      <c r="F822" t="s">
        <v>71</v>
      </c>
      <c r="G822">
        <v>3</v>
      </c>
      <c r="H822">
        <v>22.96</v>
      </c>
      <c r="I822">
        <v>10</v>
      </c>
      <c r="J822" t="s">
        <v>73</v>
      </c>
      <c r="K822" t="s">
        <v>77</v>
      </c>
      <c r="L822">
        <v>68.88</v>
      </c>
      <c r="M822">
        <v>6.8879999999999999</v>
      </c>
      <c r="N822">
        <v>61.991999999999997</v>
      </c>
    </row>
    <row r="823" spans="1:14" x14ac:dyDescent="0.3">
      <c r="A823">
        <v>100822</v>
      </c>
      <c r="B823" s="2">
        <v>45326.208333333343</v>
      </c>
      <c r="C823" t="s">
        <v>15</v>
      </c>
      <c r="D823" t="s">
        <v>25</v>
      </c>
      <c r="E823" t="s">
        <v>67</v>
      </c>
      <c r="F823" t="s">
        <v>71</v>
      </c>
      <c r="G823">
        <v>2</v>
      </c>
      <c r="H823">
        <v>118.67</v>
      </c>
      <c r="I823">
        <v>5</v>
      </c>
      <c r="J823" t="s">
        <v>76</v>
      </c>
      <c r="K823" t="s">
        <v>77</v>
      </c>
      <c r="L823">
        <v>237.34</v>
      </c>
      <c r="M823">
        <v>11.867000000000001</v>
      </c>
      <c r="N823">
        <v>225.47300000000001</v>
      </c>
    </row>
    <row r="824" spans="1:14" x14ac:dyDescent="0.3">
      <c r="A824">
        <v>100823</v>
      </c>
      <c r="B824" s="2">
        <v>45326.25</v>
      </c>
      <c r="C824" t="s">
        <v>15</v>
      </c>
      <c r="D824" t="s">
        <v>27</v>
      </c>
      <c r="E824" t="s">
        <v>69</v>
      </c>
      <c r="F824" t="s">
        <v>72</v>
      </c>
      <c r="G824">
        <v>1</v>
      </c>
      <c r="H824">
        <v>117.39</v>
      </c>
      <c r="I824">
        <v>0</v>
      </c>
      <c r="J824" t="s">
        <v>73</v>
      </c>
      <c r="K824" t="s">
        <v>77</v>
      </c>
      <c r="L824">
        <v>117.39</v>
      </c>
      <c r="M824">
        <v>0</v>
      </c>
      <c r="N824">
        <v>117.39</v>
      </c>
    </row>
    <row r="825" spans="1:14" x14ac:dyDescent="0.3">
      <c r="A825">
        <v>100824</v>
      </c>
      <c r="B825" s="2">
        <v>45326.291666666657</v>
      </c>
      <c r="C825" t="s">
        <v>14</v>
      </c>
      <c r="D825" t="s">
        <v>61</v>
      </c>
      <c r="E825" t="s">
        <v>66</v>
      </c>
      <c r="F825" t="s">
        <v>72</v>
      </c>
      <c r="G825">
        <v>2</v>
      </c>
      <c r="H825">
        <v>96.29</v>
      </c>
      <c r="I825">
        <v>5</v>
      </c>
      <c r="J825" t="s">
        <v>75</v>
      </c>
      <c r="K825" t="s">
        <v>78</v>
      </c>
      <c r="L825">
        <v>192.58</v>
      </c>
      <c r="M825">
        <v>9.6290000000000013</v>
      </c>
      <c r="N825">
        <v>182.95099999999999</v>
      </c>
    </row>
    <row r="826" spans="1:14" x14ac:dyDescent="0.3">
      <c r="A826">
        <v>100825</v>
      </c>
      <c r="B826" s="2">
        <v>45326.333333333343</v>
      </c>
      <c r="C826" t="s">
        <v>15</v>
      </c>
      <c r="D826" t="s">
        <v>56</v>
      </c>
      <c r="E826" t="s">
        <v>68</v>
      </c>
      <c r="F826" t="s">
        <v>72</v>
      </c>
      <c r="G826">
        <v>5</v>
      </c>
      <c r="H826">
        <v>80.83</v>
      </c>
      <c r="I826">
        <v>0</v>
      </c>
      <c r="J826" t="s">
        <v>75</v>
      </c>
      <c r="K826" t="s">
        <v>77</v>
      </c>
      <c r="L826">
        <v>404.15</v>
      </c>
      <c r="M826">
        <v>0</v>
      </c>
      <c r="N826">
        <v>404.15</v>
      </c>
    </row>
    <row r="827" spans="1:14" x14ac:dyDescent="0.3">
      <c r="A827">
        <v>100826</v>
      </c>
      <c r="B827" s="2">
        <v>45326.375</v>
      </c>
      <c r="C827" t="s">
        <v>15</v>
      </c>
      <c r="D827" t="s">
        <v>16</v>
      </c>
      <c r="E827" t="s">
        <v>66</v>
      </c>
      <c r="F827" t="s">
        <v>71</v>
      </c>
      <c r="G827">
        <v>3</v>
      </c>
      <c r="H827">
        <v>71.45</v>
      </c>
      <c r="I827">
        <v>10</v>
      </c>
      <c r="J827" t="s">
        <v>75</v>
      </c>
      <c r="K827" t="s">
        <v>78</v>
      </c>
      <c r="L827">
        <v>214.35</v>
      </c>
      <c r="M827">
        <v>21.434999999999999</v>
      </c>
      <c r="N827">
        <v>192.91499999999999</v>
      </c>
    </row>
    <row r="828" spans="1:14" x14ac:dyDescent="0.3">
      <c r="A828">
        <v>100827</v>
      </c>
      <c r="B828" s="2">
        <v>45326.416666666657</v>
      </c>
      <c r="C828" t="s">
        <v>14</v>
      </c>
      <c r="D828" t="s">
        <v>52</v>
      </c>
      <c r="E828" t="s">
        <v>69</v>
      </c>
      <c r="F828" t="s">
        <v>72</v>
      </c>
      <c r="G828">
        <v>3</v>
      </c>
      <c r="H828">
        <v>104.6</v>
      </c>
      <c r="I828">
        <v>0</v>
      </c>
      <c r="J828" t="s">
        <v>73</v>
      </c>
      <c r="K828" t="s">
        <v>77</v>
      </c>
      <c r="L828">
        <v>313.8</v>
      </c>
      <c r="M828">
        <v>0</v>
      </c>
      <c r="N828">
        <v>313.8</v>
      </c>
    </row>
    <row r="829" spans="1:14" x14ac:dyDescent="0.3">
      <c r="A829">
        <v>100828</v>
      </c>
      <c r="B829" s="2">
        <v>45326.458333333343</v>
      </c>
      <c r="C829" t="s">
        <v>15</v>
      </c>
      <c r="D829" t="s">
        <v>46</v>
      </c>
      <c r="E829" t="s">
        <v>67</v>
      </c>
      <c r="F829" t="s">
        <v>71</v>
      </c>
      <c r="G829">
        <v>5</v>
      </c>
      <c r="H829">
        <v>38.29</v>
      </c>
      <c r="I829">
        <v>5</v>
      </c>
      <c r="J829" t="s">
        <v>74</v>
      </c>
      <c r="K829" t="s">
        <v>77</v>
      </c>
      <c r="L829">
        <v>191.45</v>
      </c>
      <c r="M829">
        <v>9.5724999999999998</v>
      </c>
      <c r="N829">
        <v>181.8775</v>
      </c>
    </row>
    <row r="830" spans="1:14" x14ac:dyDescent="0.3">
      <c r="A830">
        <v>100829</v>
      </c>
      <c r="B830" s="2">
        <v>45326.5</v>
      </c>
      <c r="C830" t="s">
        <v>14</v>
      </c>
      <c r="D830" t="s">
        <v>60</v>
      </c>
      <c r="E830" t="s">
        <v>66</v>
      </c>
      <c r="F830" t="s">
        <v>71</v>
      </c>
      <c r="G830">
        <v>3</v>
      </c>
      <c r="H830">
        <v>58.78</v>
      </c>
      <c r="I830">
        <v>15</v>
      </c>
      <c r="J830" t="s">
        <v>73</v>
      </c>
      <c r="K830" t="s">
        <v>77</v>
      </c>
      <c r="L830">
        <v>176.34</v>
      </c>
      <c r="M830">
        <v>26.451000000000001</v>
      </c>
      <c r="N830">
        <v>149.88900000000001</v>
      </c>
    </row>
    <row r="831" spans="1:14" x14ac:dyDescent="0.3">
      <c r="A831">
        <v>100830</v>
      </c>
      <c r="B831" s="2">
        <v>45326.541666666657</v>
      </c>
      <c r="C831" t="s">
        <v>15</v>
      </c>
      <c r="D831" t="s">
        <v>25</v>
      </c>
      <c r="E831" t="s">
        <v>66</v>
      </c>
      <c r="F831" t="s">
        <v>71</v>
      </c>
      <c r="G831">
        <v>4</v>
      </c>
      <c r="H831">
        <v>76.23</v>
      </c>
      <c r="I831">
        <v>10</v>
      </c>
      <c r="J831" t="s">
        <v>74</v>
      </c>
      <c r="K831" t="s">
        <v>77</v>
      </c>
      <c r="L831">
        <v>304.92</v>
      </c>
      <c r="M831">
        <v>30.492000000000001</v>
      </c>
      <c r="N831">
        <v>274.428</v>
      </c>
    </row>
    <row r="832" spans="1:14" x14ac:dyDescent="0.3">
      <c r="A832">
        <v>100831</v>
      </c>
      <c r="B832" s="2">
        <v>45326.583333333343</v>
      </c>
      <c r="C832" t="s">
        <v>14</v>
      </c>
      <c r="D832" t="s">
        <v>58</v>
      </c>
      <c r="E832" t="s">
        <v>67</v>
      </c>
      <c r="F832" t="s">
        <v>72</v>
      </c>
      <c r="G832">
        <v>2</v>
      </c>
      <c r="H832">
        <v>52.29</v>
      </c>
      <c r="I832">
        <v>5</v>
      </c>
      <c r="J832" t="s">
        <v>75</v>
      </c>
      <c r="K832" t="s">
        <v>77</v>
      </c>
      <c r="L832">
        <v>104.58</v>
      </c>
      <c r="M832">
        <v>5.2290000000000001</v>
      </c>
      <c r="N832">
        <v>99.350999999999999</v>
      </c>
    </row>
    <row r="833" spans="1:14" x14ac:dyDescent="0.3">
      <c r="A833">
        <v>100832</v>
      </c>
      <c r="B833" s="2">
        <v>45326.625</v>
      </c>
      <c r="C833" t="s">
        <v>14</v>
      </c>
      <c r="D833" t="s">
        <v>35</v>
      </c>
      <c r="E833" t="s">
        <v>68</v>
      </c>
      <c r="F833" t="s">
        <v>71</v>
      </c>
      <c r="G833">
        <v>1</v>
      </c>
      <c r="H833">
        <v>54.16</v>
      </c>
      <c r="I833">
        <v>10</v>
      </c>
      <c r="J833" t="s">
        <v>76</v>
      </c>
      <c r="K833" t="s">
        <v>77</v>
      </c>
      <c r="L833">
        <v>54.16</v>
      </c>
      <c r="M833">
        <v>5.4160000000000004</v>
      </c>
      <c r="N833">
        <v>48.744</v>
      </c>
    </row>
    <row r="834" spans="1:14" x14ac:dyDescent="0.3">
      <c r="A834">
        <v>100833</v>
      </c>
      <c r="B834" s="2">
        <v>45326.666666666657</v>
      </c>
      <c r="C834" t="s">
        <v>14</v>
      </c>
      <c r="D834" t="s">
        <v>44</v>
      </c>
      <c r="E834" t="s">
        <v>67</v>
      </c>
      <c r="F834" t="s">
        <v>72</v>
      </c>
      <c r="G834">
        <v>5</v>
      </c>
      <c r="H834">
        <v>42.98</v>
      </c>
      <c r="I834">
        <v>10</v>
      </c>
      <c r="J834" t="s">
        <v>74</v>
      </c>
      <c r="K834" t="s">
        <v>77</v>
      </c>
      <c r="L834">
        <v>214.9</v>
      </c>
      <c r="M834">
        <v>21.49</v>
      </c>
      <c r="N834">
        <v>193.41</v>
      </c>
    </row>
    <row r="835" spans="1:14" x14ac:dyDescent="0.3">
      <c r="A835">
        <v>100834</v>
      </c>
      <c r="B835" s="2">
        <v>45326.708333333343</v>
      </c>
      <c r="C835" t="s">
        <v>15</v>
      </c>
      <c r="D835" t="s">
        <v>48</v>
      </c>
      <c r="E835" t="s">
        <v>66</v>
      </c>
      <c r="F835" t="s">
        <v>72</v>
      </c>
      <c r="G835">
        <v>4</v>
      </c>
      <c r="H835">
        <v>69.89</v>
      </c>
      <c r="I835">
        <v>5</v>
      </c>
      <c r="J835" t="s">
        <v>75</v>
      </c>
      <c r="K835" t="s">
        <v>77</v>
      </c>
      <c r="L835">
        <v>279.56</v>
      </c>
      <c r="M835">
        <v>13.978</v>
      </c>
      <c r="N835">
        <v>265.58199999999999</v>
      </c>
    </row>
    <row r="836" spans="1:14" x14ac:dyDescent="0.3">
      <c r="A836">
        <v>100835</v>
      </c>
      <c r="B836" s="2">
        <v>45326.75</v>
      </c>
      <c r="C836" t="s">
        <v>14</v>
      </c>
      <c r="D836" t="s">
        <v>50</v>
      </c>
      <c r="E836" t="s">
        <v>68</v>
      </c>
      <c r="F836" t="s">
        <v>71</v>
      </c>
      <c r="G836">
        <v>1</v>
      </c>
      <c r="H836">
        <v>102.82</v>
      </c>
      <c r="I836">
        <v>5</v>
      </c>
      <c r="J836" t="s">
        <v>75</v>
      </c>
      <c r="K836" t="s">
        <v>77</v>
      </c>
      <c r="L836">
        <v>102.82</v>
      </c>
      <c r="M836">
        <v>5.141</v>
      </c>
      <c r="N836">
        <v>97.678999999999988</v>
      </c>
    </row>
    <row r="837" spans="1:14" x14ac:dyDescent="0.3">
      <c r="A837">
        <v>100836</v>
      </c>
      <c r="B837" s="2">
        <v>45326.791666666657</v>
      </c>
      <c r="C837" t="s">
        <v>15</v>
      </c>
      <c r="D837" t="s">
        <v>62</v>
      </c>
      <c r="E837" t="s">
        <v>68</v>
      </c>
      <c r="F837" t="s">
        <v>71</v>
      </c>
      <c r="G837">
        <v>1</v>
      </c>
      <c r="H837">
        <v>28.18</v>
      </c>
      <c r="I837">
        <v>15</v>
      </c>
      <c r="J837" t="s">
        <v>74</v>
      </c>
      <c r="K837" t="s">
        <v>78</v>
      </c>
      <c r="L837">
        <v>28.18</v>
      </c>
      <c r="M837">
        <v>4.2269999999999994</v>
      </c>
      <c r="N837">
        <v>23.952999999999999</v>
      </c>
    </row>
    <row r="838" spans="1:14" x14ac:dyDescent="0.3">
      <c r="A838">
        <v>100837</v>
      </c>
      <c r="B838" s="2">
        <v>45326.833333333343</v>
      </c>
      <c r="C838" t="s">
        <v>14</v>
      </c>
      <c r="D838" t="s">
        <v>54</v>
      </c>
      <c r="E838" t="s">
        <v>67</v>
      </c>
      <c r="F838" t="s">
        <v>72</v>
      </c>
      <c r="G838">
        <v>5</v>
      </c>
      <c r="H838">
        <v>112.46</v>
      </c>
      <c r="I838">
        <v>10</v>
      </c>
      <c r="J838" t="s">
        <v>76</v>
      </c>
      <c r="K838" t="s">
        <v>77</v>
      </c>
      <c r="L838">
        <v>562.29999999999995</v>
      </c>
      <c r="M838">
        <v>56.23</v>
      </c>
      <c r="N838">
        <v>506.06999999999988</v>
      </c>
    </row>
    <row r="839" spans="1:14" x14ac:dyDescent="0.3">
      <c r="A839">
        <v>100838</v>
      </c>
      <c r="B839" s="2">
        <v>45326.875</v>
      </c>
      <c r="C839" t="s">
        <v>14</v>
      </c>
      <c r="D839" t="s">
        <v>41</v>
      </c>
      <c r="E839" t="s">
        <v>66</v>
      </c>
      <c r="F839" t="s">
        <v>71</v>
      </c>
      <c r="G839">
        <v>4</v>
      </c>
      <c r="H839">
        <v>84.25</v>
      </c>
      <c r="I839">
        <v>10</v>
      </c>
      <c r="J839" t="s">
        <v>75</v>
      </c>
      <c r="K839" t="s">
        <v>79</v>
      </c>
      <c r="L839">
        <v>337</v>
      </c>
      <c r="M839">
        <v>33.700000000000003</v>
      </c>
      <c r="N839">
        <v>303.3</v>
      </c>
    </row>
    <row r="840" spans="1:14" x14ac:dyDescent="0.3">
      <c r="A840">
        <v>100839</v>
      </c>
      <c r="B840" s="2">
        <v>45326.916666666657</v>
      </c>
      <c r="C840" t="s">
        <v>15</v>
      </c>
      <c r="D840" t="s">
        <v>49</v>
      </c>
      <c r="E840" t="s">
        <v>69</v>
      </c>
      <c r="F840" t="s">
        <v>72</v>
      </c>
      <c r="G840">
        <v>1</v>
      </c>
      <c r="H840">
        <v>99.68</v>
      </c>
      <c r="I840">
        <v>5</v>
      </c>
      <c r="J840" t="s">
        <v>74</v>
      </c>
      <c r="K840" t="s">
        <v>77</v>
      </c>
      <c r="L840">
        <v>99.68</v>
      </c>
      <c r="M840">
        <v>4.9840000000000009</v>
      </c>
      <c r="N840">
        <v>94.696000000000012</v>
      </c>
    </row>
    <row r="841" spans="1:14" x14ac:dyDescent="0.3">
      <c r="A841">
        <v>100840</v>
      </c>
      <c r="B841" s="2">
        <v>45326.958333333343</v>
      </c>
      <c r="C841" t="s">
        <v>14</v>
      </c>
      <c r="D841" t="s">
        <v>58</v>
      </c>
      <c r="E841" t="s">
        <v>66</v>
      </c>
      <c r="F841" t="s">
        <v>71</v>
      </c>
      <c r="G841">
        <v>1</v>
      </c>
      <c r="H841">
        <v>68.959999999999994</v>
      </c>
      <c r="I841">
        <v>0</v>
      </c>
      <c r="J841" t="s">
        <v>76</v>
      </c>
      <c r="K841" t="s">
        <v>77</v>
      </c>
      <c r="L841">
        <v>68.959999999999994</v>
      </c>
      <c r="M841">
        <v>0</v>
      </c>
      <c r="N841">
        <v>68.959999999999994</v>
      </c>
    </row>
    <row r="842" spans="1:14" x14ac:dyDescent="0.3">
      <c r="A842">
        <v>100841</v>
      </c>
      <c r="B842" s="2">
        <v>45327</v>
      </c>
      <c r="C842" t="s">
        <v>14</v>
      </c>
      <c r="D842" t="s">
        <v>56</v>
      </c>
      <c r="E842" t="s">
        <v>70</v>
      </c>
      <c r="F842" t="s">
        <v>72</v>
      </c>
      <c r="G842">
        <v>4</v>
      </c>
      <c r="H842">
        <v>94.64</v>
      </c>
      <c r="I842">
        <v>5</v>
      </c>
      <c r="J842" t="s">
        <v>76</v>
      </c>
      <c r="K842" t="s">
        <v>77</v>
      </c>
      <c r="L842">
        <v>378.56</v>
      </c>
      <c r="M842">
        <v>18.928000000000001</v>
      </c>
      <c r="N842">
        <v>359.63200000000001</v>
      </c>
    </row>
    <row r="843" spans="1:14" x14ac:dyDescent="0.3">
      <c r="A843">
        <v>100842</v>
      </c>
      <c r="B843" s="2">
        <v>45327.041666666657</v>
      </c>
      <c r="C843" t="s">
        <v>15</v>
      </c>
      <c r="D843" t="s">
        <v>59</v>
      </c>
      <c r="E843" t="s">
        <v>69</v>
      </c>
      <c r="F843" t="s">
        <v>72</v>
      </c>
      <c r="G843">
        <v>3</v>
      </c>
      <c r="H843">
        <v>6.86</v>
      </c>
      <c r="I843">
        <v>10</v>
      </c>
      <c r="J843" t="s">
        <v>75</v>
      </c>
      <c r="K843" t="s">
        <v>77</v>
      </c>
      <c r="L843">
        <v>20.58</v>
      </c>
      <c r="M843">
        <v>2.0579999999999998</v>
      </c>
      <c r="N843">
        <v>18.521999999999998</v>
      </c>
    </row>
    <row r="844" spans="1:14" x14ac:dyDescent="0.3">
      <c r="A844">
        <v>100843</v>
      </c>
      <c r="B844" s="2">
        <v>45327.083333333343</v>
      </c>
      <c r="C844" t="s">
        <v>14</v>
      </c>
      <c r="D844" t="s">
        <v>38</v>
      </c>
      <c r="E844" t="s">
        <v>68</v>
      </c>
      <c r="F844" t="s">
        <v>72</v>
      </c>
      <c r="G844">
        <v>1</v>
      </c>
      <c r="H844">
        <v>99.11</v>
      </c>
      <c r="I844">
        <v>5</v>
      </c>
      <c r="J844" t="s">
        <v>73</v>
      </c>
      <c r="K844" t="s">
        <v>77</v>
      </c>
      <c r="L844">
        <v>99.11</v>
      </c>
      <c r="M844">
        <v>4.9555000000000007</v>
      </c>
      <c r="N844">
        <v>94.154499999999999</v>
      </c>
    </row>
    <row r="845" spans="1:14" x14ac:dyDescent="0.3">
      <c r="A845">
        <v>100844</v>
      </c>
      <c r="B845" s="2">
        <v>45327.125</v>
      </c>
      <c r="C845" t="s">
        <v>14</v>
      </c>
      <c r="D845" t="s">
        <v>53</v>
      </c>
      <c r="E845" t="s">
        <v>69</v>
      </c>
      <c r="F845" t="s">
        <v>72</v>
      </c>
      <c r="G845">
        <v>2</v>
      </c>
      <c r="H845">
        <v>9.6199999999999992</v>
      </c>
      <c r="I845">
        <v>15</v>
      </c>
      <c r="J845" t="s">
        <v>73</v>
      </c>
      <c r="K845" t="s">
        <v>77</v>
      </c>
      <c r="L845">
        <v>19.239999999999998</v>
      </c>
      <c r="M845">
        <v>2.8860000000000001</v>
      </c>
      <c r="N845">
        <v>16.353999999999999</v>
      </c>
    </row>
    <row r="846" spans="1:14" x14ac:dyDescent="0.3">
      <c r="A846">
        <v>100845</v>
      </c>
      <c r="B846" s="2">
        <v>45327.166666666657</v>
      </c>
      <c r="C846" t="s">
        <v>14</v>
      </c>
      <c r="D846" t="s">
        <v>23</v>
      </c>
      <c r="E846" t="s">
        <v>68</v>
      </c>
      <c r="F846" t="s">
        <v>71</v>
      </c>
      <c r="G846">
        <v>4</v>
      </c>
      <c r="H846">
        <v>107.34</v>
      </c>
      <c r="I846">
        <v>0</v>
      </c>
      <c r="J846" t="s">
        <v>75</v>
      </c>
      <c r="K846" t="s">
        <v>77</v>
      </c>
      <c r="L846">
        <v>429.36</v>
      </c>
      <c r="M846">
        <v>0</v>
      </c>
      <c r="N846">
        <v>429.36</v>
      </c>
    </row>
    <row r="847" spans="1:14" x14ac:dyDescent="0.3">
      <c r="A847">
        <v>100846</v>
      </c>
      <c r="B847" s="2">
        <v>45327.208333333343</v>
      </c>
      <c r="C847" t="s">
        <v>14</v>
      </c>
      <c r="D847" t="s">
        <v>42</v>
      </c>
      <c r="E847" t="s">
        <v>68</v>
      </c>
      <c r="F847" t="s">
        <v>71</v>
      </c>
      <c r="G847">
        <v>1</v>
      </c>
      <c r="H847">
        <v>119.08</v>
      </c>
      <c r="I847">
        <v>5</v>
      </c>
      <c r="J847" t="s">
        <v>76</v>
      </c>
      <c r="K847" t="s">
        <v>77</v>
      </c>
      <c r="L847">
        <v>119.08</v>
      </c>
      <c r="M847">
        <v>5.9540000000000006</v>
      </c>
      <c r="N847">
        <v>113.126</v>
      </c>
    </row>
    <row r="848" spans="1:14" x14ac:dyDescent="0.3">
      <c r="A848">
        <v>100847</v>
      </c>
      <c r="B848" s="2">
        <v>45327.25</v>
      </c>
      <c r="C848" t="s">
        <v>15</v>
      </c>
      <c r="D848" t="s">
        <v>30</v>
      </c>
      <c r="E848" t="s">
        <v>69</v>
      </c>
      <c r="F848" t="s">
        <v>72</v>
      </c>
      <c r="G848">
        <v>5</v>
      </c>
      <c r="H848">
        <v>38.82</v>
      </c>
      <c r="I848">
        <v>15</v>
      </c>
      <c r="J848" t="s">
        <v>75</v>
      </c>
      <c r="K848" t="s">
        <v>77</v>
      </c>
      <c r="L848">
        <v>194.1</v>
      </c>
      <c r="M848">
        <v>29.114999999999998</v>
      </c>
      <c r="N848">
        <v>164.98500000000001</v>
      </c>
    </row>
    <row r="849" spans="1:14" x14ac:dyDescent="0.3">
      <c r="A849">
        <v>100848</v>
      </c>
      <c r="B849" s="2">
        <v>45327.291666666657</v>
      </c>
      <c r="C849" t="s">
        <v>15</v>
      </c>
      <c r="D849" t="s">
        <v>20</v>
      </c>
      <c r="E849" t="s">
        <v>68</v>
      </c>
      <c r="F849" t="s">
        <v>72</v>
      </c>
      <c r="G849">
        <v>2</v>
      </c>
      <c r="H849">
        <v>29.19</v>
      </c>
      <c r="I849">
        <v>10</v>
      </c>
      <c r="J849" t="s">
        <v>74</v>
      </c>
      <c r="K849" t="s">
        <v>77</v>
      </c>
      <c r="L849">
        <v>58.38</v>
      </c>
      <c r="M849">
        <v>5.838000000000001</v>
      </c>
      <c r="N849">
        <v>52.542000000000002</v>
      </c>
    </row>
    <row r="850" spans="1:14" x14ac:dyDescent="0.3">
      <c r="A850">
        <v>100849</v>
      </c>
      <c r="B850" s="2">
        <v>45327.333333333343</v>
      </c>
      <c r="C850" t="s">
        <v>14</v>
      </c>
      <c r="D850" t="s">
        <v>27</v>
      </c>
      <c r="E850" t="s">
        <v>68</v>
      </c>
      <c r="F850" t="s">
        <v>71</v>
      </c>
      <c r="G850">
        <v>1</v>
      </c>
      <c r="H850">
        <v>93.02</v>
      </c>
      <c r="I850">
        <v>5</v>
      </c>
      <c r="J850" t="s">
        <v>73</v>
      </c>
      <c r="K850" t="s">
        <v>77</v>
      </c>
      <c r="L850">
        <v>93.02</v>
      </c>
      <c r="M850">
        <v>4.6509999999999998</v>
      </c>
      <c r="N850">
        <v>88.369</v>
      </c>
    </row>
    <row r="851" spans="1:14" x14ac:dyDescent="0.3">
      <c r="A851">
        <v>100850</v>
      </c>
      <c r="B851" s="2">
        <v>45327.375</v>
      </c>
      <c r="C851" t="s">
        <v>15</v>
      </c>
      <c r="D851" t="s">
        <v>18</v>
      </c>
      <c r="E851" t="s">
        <v>70</v>
      </c>
      <c r="F851" t="s">
        <v>71</v>
      </c>
      <c r="G851">
        <v>2</v>
      </c>
      <c r="H851">
        <v>34.1</v>
      </c>
      <c r="I851">
        <v>10</v>
      </c>
      <c r="J851" t="s">
        <v>74</v>
      </c>
      <c r="K851" t="s">
        <v>77</v>
      </c>
      <c r="L851">
        <v>68.2</v>
      </c>
      <c r="M851">
        <v>6.82</v>
      </c>
      <c r="N851">
        <v>61.38</v>
      </c>
    </row>
    <row r="852" spans="1:14" x14ac:dyDescent="0.3">
      <c r="A852">
        <v>100851</v>
      </c>
      <c r="B852" s="2">
        <v>45327.416666666657</v>
      </c>
      <c r="C852" t="s">
        <v>14</v>
      </c>
      <c r="D852" t="s">
        <v>63</v>
      </c>
      <c r="E852" t="s">
        <v>66</v>
      </c>
      <c r="F852" t="s">
        <v>71</v>
      </c>
      <c r="G852">
        <v>2</v>
      </c>
      <c r="H852">
        <v>104.54</v>
      </c>
      <c r="I852">
        <v>15</v>
      </c>
      <c r="J852" t="s">
        <v>75</v>
      </c>
      <c r="K852" t="s">
        <v>77</v>
      </c>
      <c r="L852">
        <v>209.08</v>
      </c>
      <c r="M852">
        <v>31.361999999999998</v>
      </c>
      <c r="N852">
        <v>177.71799999999999</v>
      </c>
    </row>
    <row r="853" spans="1:14" x14ac:dyDescent="0.3">
      <c r="A853">
        <v>100852</v>
      </c>
      <c r="B853" s="2">
        <v>45327.458333333343</v>
      </c>
      <c r="C853" t="s">
        <v>15</v>
      </c>
      <c r="D853" t="s">
        <v>35</v>
      </c>
      <c r="E853" t="s">
        <v>66</v>
      </c>
      <c r="F853" t="s">
        <v>71</v>
      </c>
      <c r="G853">
        <v>3</v>
      </c>
      <c r="H853">
        <v>16.829999999999998</v>
      </c>
      <c r="I853">
        <v>10</v>
      </c>
      <c r="J853" t="s">
        <v>75</v>
      </c>
      <c r="K853" t="s">
        <v>77</v>
      </c>
      <c r="L853">
        <v>50.489999999999988</v>
      </c>
      <c r="M853">
        <v>5.0489999999999986</v>
      </c>
      <c r="N853">
        <v>45.441000000000003</v>
      </c>
    </row>
    <row r="854" spans="1:14" x14ac:dyDescent="0.3">
      <c r="A854">
        <v>100853</v>
      </c>
      <c r="B854" s="2">
        <v>45327.5</v>
      </c>
      <c r="C854" t="s">
        <v>14</v>
      </c>
      <c r="D854" t="s">
        <v>61</v>
      </c>
      <c r="E854" t="s">
        <v>70</v>
      </c>
      <c r="F854" t="s">
        <v>71</v>
      </c>
      <c r="G854">
        <v>2</v>
      </c>
      <c r="H854">
        <v>19.48</v>
      </c>
      <c r="I854">
        <v>15</v>
      </c>
      <c r="J854" t="s">
        <v>76</v>
      </c>
      <c r="K854" t="s">
        <v>77</v>
      </c>
      <c r="L854">
        <v>38.96</v>
      </c>
      <c r="M854">
        <v>5.8440000000000003</v>
      </c>
      <c r="N854">
        <v>33.116</v>
      </c>
    </row>
    <row r="855" spans="1:14" x14ac:dyDescent="0.3">
      <c r="A855">
        <v>100854</v>
      </c>
      <c r="B855" s="2">
        <v>45327.541666666657</v>
      </c>
      <c r="C855" t="s">
        <v>14</v>
      </c>
      <c r="D855" t="s">
        <v>58</v>
      </c>
      <c r="E855" t="s">
        <v>69</v>
      </c>
      <c r="F855" t="s">
        <v>71</v>
      </c>
      <c r="G855">
        <v>3</v>
      </c>
      <c r="H855">
        <v>117.6</v>
      </c>
      <c r="I855">
        <v>15</v>
      </c>
      <c r="J855" t="s">
        <v>76</v>
      </c>
      <c r="K855" t="s">
        <v>77</v>
      </c>
      <c r="L855">
        <v>352.8</v>
      </c>
      <c r="M855">
        <v>52.919999999999987</v>
      </c>
      <c r="N855">
        <v>299.87999999999988</v>
      </c>
    </row>
    <row r="856" spans="1:14" x14ac:dyDescent="0.3">
      <c r="A856">
        <v>100855</v>
      </c>
      <c r="B856" s="2">
        <v>45327.583333333343</v>
      </c>
      <c r="C856" t="s">
        <v>14</v>
      </c>
      <c r="D856" t="s">
        <v>31</v>
      </c>
      <c r="E856" t="s">
        <v>67</v>
      </c>
      <c r="F856" t="s">
        <v>72</v>
      </c>
      <c r="G856">
        <v>4</v>
      </c>
      <c r="H856">
        <v>82.49</v>
      </c>
      <c r="I856">
        <v>15</v>
      </c>
      <c r="J856" t="s">
        <v>76</v>
      </c>
      <c r="K856" t="s">
        <v>77</v>
      </c>
      <c r="L856">
        <v>329.96</v>
      </c>
      <c r="M856">
        <v>49.493999999999993</v>
      </c>
      <c r="N856">
        <v>280.46600000000001</v>
      </c>
    </row>
    <row r="857" spans="1:14" x14ac:dyDescent="0.3">
      <c r="A857">
        <v>100856</v>
      </c>
      <c r="B857" s="2">
        <v>45327.625</v>
      </c>
      <c r="C857" t="s">
        <v>14</v>
      </c>
      <c r="D857" t="s">
        <v>25</v>
      </c>
      <c r="E857" t="s">
        <v>67</v>
      </c>
      <c r="F857" t="s">
        <v>71</v>
      </c>
      <c r="G857">
        <v>3</v>
      </c>
      <c r="H857">
        <v>102.39</v>
      </c>
      <c r="I857">
        <v>5</v>
      </c>
      <c r="J857" t="s">
        <v>74</v>
      </c>
      <c r="K857" t="s">
        <v>77</v>
      </c>
      <c r="L857">
        <v>307.17</v>
      </c>
      <c r="M857">
        <v>15.358499999999999</v>
      </c>
      <c r="N857">
        <v>291.81150000000002</v>
      </c>
    </row>
    <row r="858" spans="1:14" x14ac:dyDescent="0.3">
      <c r="A858">
        <v>100857</v>
      </c>
      <c r="B858" s="2">
        <v>45327.666666666657</v>
      </c>
      <c r="C858" t="s">
        <v>14</v>
      </c>
      <c r="D858" t="s">
        <v>61</v>
      </c>
      <c r="E858" t="s">
        <v>67</v>
      </c>
      <c r="F858" t="s">
        <v>71</v>
      </c>
      <c r="G858">
        <v>5</v>
      </c>
      <c r="H858">
        <v>42.3</v>
      </c>
      <c r="I858">
        <v>10</v>
      </c>
      <c r="J858" t="s">
        <v>76</v>
      </c>
      <c r="K858" t="s">
        <v>78</v>
      </c>
      <c r="L858">
        <v>211.5</v>
      </c>
      <c r="M858">
        <v>21.15</v>
      </c>
      <c r="N858">
        <v>190.35</v>
      </c>
    </row>
    <row r="859" spans="1:14" x14ac:dyDescent="0.3">
      <c r="A859">
        <v>100858</v>
      </c>
      <c r="B859" s="2">
        <v>45327.708333333343</v>
      </c>
      <c r="C859" t="s">
        <v>14</v>
      </c>
      <c r="D859" t="s">
        <v>44</v>
      </c>
      <c r="E859" t="s">
        <v>70</v>
      </c>
      <c r="F859" t="s">
        <v>72</v>
      </c>
      <c r="G859">
        <v>1</v>
      </c>
      <c r="H859">
        <v>82.8</v>
      </c>
      <c r="I859">
        <v>10</v>
      </c>
      <c r="J859" t="s">
        <v>75</v>
      </c>
      <c r="K859" t="s">
        <v>77</v>
      </c>
      <c r="L859">
        <v>82.8</v>
      </c>
      <c r="M859">
        <v>8.2799999999999994</v>
      </c>
      <c r="N859">
        <v>74.52</v>
      </c>
    </row>
    <row r="860" spans="1:14" x14ac:dyDescent="0.3">
      <c r="A860">
        <v>100859</v>
      </c>
      <c r="B860" s="2">
        <v>45327.75</v>
      </c>
      <c r="C860" t="s">
        <v>15</v>
      </c>
      <c r="D860" t="s">
        <v>33</v>
      </c>
      <c r="E860" t="s">
        <v>70</v>
      </c>
      <c r="F860" t="s">
        <v>71</v>
      </c>
      <c r="G860">
        <v>4</v>
      </c>
      <c r="H860">
        <v>73.34</v>
      </c>
      <c r="I860">
        <v>0</v>
      </c>
      <c r="J860" t="s">
        <v>76</v>
      </c>
      <c r="K860" t="s">
        <v>77</v>
      </c>
      <c r="L860">
        <v>293.36</v>
      </c>
      <c r="M860">
        <v>0</v>
      </c>
      <c r="N860">
        <v>293.36</v>
      </c>
    </row>
    <row r="861" spans="1:14" x14ac:dyDescent="0.3">
      <c r="A861">
        <v>100860</v>
      </c>
      <c r="B861" s="2">
        <v>45327.791666666657</v>
      </c>
      <c r="C861" t="s">
        <v>14</v>
      </c>
      <c r="D861" t="s">
        <v>20</v>
      </c>
      <c r="E861" t="s">
        <v>68</v>
      </c>
      <c r="F861" t="s">
        <v>71</v>
      </c>
      <c r="G861">
        <v>4</v>
      </c>
      <c r="H861">
        <v>74.36</v>
      </c>
      <c r="I861">
        <v>0</v>
      </c>
      <c r="J861" t="s">
        <v>73</v>
      </c>
      <c r="K861" t="s">
        <v>77</v>
      </c>
      <c r="L861">
        <v>297.44</v>
      </c>
      <c r="M861">
        <v>0</v>
      </c>
      <c r="N861">
        <v>297.44</v>
      </c>
    </row>
    <row r="862" spans="1:14" x14ac:dyDescent="0.3">
      <c r="A862">
        <v>100861</v>
      </c>
      <c r="B862" s="2">
        <v>45327.833333333343</v>
      </c>
      <c r="C862" t="s">
        <v>15</v>
      </c>
      <c r="D862" t="s">
        <v>20</v>
      </c>
      <c r="E862" t="s">
        <v>67</v>
      </c>
      <c r="F862" t="s">
        <v>71</v>
      </c>
      <c r="G862">
        <v>5</v>
      </c>
      <c r="H862">
        <v>83.49</v>
      </c>
      <c r="I862">
        <v>0</v>
      </c>
      <c r="J862" t="s">
        <v>76</v>
      </c>
      <c r="K862" t="s">
        <v>77</v>
      </c>
      <c r="L862">
        <v>417.45</v>
      </c>
      <c r="M862">
        <v>0</v>
      </c>
      <c r="N862">
        <v>417.45</v>
      </c>
    </row>
    <row r="863" spans="1:14" x14ac:dyDescent="0.3">
      <c r="A863">
        <v>100862</v>
      </c>
      <c r="B863" s="2">
        <v>45327.875</v>
      </c>
      <c r="C863" t="s">
        <v>14</v>
      </c>
      <c r="D863" t="s">
        <v>27</v>
      </c>
      <c r="E863" t="s">
        <v>69</v>
      </c>
      <c r="F863" t="s">
        <v>71</v>
      </c>
      <c r="G863">
        <v>3</v>
      </c>
      <c r="H863">
        <v>71.17</v>
      </c>
      <c r="I863">
        <v>0</v>
      </c>
      <c r="J863" t="s">
        <v>74</v>
      </c>
      <c r="K863" t="s">
        <v>77</v>
      </c>
      <c r="L863">
        <v>213.51</v>
      </c>
      <c r="M863">
        <v>0</v>
      </c>
      <c r="N863">
        <v>213.51</v>
      </c>
    </row>
    <row r="864" spans="1:14" x14ac:dyDescent="0.3">
      <c r="A864">
        <v>100863</v>
      </c>
      <c r="B864" s="2">
        <v>45327.916666666657</v>
      </c>
      <c r="C864" t="s">
        <v>15</v>
      </c>
      <c r="D864" t="s">
        <v>37</v>
      </c>
      <c r="E864" t="s">
        <v>69</v>
      </c>
      <c r="F864" t="s">
        <v>71</v>
      </c>
      <c r="G864">
        <v>1</v>
      </c>
      <c r="H864">
        <v>54.34</v>
      </c>
      <c r="I864">
        <v>10</v>
      </c>
      <c r="J864" t="s">
        <v>73</v>
      </c>
      <c r="K864" t="s">
        <v>77</v>
      </c>
      <c r="L864">
        <v>54.34</v>
      </c>
      <c r="M864">
        <v>5.4340000000000011</v>
      </c>
      <c r="N864">
        <v>48.906000000000013</v>
      </c>
    </row>
    <row r="865" spans="1:14" x14ac:dyDescent="0.3">
      <c r="A865">
        <v>100864</v>
      </c>
      <c r="B865" s="2">
        <v>45327.958333333343</v>
      </c>
      <c r="C865" t="s">
        <v>15</v>
      </c>
      <c r="D865" t="s">
        <v>37</v>
      </c>
      <c r="E865" t="s">
        <v>67</v>
      </c>
      <c r="F865" t="s">
        <v>72</v>
      </c>
      <c r="G865">
        <v>3</v>
      </c>
      <c r="H865">
        <v>36.729999999999997</v>
      </c>
      <c r="I865">
        <v>15</v>
      </c>
      <c r="J865" t="s">
        <v>73</v>
      </c>
      <c r="K865" t="s">
        <v>77</v>
      </c>
      <c r="L865">
        <v>110.19</v>
      </c>
      <c r="M865">
        <v>16.528500000000001</v>
      </c>
      <c r="N865">
        <v>93.661500000000004</v>
      </c>
    </row>
    <row r="866" spans="1:14" x14ac:dyDescent="0.3">
      <c r="A866">
        <v>100865</v>
      </c>
      <c r="B866" s="2">
        <v>45328</v>
      </c>
      <c r="C866" t="s">
        <v>15</v>
      </c>
      <c r="D866" t="s">
        <v>25</v>
      </c>
      <c r="E866" t="s">
        <v>67</v>
      </c>
      <c r="F866" t="s">
        <v>71</v>
      </c>
      <c r="G866">
        <v>2</v>
      </c>
      <c r="H866">
        <v>93.39</v>
      </c>
      <c r="I866">
        <v>15</v>
      </c>
      <c r="J866" t="s">
        <v>73</v>
      </c>
      <c r="K866" t="s">
        <v>77</v>
      </c>
      <c r="L866">
        <v>186.78</v>
      </c>
      <c r="M866">
        <v>28.016999999999999</v>
      </c>
      <c r="N866">
        <v>158.76300000000001</v>
      </c>
    </row>
    <row r="867" spans="1:14" x14ac:dyDescent="0.3">
      <c r="A867">
        <v>100866</v>
      </c>
      <c r="B867" s="2">
        <v>45328.041666666657</v>
      </c>
      <c r="C867" t="s">
        <v>14</v>
      </c>
      <c r="D867" t="s">
        <v>56</v>
      </c>
      <c r="E867" t="s">
        <v>67</v>
      </c>
      <c r="F867" t="s">
        <v>72</v>
      </c>
      <c r="G867">
        <v>3</v>
      </c>
      <c r="H867">
        <v>31.02</v>
      </c>
      <c r="I867">
        <v>5</v>
      </c>
      <c r="J867" t="s">
        <v>74</v>
      </c>
      <c r="K867" t="s">
        <v>77</v>
      </c>
      <c r="L867">
        <v>93.06</v>
      </c>
      <c r="M867">
        <v>4.6529999999999996</v>
      </c>
      <c r="N867">
        <v>88.406999999999996</v>
      </c>
    </row>
    <row r="868" spans="1:14" x14ac:dyDescent="0.3">
      <c r="A868">
        <v>100867</v>
      </c>
      <c r="B868" s="2">
        <v>45328.083333333343</v>
      </c>
      <c r="C868" t="s">
        <v>14</v>
      </c>
      <c r="D868" t="s">
        <v>24</v>
      </c>
      <c r="E868" t="s">
        <v>70</v>
      </c>
      <c r="F868" t="s">
        <v>72</v>
      </c>
      <c r="G868">
        <v>4</v>
      </c>
      <c r="H868">
        <v>84.62</v>
      </c>
      <c r="I868">
        <v>15</v>
      </c>
      <c r="J868" t="s">
        <v>75</v>
      </c>
      <c r="K868" t="s">
        <v>77</v>
      </c>
      <c r="L868">
        <v>338.48</v>
      </c>
      <c r="M868">
        <v>50.771999999999998</v>
      </c>
      <c r="N868">
        <v>287.70800000000003</v>
      </c>
    </row>
    <row r="869" spans="1:14" x14ac:dyDescent="0.3">
      <c r="A869">
        <v>100868</v>
      </c>
      <c r="B869" s="2">
        <v>45328.125</v>
      </c>
      <c r="C869" t="s">
        <v>15</v>
      </c>
      <c r="D869" t="s">
        <v>23</v>
      </c>
      <c r="E869" t="s">
        <v>70</v>
      </c>
      <c r="F869" t="s">
        <v>71</v>
      </c>
      <c r="G869">
        <v>1</v>
      </c>
      <c r="H869">
        <v>31.83</v>
      </c>
      <c r="I869">
        <v>10</v>
      </c>
      <c r="J869" t="s">
        <v>76</v>
      </c>
      <c r="K869" t="s">
        <v>79</v>
      </c>
      <c r="L869">
        <v>31.83</v>
      </c>
      <c r="M869">
        <v>3.1829999999999998</v>
      </c>
      <c r="N869">
        <v>28.646999999999998</v>
      </c>
    </row>
    <row r="870" spans="1:14" x14ac:dyDescent="0.3">
      <c r="A870">
        <v>100869</v>
      </c>
      <c r="B870" s="2">
        <v>45328.166666666657</v>
      </c>
      <c r="C870" t="s">
        <v>14</v>
      </c>
      <c r="D870" t="s">
        <v>38</v>
      </c>
      <c r="E870" t="s">
        <v>70</v>
      </c>
      <c r="F870" t="s">
        <v>72</v>
      </c>
      <c r="G870">
        <v>3</v>
      </c>
      <c r="H870">
        <v>76.91</v>
      </c>
      <c r="I870">
        <v>10</v>
      </c>
      <c r="J870" t="s">
        <v>73</v>
      </c>
      <c r="K870" t="s">
        <v>77</v>
      </c>
      <c r="L870">
        <v>230.73</v>
      </c>
      <c r="M870">
        <v>23.073</v>
      </c>
      <c r="N870">
        <v>207.65700000000001</v>
      </c>
    </row>
    <row r="871" spans="1:14" x14ac:dyDescent="0.3">
      <c r="A871">
        <v>100870</v>
      </c>
      <c r="B871" s="2">
        <v>45328.208333333343</v>
      </c>
      <c r="C871" t="s">
        <v>15</v>
      </c>
      <c r="D871" t="s">
        <v>23</v>
      </c>
      <c r="E871" t="s">
        <v>66</v>
      </c>
      <c r="F871" t="s">
        <v>71</v>
      </c>
      <c r="G871">
        <v>1</v>
      </c>
      <c r="H871">
        <v>90.91</v>
      </c>
      <c r="I871">
        <v>10</v>
      </c>
      <c r="J871" t="s">
        <v>73</v>
      </c>
      <c r="K871" t="s">
        <v>77</v>
      </c>
      <c r="L871">
        <v>90.91</v>
      </c>
      <c r="M871">
        <v>9.0909999999999993</v>
      </c>
      <c r="N871">
        <v>81.819000000000003</v>
      </c>
    </row>
    <row r="872" spans="1:14" x14ac:dyDescent="0.3">
      <c r="A872">
        <v>100871</v>
      </c>
      <c r="B872" s="2">
        <v>45328.25</v>
      </c>
      <c r="C872" t="s">
        <v>14</v>
      </c>
      <c r="D872" t="s">
        <v>58</v>
      </c>
      <c r="E872" t="s">
        <v>69</v>
      </c>
      <c r="F872" t="s">
        <v>72</v>
      </c>
      <c r="G872">
        <v>1</v>
      </c>
      <c r="H872">
        <v>30.15</v>
      </c>
      <c r="I872">
        <v>5</v>
      </c>
      <c r="J872" t="s">
        <v>73</v>
      </c>
      <c r="K872" t="s">
        <v>77</v>
      </c>
      <c r="L872">
        <v>30.15</v>
      </c>
      <c r="M872">
        <v>1.5075000000000001</v>
      </c>
      <c r="N872">
        <v>28.642499999999998</v>
      </c>
    </row>
    <row r="873" spans="1:14" x14ac:dyDescent="0.3">
      <c r="A873">
        <v>100872</v>
      </c>
      <c r="B873" s="2">
        <v>45328.291666666657</v>
      </c>
      <c r="C873" t="s">
        <v>15</v>
      </c>
      <c r="D873" t="s">
        <v>63</v>
      </c>
      <c r="E873" t="s">
        <v>69</v>
      </c>
      <c r="F873" t="s">
        <v>72</v>
      </c>
      <c r="G873">
        <v>2</v>
      </c>
      <c r="H873">
        <v>11.89</v>
      </c>
      <c r="I873">
        <v>0</v>
      </c>
      <c r="J873" t="s">
        <v>75</v>
      </c>
      <c r="K873" t="s">
        <v>77</v>
      </c>
      <c r="L873">
        <v>23.78</v>
      </c>
      <c r="M873">
        <v>0</v>
      </c>
      <c r="N873">
        <v>23.78</v>
      </c>
    </row>
    <row r="874" spans="1:14" x14ac:dyDescent="0.3">
      <c r="A874">
        <v>100873</v>
      </c>
      <c r="B874" s="2">
        <v>45328.333333333343</v>
      </c>
      <c r="C874" t="s">
        <v>15</v>
      </c>
      <c r="D874" t="s">
        <v>58</v>
      </c>
      <c r="E874" t="s">
        <v>68</v>
      </c>
      <c r="F874" t="s">
        <v>71</v>
      </c>
      <c r="G874">
        <v>2</v>
      </c>
      <c r="H874">
        <v>20.059999999999999</v>
      </c>
      <c r="I874">
        <v>15</v>
      </c>
      <c r="J874" t="s">
        <v>75</v>
      </c>
      <c r="K874" t="s">
        <v>77</v>
      </c>
      <c r="L874">
        <v>40.119999999999997</v>
      </c>
      <c r="M874">
        <v>6.0179999999999998</v>
      </c>
      <c r="N874">
        <v>34.101999999999997</v>
      </c>
    </row>
    <row r="875" spans="1:14" x14ac:dyDescent="0.3">
      <c r="A875">
        <v>100874</v>
      </c>
      <c r="B875" s="2">
        <v>45328.375</v>
      </c>
      <c r="C875" t="s">
        <v>14</v>
      </c>
      <c r="D875" t="s">
        <v>29</v>
      </c>
      <c r="E875" t="s">
        <v>70</v>
      </c>
      <c r="F875" t="s">
        <v>71</v>
      </c>
      <c r="G875">
        <v>4</v>
      </c>
      <c r="H875">
        <v>74.69</v>
      </c>
      <c r="I875">
        <v>10</v>
      </c>
      <c r="J875" t="s">
        <v>74</v>
      </c>
      <c r="K875" t="s">
        <v>77</v>
      </c>
      <c r="L875">
        <v>298.76</v>
      </c>
      <c r="M875">
        <v>29.876000000000001</v>
      </c>
      <c r="N875">
        <v>268.88400000000001</v>
      </c>
    </row>
    <row r="876" spans="1:14" x14ac:dyDescent="0.3">
      <c r="A876">
        <v>100875</v>
      </c>
      <c r="B876" s="2">
        <v>45328.416666666657</v>
      </c>
      <c r="C876" t="s">
        <v>15</v>
      </c>
      <c r="D876" t="s">
        <v>32</v>
      </c>
      <c r="E876" t="s">
        <v>66</v>
      </c>
      <c r="F876" t="s">
        <v>71</v>
      </c>
      <c r="G876">
        <v>5</v>
      </c>
      <c r="H876">
        <v>102.69</v>
      </c>
      <c r="I876">
        <v>10</v>
      </c>
      <c r="J876" t="s">
        <v>75</v>
      </c>
      <c r="K876" t="s">
        <v>77</v>
      </c>
      <c r="L876">
        <v>513.45000000000005</v>
      </c>
      <c r="M876">
        <v>51.345000000000013</v>
      </c>
      <c r="N876">
        <v>462.10500000000002</v>
      </c>
    </row>
    <row r="877" spans="1:14" x14ac:dyDescent="0.3">
      <c r="A877">
        <v>100876</v>
      </c>
      <c r="B877" s="2">
        <v>45328.458333333343</v>
      </c>
      <c r="C877" t="s">
        <v>14</v>
      </c>
      <c r="D877" t="s">
        <v>33</v>
      </c>
      <c r="E877" t="s">
        <v>66</v>
      </c>
      <c r="F877" t="s">
        <v>71</v>
      </c>
      <c r="G877">
        <v>1</v>
      </c>
      <c r="H877">
        <v>10.17</v>
      </c>
      <c r="I877">
        <v>0</v>
      </c>
      <c r="J877" t="s">
        <v>76</v>
      </c>
      <c r="K877" t="s">
        <v>77</v>
      </c>
      <c r="L877">
        <v>10.17</v>
      </c>
      <c r="M877">
        <v>0</v>
      </c>
      <c r="N877">
        <v>10.17</v>
      </c>
    </row>
    <row r="878" spans="1:14" x14ac:dyDescent="0.3">
      <c r="A878">
        <v>100877</v>
      </c>
      <c r="B878" s="2">
        <v>45328.5</v>
      </c>
      <c r="C878" t="s">
        <v>15</v>
      </c>
      <c r="D878" t="s">
        <v>30</v>
      </c>
      <c r="E878" t="s">
        <v>69</v>
      </c>
      <c r="F878" t="s">
        <v>71</v>
      </c>
      <c r="G878">
        <v>5</v>
      </c>
      <c r="H878">
        <v>89.43</v>
      </c>
      <c r="I878">
        <v>10</v>
      </c>
      <c r="J878" t="s">
        <v>74</v>
      </c>
      <c r="K878" t="s">
        <v>77</v>
      </c>
      <c r="L878">
        <v>447.15</v>
      </c>
      <c r="M878">
        <v>44.715000000000003</v>
      </c>
      <c r="N878">
        <v>402.43500000000012</v>
      </c>
    </row>
    <row r="879" spans="1:14" x14ac:dyDescent="0.3">
      <c r="A879">
        <v>100878</v>
      </c>
      <c r="B879" s="2">
        <v>45328.541666666657</v>
      </c>
      <c r="C879" t="s">
        <v>15</v>
      </c>
      <c r="D879" t="s">
        <v>56</v>
      </c>
      <c r="E879" t="s">
        <v>70</v>
      </c>
      <c r="F879" t="s">
        <v>72</v>
      </c>
      <c r="G879">
        <v>4</v>
      </c>
      <c r="H879">
        <v>44.25</v>
      </c>
      <c r="I879">
        <v>15</v>
      </c>
      <c r="J879" t="s">
        <v>74</v>
      </c>
      <c r="K879" t="s">
        <v>77</v>
      </c>
      <c r="L879">
        <v>177</v>
      </c>
      <c r="M879">
        <v>26.55</v>
      </c>
      <c r="N879">
        <v>150.44999999999999</v>
      </c>
    </row>
    <row r="880" spans="1:14" x14ac:dyDescent="0.3">
      <c r="A880">
        <v>100879</v>
      </c>
      <c r="B880" s="2">
        <v>45328.583333333343</v>
      </c>
      <c r="C880" t="s">
        <v>14</v>
      </c>
      <c r="D880" t="s">
        <v>19</v>
      </c>
      <c r="E880" t="s">
        <v>68</v>
      </c>
      <c r="F880" t="s">
        <v>72</v>
      </c>
      <c r="G880">
        <v>1</v>
      </c>
      <c r="H880">
        <v>60.03</v>
      </c>
      <c r="I880">
        <v>5</v>
      </c>
      <c r="J880" t="s">
        <v>76</v>
      </c>
      <c r="K880" t="s">
        <v>77</v>
      </c>
      <c r="L880">
        <v>60.03</v>
      </c>
      <c r="M880">
        <v>3.0015000000000001</v>
      </c>
      <c r="N880">
        <v>57.028500000000001</v>
      </c>
    </row>
    <row r="881" spans="1:14" x14ac:dyDescent="0.3">
      <c r="A881">
        <v>100880</v>
      </c>
      <c r="B881" s="2">
        <v>45328.625</v>
      </c>
      <c r="C881" t="s">
        <v>14</v>
      </c>
      <c r="D881" t="s">
        <v>28</v>
      </c>
      <c r="E881" t="s">
        <v>70</v>
      </c>
      <c r="F881" t="s">
        <v>72</v>
      </c>
      <c r="G881">
        <v>1</v>
      </c>
      <c r="H881">
        <v>111.82</v>
      </c>
      <c r="I881">
        <v>10</v>
      </c>
      <c r="J881" t="s">
        <v>76</v>
      </c>
      <c r="K881" t="s">
        <v>77</v>
      </c>
      <c r="L881">
        <v>111.82</v>
      </c>
      <c r="M881">
        <v>11.182</v>
      </c>
      <c r="N881">
        <v>100.63800000000001</v>
      </c>
    </row>
    <row r="882" spans="1:14" x14ac:dyDescent="0.3">
      <c r="A882">
        <v>100881</v>
      </c>
      <c r="B882" s="2">
        <v>45328.666666666657</v>
      </c>
      <c r="C882" t="s">
        <v>14</v>
      </c>
      <c r="D882" t="s">
        <v>36</v>
      </c>
      <c r="E882" t="s">
        <v>67</v>
      </c>
      <c r="F882" t="s">
        <v>72</v>
      </c>
      <c r="G882">
        <v>5</v>
      </c>
      <c r="H882">
        <v>43.18</v>
      </c>
      <c r="I882">
        <v>15</v>
      </c>
      <c r="J882" t="s">
        <v>76</v>
      </c>
      <c r="K882" t="s">
        <v>77</v>
      </c>
      <c r="L882">
        <v>215.9</v>
      </c>
      <c r="M882">
        <v>32.384999999999998</v>
      </c>
      <c r="N882">
        <v>183.51499999999999</v>
      </c>
    </row>
    <row r="883" spans="1:14" x14ac:dyDescent="0.3">
      <c r="A883">
        <v>100882</v>
      </c>
      <c r="B883" s="2">
        <v>45328.708333333343</v>
      </c>
      <c r="C883" t="s">
        <v>15</v>
      </c>
      <c r="D883" t="s">
        <v>33</v>
      </c>
      <c r="E883" t="s">
        <v>70</v>
      </c>
      <c r="F883" t="s">
        <v>72</v>
      </c>
      <c r="G883">
        <v>3</v>
      </c>
      <c r="H883">
        <v>58.51</v>
      </c>
      <c r="I883">
        <v>10</v>
      </c>
      <c r="J883" t="s">
        <v>74</v>
      </c>
      <c r="K883" t="s">
        <v>77</v>
      </c>
      <c r="L883">
        <v>175.53</v>
      </c>
      <c r="M883">
        <v>17.553000000000001</v>
      </c>
      <c r="N883">
        <v>157.977</v>
      </c>
    </row>
    <row r="884" spans="1:14" x14ac:dyDescent="0.3">
      <c r="A884">
        <v>100883</v>
      </c>
      <c r="B884" s="2">
        <v>45328.75</v>
      </c>
      <c r="C884" t="s">
        <v>14</v>
      </c>
      <c r="D884" t="s">
        <v>38</v>
      </c>
      <c r="E884" t="s">
        <v>67</v>
      </c>
      <c r="F884" t="s">
        <v>72</v>
      </c>
      <c r="G884">
        <v>2</v>
      </c>
      <c r="H884">
        <v>6.57</v>
      </c>
      <c r="I884">
        <v>0</v>
      </c>
      <c r="J884" t="s">
        <v>74</v>
      </c>
      <c r="K884" t="s">
        <v>77</v>
      </c>
      <c r="L884">
        <v>13.14</v>
      </c>
      <c r="M884">
        <v>0</v>
      </c>
      <c r="N884">
        <v>13.14</v>
      </c>
    </row>
    <row r="885" spans="1:14" x14ac:dyDescent="0.3">
      <c r="A885">
        <v>100884</v>
      </c>
      <c r="B885" s="2">
        <v>45328.791666666657</v>
      </c>
      <c r="C885" t="s">
        <v>15</v>
      </c>
      <c r="D885" t="s">
        <v>48</v>
      </c>
      <c r="E885" t="s">
        <v>67</v>
      </c>
      <c r="F885" t="s">
        <v>72</v>
      </c>
      <c r="G885">
        <v>3</v>
      </c>
      <c r="H885">
        <v>14.38</v>
      </c>
      <c r="I885">
        <v>10</v>
      </c>
      <c r="J885" t="s">
        <v>74</v>
      </c>
      <c r="K885" t="s">
        <v>78</v>
      </c>
      <c r="L885">
        <v>43.14</v>
      </c>
      <c r="M885">
        <v>4.3140000000000001</v>
      </c>
      <c r="N885">
        <v>38.826000000000001</v>
      </c>
    </row>
    <row r="886" spans="1:14" x14ac:dyDescent="0.3">
      <c r="A886">
        <v>100885</v>
      </c>
      <c r="B886" s="2">
        <v>45328.833333333343</v>
      </c>
      <c r="C886" t="s">
        <v>15</v>
      </c>
      <c r="D886" t="s">
        <v>35</v>
      </c>
      <c r="E886" t="s">
        <v>68</v>
      </c>
      <c r="F886" t="s">
        <v>71</v>
      </c>
      <c r="G886">
        <v>5</v>
      </c>
      <c r="H886">
        <v>34.74</v>
      </c>
      <c r="I886">
        <v>10</v>
      </c>
      <c r="J886" t="s">
        <v>76</v>
      </c>
      <c r="K886" t="s">
        <v>77</v>
      </c>
      <c r="L886">
        <v>173.7</v>
      </c>
      <c r="M886">
        <v>17.37</v>
      </c>
      <c r="N886">
        <v>156.33000000000001</v>
      </c>
    </row>
    <row r="887" spans="1:14" x14ac:dyDescent="0.3">
      <c r="A887">
        <v>100886</v>
      </c>
      <c r="B887" s="2">
        <v>45328.875</v>
      </c>
      <c r="C887" t="s">
        <v>14</v>
      </c>
      <c r="D887" t="s">
        <v>52</v>
      </c>
      <c r="E887" t="s">
        <v>69</v>
      </c>
      <c r="F887" t="s">
        <v>71</v>
      </c>
      <c r="G887">
        <v>2</v>
      </c>
      <c r="H887">
        <v>8.1999999999999993</v>
      </c>
      <c r="I887">
        <v>5</v>
      </c>
      <c r="J887" t="s">
        <v>76</v>
      </c>
      <c r="K887" t="s">
        <v>78</v>
      </c>
      <c r="L887">
        <v>16.399999999999999</v>
      </c>
      <c r="M887">
        <v>0.82</v>
      </c>
      <c r="N887">
        <v>15.58</v>
      </c>
    </row>
    <row r="888" spans="1:14" x14ac:dyDescent="0.3">
      <c r="A888">
        <v>100887</v>
      </c>
      <c r="B888" s="2">
        <v>45328.916666666657</v>
      </c>
      <c r="C888" t="s">
        <v>14</v>
      </c>
      <c r="D888" t="s">
        <v>33</v>
      </c>
      <c r="E888" t="s">
        <v>70</v>
      </c>
      <c r="F888" t="s">
        <v>72</v>
      </c>
      <c r="G888">
        <v>3</v>
      </c>
      <c r="H888">
        <v>77.61</v>
      </c>
      <c r="I888">
        <v>0</v>
      </c>
      <c r="J888" t="s">
        <v>73</v>
      </c>
      <c r="K888" t="s">
        <v>77</v>
      </c>
      <c r="L888">
        <v>232.83</v>
      </c>
      <c r="M888">
        <v>0</v>
      </c>
      <c r="N888">
        <v>232.83</v>
      </c>
    </row>
    <row r="889" spans="1:14" x14ac:dyDescent="0.3">
      <c r="A889">
        <v>100888</v>
      </c>
      <c r="B889" s="2">
        <v>45328.958333333343</v>
      </c>
      <c r="C889" t="s">
        <v>15</v>
      </c>
      <c r="D889" t="s">
        <v>34</v>
      </c>
      <c r="E889" t="s">
        <v>67</v>
      </c>
      <c r="F889" t="s">
        <v>72</v>
      </c>
      <c r="G889">
        <v>2</v>
      </c>
      <c r="H889">
        <v>54.04</v>
      </c>
      <c r="I889">
        <v>0</v>
      </c>
      <c r="J889" t="s">
        <v>75</v>
      </c>
      <c r="K889" t="s">
        <v>77</v>
      </c>
      <c r="L889">
        <v>108.08</v>
      </c>
      <c r="M889">
        <v>0</v>
      </c>
      <c r="N889">
        <v>108.08</v>
      </c>
    </row>
    <row r="890" spans="1:14" x14ac:dyDescent="0.3">
      <c r="A890">
        <v>100889</v>
      </c>
      <c r="B890" s="2">
        <v>45329</v>
      </c>
      <c r="C890" t="s">
        <v>15</v>
      </c>
      <c r="D890" t="s">
        <v>53</v>
      </c>
      <c r="E890" t="s">
        <v>70</v>
      </c>
      <c r="F890" t="s">
        <v>71</v>
      </c>
      <c r="G890">
        <v>1</v>
      </c>
      <c r="H890">
        <v>68.040000000000006</v>
      </c>
      <c r="I890">
        <v>5</v>
      </c>
      <c r="J890" t="s">
        <v>73</v>
      </c>
      <c r="K890" t="s">
        <v>77</v>
      </c>
      <c r="L890">
        <v>68.040000000000006</v>
      </c>
      <c r="M890">
        <v>3.402000000000001</v>
      </c>
      <c r="N890">
        <v>64.638000000000005</v>
      </c>
    </row>
    <row r="891" spans="1:14" x14ac:dyDescent="0.3">
      <c r="A891">
        <v>100890</v>
      </c>
      <c r="B891" s="2">
        <v>45329.041666666657</v>
      </c>
      <c r="C891" t="s">
        <v>14</v>
      </c>
      <c r="D891" t="s">
        <v>27</v>
      </c>
      <c r="E891" t="s">
        <v>69</v>
      </c>
      <c r="F891" t="s">
        <v>71</v>
      </c>
      <c r="G891">
        <v>3</v>
      </c>
      <c r="H891">
        <v>25.08</v>
      </c>
      <c r="I891">
        <v>10</v>
      </c>
      <c r="J891" t="s">
        <v>76</v>
      </c>
      <c r="K891" t="s">
        <v>78</v>
      </c>
      <c r="L891">
        <v>75.239999999999995</v>
      </c>
      <c r="M891">
        <v>7.524</v>
      </c>
      <c r="N891">
        <v>67.715999999999994</v>
      </c>
    </row>
    <row r="892" spans="1:14" x14ac:dyDescent="0.3">
      <c r="A892">
        <v>100891</v>
      </c>
      <c r="B892" s="2">
        <v>45329.083333333343</v>
      </c>
      <c r="C892" t="s">
        <v>14</v>
      </c>
      <c r="D892" t="s">
        <v>50</v>
      </c>
      <c r="E892" t="s">
        <v>69</v>
      </c>
      <c r="F892" t="s">
        <v>71</v>
      </c>
      <c r="G892">
        <v>2</v>
      </c>
      <c r="H892">
        <v>39.03</v>
      </c>
      <c r="I892">
        <v>15</v>
      </c>
      <c r="J892" t="s">
        <v>74</v>
      </c>
      <c r="K892" t="s">
        <v>77</v>
      </c>
      <c r="L892">
        <v>78.06</v>
      </c>
      <c r="M892">
        <v>11.709</v>
      </c>
      <c r="N892">
        <v>66.350999999999999</v>
      </c>
    </row>
    <row r="893" spans="1:14" x14ac:dyDescent="0.3">
      <c r="A893">
        <v>100892</v>
      </c>
      <c r="B893" s="2">
        <v>45329.125</v>
      </c>
      <c r="C893" t="s">
        <v>14</v>
      </c>
      <c r="D893" t="s">
        <v>30</v>
      </c>
      <c r="E893" t="s">
        <v>66</v>
      </c>
      <c r="F893" t="s">
        <v>71</v>
      </c>
      <c r="G893">
        <v>2</v>
      </c>
      <c r="H893">
        <v>81.34</v>
      </c>
      <c r="I893">
        <v>0</v>
      </c>
      <c r="J893" t="s">
        <v>76</v>
      </c>
      <c r="K893" t="s">
        <v>77</v>
      </c>
      <c r="L893">
        <v>162.68</v>
      </c>
      <c r="M893">
        <v>0</v>
      </c>
      <c r="N893">
        <v>162.68</v>
      </c>
    </row>
    <row r="894" spans="1:14" x14ac:dyDescent="0.3">
      <c r="A894">
        <v>100893</v>
      </c>
      <c r="B894" s="2">
        <v>45329.166666666657</v>
      </c>
      <c r="C894" t="s">
        <v>14</v>
      </c>
      <c r="D894" t="s">
        <v>22</v>
      </c>
      <c r="E894" t="s">
        <v>69</v>
      </c>
      <c r="F894" t="s">
        <v>72</v>
      </c>
      <c r="G894">
        <v>2</v>
      </c>
      <c r="H894">
        <v>116.01</v>
      </c>
      <c r="I894">
        <v>0</v>
      </c>
      <c r="J894" t="s">
        <v>75</v>
      </c>
      <c r="K894" t="s">
        <v>77</v>
      </c>
      <c r="L894">
        <v>232.02</v>
      </c>
      <c r="M894">
        <v>0</v>
      </c>
      <c r="N894">
        <v>232.02</v>
      </c>
    </row>
    <row r="895" spans="1:14" x14ac:dyDescent="0.3">
      <c r="A895">
        <v>100894</v>
      </c>
      <c r="B895" s="2">
        <v>45329.208333333343</v>
      </c>
      <c r="C895" t="s">
        <v>14</v>
      </c>
      <c r="D895" t="s">
        <v>36</v>
      </c>
      <c r="E895" t="s">
        <v>68</v>
      </c>
      <c r="F895" t="s">
        <v>71</v>
      </c>
      <c r="G895">
        <v>3</v>
      </c>
      <c r="H895">
        <v>10.8</v>
      </c>
      <c r="I895">
        <v>10</v>
      </c>
      <c r="J895" t="s">
        <v>73</v>
      </c>
      <c r="K895" t="s">
        <v>77</v>
      </c>
      <c r="L895">
        <v>32.400000000000013</v>
      </c>
      <c r="M895">
        <v>3.2400000000000011</v>
      </c>
      <c r="N895">
        <v>29.16</v>
      </c>
    </row>
    <row r="896" spans="1:14" x14ac:dyDescent="0.3">
      <c r="A896">
        <v>100895</v>
      </c>
      <c r="B896" s="2">
        <v>45329.25</v>
      </c>
      <c r="C896" t="s">
        <v>15</v>
      </c>
      <c r="D896" t="s">
        <v>24</v>
      </c>
      <c r="E896" t="s">
        <v>67</v>
      </c>
      <c r="F896" t="s">
        <v>72</v>
      </c>
      <c r="G896">
        <v>4</v>
      </c>
      <c r="H896">
        <v>107.39</v>
      </c>
      <c r="I896">
        <v>10</v>
      </c>
      <c r="J896" t="s">
        <v>73</v>
      </c>
      <c r="K896" t="s">
        <v>77</v>
      </c>
      <c r="L896">
        <v>429.56</v>
      </c>
      <c r="M896">
        <v>42.956000000000003</v>
      </c>
      <c r="N896">
        <v>386.60399999999998</v>
      </c>
    </row>
    <row r="897" spans="1:14" x14ac:dyDescent="0.3">
      <c r="A897">
        <v>100896</v>
      </c>
      <c r="B897" s="2">
        <v>45329.291666666657</v>
      </c>
      <c r="C897" t="s">
        <v>15</v>
      </c>
      <c r="D897" t="s">
        <v>59</v>
      </c>
      <c r="E897" t="s">
        <v>66</v>
      </c>
      <c r="F897" t="s">
        <v>72</v>
      </c>
      <c r="G897">
        <v>3</v>
      </c>
      <c r="H897">
        <v>71.34</v>
      </c>
      <c r="I897">
        <v>0</v>
      </c>
      <c r="J897" t="s">
        <v>74</v>
      </c>
      <c r="K897" t="s">
        <v>78</v>
      </c>
      <c r="L897">
        <v>214.02</v>
      </c>
      <c r="M897">
        <v>0</v>
      </c>
      <c r="N897">
        <v>214.02</v>
      </c>
    </row>
    <row r="898" spans="1:14" x14ac:dyDescent="0.3">
      <c r="A898">
        <v>100897</v>
      </c>
      <c r="B898" s="2">
        <v>45329.333333333343</v>
      </c>
      <c r="C898" t="s">
        <v>15</v>
      </c>
      <c r="D898" t="s">
        <v>17</v>
      </c>
      <c r="E898" t="s">
        <v>68</v>
      </c>
      <c r="F898" t="s">
        <v>72</v>
      </c>
      <c r="G898">
        <v>5</v>
      </c>
      <c r="H898">
        <v>69.849999999999994</v>
      </c>
      <c r="I898">
        <v>10</v>
      </c>
      <c r="J898" t="s">
        <v>73</v>
      </c>
      <c r="K898" t="s">
        <v>79</v>
      </c>
      <c r="L898">
        <v>349.25</v>
      </c>
      <c r="M898">
        <v>34.924999999999997</v>
      </c>
      <c r="N898">
        <v>314.32499999999999</v>
      </c>
    </row>
    <row r="899" spans="1:14" x14ac:dyDescent="0.3">
      <c r="A899">
        <v>100898</v>
      </c>
      <c r="B899" s="2">
        <v>45329.375</v>
      </c>
      <c r="C899" t="s">
        <v>15</v>
      </c>
      <c r="D899" t="s">
        <v>59</v>
      </c>
      <c r="E899" t="s">
        <v>70</v>
      </c>
      <c r="F899" t="s">
        <v>71</v>
      </c>
      <c r="G899">
        <v>3</v>
      </c>
      <c r="H899">
        <v>62.53</v>
      </c>
      <c r="I899">
        <v>15</v>
      </c>
      <c r="J899" t="s">
        <v>73</v>
      </c>
      <c r="K899" t="s">
        <v>77</v>
      </c>
      <c r="L899">
        <v>187.59</v>
      </c>
      <c r="M899">
        <v>28.138500000000001</v>
      </c>
      <c r="N899">
        <v>159.45150000000001</v>
      </c>
    </row>
    <row r="900" spans="1:14" x14ac:dyDescent="0.3">
      <c r="A900">
        <v>100899</v>
      </c>
      <c r="B900" s="2">
        <v>45329.416666666657</v>
      </c>
      <c r="C900" t="s">
        <v>14</v>
      </c>
      <c r="D900" t="s">
        <v>38</v>
      </c>
      <c r="E900" t="s">
        <v>67</v>
      </c>
      <c r="F900" t="s">
        <v>71</v>
      </c>
      <c r="G900">
        <v>2</v>
      </c>
      <c r="H900">
        <v>12.98</v>
      </c>
      <c r="I900">
        <v>0</v>
      </c>
      <c r="J900" t="s">
        <v>76</v>
      </c>
      <c r="K900" t="s">
        <v>78</v>
      </c>
      <c r="L900">
        <v>25.96</v>
      </c>
      <c r="M900">
        <v>0</v>
      </c>
      <c r="N900">
        <v>25.96</v>
      </c>
    </row>
    <row r="901" spans="1:14" x14ac:dyDescent="0.3">
      <c r="A901">
        <v>100900</v>
      </c>
      <c r="B901" s="2">
        <v>45329.458333333343</v>
      </c>
      <c r="C901" t="s">
        <v>14</v>
      </c>
      <c r="D901" t="s">
        <v>60</v>
      </c>
      <c r="E901" t="s">
        <v>69</v>
      </c>
      <c r="F901" t="s">
        <v>72</v>
      </c>
      <c r="G901">
        <v>1</v>
      </c>
      <c r="H901">
        <v>15.34</v>
      </c>
      <c r="I901">
        <v>15</v>
      </c>
      <c r="J901" t="s">
        <v>73</v>
      </c>
      <c r="K901" t="s">
        <v>77</v>
      </c>
      <c r="L901">
        <v>15.34</v>
      </c>
      <c r="M901">
        <v>2.3010000000000002</v>
      </c>
      <c r="N901">
        <v>13.039</v>
      </c>
    </row>
    <row r="902" spans="1:14" x14ac:dyDescent="0.3">
      <c r="A902">
        <v>100901</v>
      </c>
      <c r="B902" s="2">
        <v>45329.5</v>
      </c>
      <c r="C902" t="s">
        <v>14</v>
      </c>
      <c r="D902" t="s">
        <v>53</v>
      </c>
      <c r="E902" t="s">
        <v>67</v>
      </c>
      <c r="F902" t="s">
        <v>72</v>
      </c>
      <c r="G902">
        <v>3</v>
      </c>
      <c r="H902">
        <v>74.099999999999994</v>
      </c>
      <c r="I902">
        <v>15</v>
      </c>
      <c r="J902" t="s">
        <v>73</v>
      </c>
      <c r="K902" t="s">
        <v>77</v>
      </c>
      <c r="L902">
        <v>222.3</v>
      </c>
      <c r="M902">
        <v>33.344999999999999</v>
      </c>
      <c r="N902">
        <v>188.95500000000001</v>
      </c>
    </row>
    <row r="903" spans="1:14" x14ac:dyDescent="0.3">
      <c r="A903">
        <v>100902</v>
      </c>
      <c r="B903" s="2">
        <v>45329.541666666657</v>
      </c>
      <c r="C903" t="s">
        <v>15</v>
      </c>
      <c r="D903" t="s">
        <v>57</v>
      </c>
      <c r="E903" t="s">
        <v>70</v>
      </c>
      <c r="F903" t="s">
        <v>72</v>
      </c>
      <c r="G903">
        <v>3</v>
      </c>
      <c r="H903">
        <v>44.21</v>
      </c>
      <c r="I903">
        <v>10</v>
      </c>
      <c r="J903" t="s">
        <v>73</v>
      </c>
      <c r="K903" t="s">
        <v>77</v>
      </c>
      <c r="L903">
        <v>132.63</v>
      </c>
      <c r="M903">
        <v>13.263</v>
      </c>
      <c r="N903">
        <v>119.367</v>
      </c>
    </row>
    <row r="904" spans="1:14" x14ac:dyDescent="0.3">
      <c r="A904">
        <v>100903</v>
      </c>
      <c r="B904" s="2">
        <v>45329.583333333343</v>
      </c>
      <c r="C904" t="s">
        <v>15</v>
      </c>
      <c r="D904" t="s">
        <v>50</v>
      </c>
      <c r="E904" t="s">
        <v>66</v>
      </c>
      <c r="F904" t="s">
        <v>71</v>
      </c>
      <c r="G904">
        <v>2</v>
      </c>
      <c r="H904">
        <v>110.49</v>
      </c>
      <c r="I904">
        <v>15</v>
      </c>
      <c r="J904" t="s">
        <v>74</v>
      </c>
      <c r="K904" t="s">
        <v>77</v>
      </c>
      <c r="L904">
        <v>220.98</v>
      </c>
      <c r="M904">
        <v>33.146999999999998</v>
      </c>
      <c r="N904">
        <v>187.833</v>
      </c>
    </row>
    <row r="905" spans="1:14" x14ac:dyDescent="0.3">
      <c r="A905">
        <v>100904</v>
      </c>
      <c r="B905" s="2">
        <v>45329.625</v>
      </c>
      <c r="C905" t="s">
        <v>14</v>
      </c>
      <c r="D905" t="s">
        <v>50</v>
      </c>
      <c r="E905" t="s">
        <v>66</v>
      </c>
      <c r="F905" t="s">
        <v>72</v>
      </c>
      <c r="G905">
        <v>1</v>
      </c>
      <c r="H905">
        <v>51.76</v>
      </c>
      <c r="I905">
        <v>10</v>
      </c>
      <c r="J905" t="s">
        <v>74</v>
      </c>
      <c r="K905" t="s">
        <v>79</v>
      </c>
      <c r="L905">
        <v>51.76</v>
      </c>
      <c r="M905">
        <v>5.1760000000000002</v>
      </c>
      <c r="N905">
        <v>46.584000000000003</v>
      </c>
    </row>
    <row r="906" spans="1:14" x14ac:dyDescent="0.3">
      <c r="A906">
        <v>100905</v>
      </c>
      <c r="B906" s="2">
        <v>45329.666666666657</v>
      </c>
      <c r="C906" t="s">
        <v>14</v>
      </c>
      <c r="D906" t="s">
        <v>62</v>
      </c>
      <c r="E906" t="s">
        <v>66</v>
      </c>
      <c r="F906" t="s">
        <v>71</v>
      </c>
      <c r="G906">
        <v>1</v>
      </c>
      <c r="H906">
        <v>21.48</v>
      </c>
      <c r="I906">
        <v>5</v>
      </c>
      <c r="J906" t="s">
        <v>76</v>
      </c>
      <c r="K906" t="s">
        <v>77</v>
      </c>
      <c r="L906">
        <v>21.48</v>
      </c>
      <c r="M906">
        <v>1.0740000000000001</v>
      </c>
      <c r="N906">
        <v>20.405999999999999</v>
      </c>
    </row>
    <row r="907" spans="1:14" x14ac:dyDescent="0.3">
      <c r="A907">
        <v>100906</v>
      </c>
      <c r="B907" s="2">
        <v>45329.708333333343</v>
      </c>
      <c r="C907" t="s">
        <v>15</v>
      </c>
      <c r="D907" t="s">
        <v>26</v>
      </c>
      <c r="E907" t="s">
        <v>69</v>
      </c>
      <c r="F907" t="s">
        <v>72</v>
      </c>
      <c r="G907">
        <v>5</v>
      </c>
      <c r="H907">
        <v>87.19</v>
      </c>
      <c r="I907">
        <v>10</v>
      </c>
      <c r="J907" t="s">
        <v>73</v>
      </c>
      <c r="K907" t="s">
        <v>77</v>
      </c>
      <c r="L907">
        <v>435.95</v>
      </c>
      <c r="M907">
        <v>43.594999999999999</v>
      </c>
      <c r="N907">
        <v>392.35500000000002</v>
      </c>
    </row>
    <row r="908" spans="1:14" x14ac:dyDescent="0.3">
      <c r="A908">
        <v>100907</v>
      </c>
      <c r="B908" s="2">
        <v>45329.75</v>
      </c>
      <c r="C908" t="s">
        <v>15</v>
      </c>
      <c r="D908" t="s">
        <v>56</v>
      </c>
      <c r="E908" t="s">
        <v>68</v>
      </c>
      <c r="F908" t="s">
        <v>72</v>
      </c>
      <c r="G908">
        <v>3</v>
      </c>
      <c r="H908">
        <v>38.74</v>
      </c>
      <c r="I908">
        <v>15</v>
      </c>
      <c r="J908" t="s">
        <v>74</v>
      </c>
      <c r="K908" t="s">
        <v>77</v>
      </c>
      <c r="L908">
        <v>116.22</v>
      </c>
      <c r="M908">
        <v>17.433</v>
      </c>
      <c r="N908">
        <v>98.787000000000006</v>
      </c>
    </row>
    <row r="909" spans="1:14" x14ac:dyDescent="0.3">
      <c r="A909">
        <v>100908</v>
      </c>
      <c r="B909" s="2">
        <v>45329.791666666657</v>
      </c>
      <c r="C909" t="s">
        <v>14</v>
      </c>
      <c r="D909" t="s">
        <v>24</v>
      </c>
      <c r="E909" t="s">
        <v>68</v>
      </c>
      <c r="F909" t="s">
        <v>72</v>
      </c>
      <c r="G909">
        <v>1</v>
      </c>
      <c r="H909">
        <v>65.430000000000007</v>
      </c>
      <c r="I909">
        <v>5</v>
      </c>
      <c r="J909" t="s">
        <v>74</v>
      </c>
      <c r="K909" t="s">
        <v>77</v>
      </c>
      <c r="L909">
        <v>65.430000000000007</v>
      </c>
      <c r="M909">
        <v>3.271500000000001</v>
      </c>
      <c r="N909">
        <v>62.158499999999997</v>
      </c>
    </row>
    <row r="910" spans="1:14" x14ac:dyDescent="0.3">
      <c r="A910">
        <v>100909</v>
      </c>
      <c r="B910" s="2">
        <v>45329.833333333343</v>
      </c>
      <c r="C910" t="s">
        <v>14</v>
      </c>
      <c r="D910" t="s">
        <v>60</v>
      </c>
      <c r="E910" t="s">
        <v>67</v>
      </c>
      <c r="F910" t="s">
        <v>71</v>
      </c>
      <c r="G910">
        <v>1</v>
      </c>
      <c r="H910">
        <v>85.25</v>
      </c>
      <c r="I910">
        <v>10</v>
      </c>
      <c r="J910" t="s">
        <v>76</v>
      </c>
      <c r="K910" t="s">
        <v>77</v>
      </c>
      <c r="L910">
        <v>85.25</v>
      </c>
      <c r="M910">
        <v>8.5250000000000004</v>
      </c>
      <c r="N910">
        <v>76.724999999999994</v>
      </c>
    </row>
    <row r="911" spans="1:14" x14ac:dyDescent="0.3">
      <c r="A911">
        <v>100910</v>
      </c>
      <c r="B911" s="2">
        <v>45329.875</v>
      </c>
      <c r="C911" t="s">
        <v>15</v>
      </c>
      <c r="D911" t="s">
        <v>39</v>
      </c>
      <c r="E911" t="s">
        <v>69</v>
      </c>
      <c r="F911" t="s">
        <v>71</v>
      </c>
      <c r="G911">
        <v>4</v>
      </c>
      <c r="H911">
        <v>108.53</v>
      </c>
      <c r="I911">
        <v>15</v>
      </c>
      <c r="J911" t="s">
        <v>75</v>
      </c>
      <c r="K911" t="s">
        <v>79</v>
      </c>
      <c r="L911">
        <v>434.12</v>
      </c>
      <c r="M911">
        <v>65.117999999999995</v>
      </c>
      <c r="N911">
        <v>369.00200000000001</v>
      </c>
    </row>
    <row r="912" spans="1:14" x14ac:dyDescent="0.3">
      <c r="A912">
        <v>100911</v>
      </c>
      <c r="B912" s="2">
        <v>45329.916666666657</v>
      </c>
      <c r="C912" t="s">
        <v>14</v>
      </c>
      <c r="D912" t="s">
        <v>20</v>
      </c>
      <c r="E912" t="s">
        <v>66</v>
      </c>
      <c r="F912" t="s">
        <v>72</v>
      </c>
      <c r="G912">
        <v>4</v>
      </c>
      <c r="H912">
        <v>96.1</v>
      </c>
      <c r="I912">
        <v>0</v>
      </c>
      <c r="J912" t="s">
        <v>73</v>
      </c>
      <c r="K912" t="s">
        <v>77</v>
      </c>
      <c r="L912">
        <v>384.4</v>
      </c>
      <c r="M912">
        <v>0</v>
      </c>
      <c r="N912">
        <v>384.4</v>
      </c>
    </row>
    <row r="913" spans="1:14" x14ac:dyDescent="0.3">
      <c r="A913">
        <v>100912</v>
      </c>
      <c r="B913" s="2">
        <v>45329.958333333343</v>
      </c>
      <c r="C913" t="s">
        <v>14</v>
      </c>
      <c r="D913" t="s">
        <v>44</v>
      </c>
      <c r="E913" t="s">
        <v>66</v>
      </c>
      <c r="F913" t="s">
        <v>71</v>
      </c>
      <c r="G913">
        <v>1</v>
      </c>
      <c r="H913">
        <v>82.78</v>
      </c>
      <c r="I913">
        <v>0</v>
      </c>
      <c r="J913" t="s">
        <v>74</v>
      </c>
      <c r="K913" t="s">
        <v>77</v>
      </c>
      <c r="L913">
        <v>82.78</v>
      </c>
      <c r="M913">
        <v>0</v>
      </c>
      <c r="N913">
        <v>82.78</v>
      </c>
    </row>
    <row r="914" spans="1:14" x14ac:dyDescent="0.3">
      <c r="A914">
        <v>100913</v>
      </c>
      <c r="B914" s="2">
        <v>45330</v>
      </c>
      <c r="C914" t="s">
        <v>14</v>
      </c>
      <c r="D914" t="s">
        <v>30</v>
      </c>
      <c r="E914" t="s">
        <v>70</v>
      </c>
      <c r="F914" t="s">
        <v>72</v>
      </c>
      <c r="G914">
        <v>5</v>
      </c>
      <c r="H914">
        <v>83.16</v>
      </c>
      <c r="I914">
        <v>10</v>
      </c>
      <c r="J914" t="s">
        <v>76</v>
      </c>
      <c r="K914" t="s">
        <v>77</v>
      </c>
      <c r="L914">
        <v>415.8</v>
      </c>
      <c r="M914">
        <v>41.58</v>
      </c>
      <c r="N914">
        <v>374.22</v>
      </c>
    </row>
    <row r="915" spans="1:14" x14ac:dyDescent="0.3">
      <c r="A915">
        <v>100914</v>
      </c>
      <c r="B915" s="2">
        <v>45330.041666666657</v>
      </c>
      <c r="C915" t="s">
        <v>15</v>
      </c>
      <c r="D915" t="s">
        <v>65</v>
      </c>
      <c r="E915" t="s">
        <v>70</v>
      </c>
      <c r="F915" t="s">
        <v>71</v>
      </c>
      <c r="G915">
        <v>1</v>
      </c>
      <c r="H915">
        <v>113.78</v>
      </c>
      <c r="I915">
        <v>10</v>
      </c>
      <c r="J915" t="s">
        <v>76</v>
      </c>
      <c r="K915" t="s">
        <v>77</v>
      </c>
      <c r="L915">
        <v>113.78</v>
      </c>
      <c r="M915">
        <v>11.378</v>
      </c>
      <c r="N915">
        <v>102.402</v>
      </c>
    </row>
    <row r="916" spans="1:14" x14ac:dyDescent="0.3">
      <c r="A916">
        <v>100915</v>
      </c>
      <c r="B916" s="2">
        <v>45330.083333333343</v>
      </c>
      <c r="C916" t="s">
        <v>15</v>
      </c>
      <c r="D916" t="s">
        <v>53</v>
      </c>
      <c r="E916" t="s">
        <v>66</v>
      </c>
      <c r="F916" t="s">
        <v>71</v>
      </c>
      <c r="G916">
        <v>2</v>
      </c>
      <c r="H916">
        <v>39.020000000000003</v>
      </c>
      <c r="I916">
        <v>0</v>
      </c>
      <c r="J916" t="s">
        <v>76</v>
      </c>
      <c r="K916" t="s">
        <v>77</v>
      </c>
      <c r="L916">
        <v>78.040000000000006</v>
      </c>
      <c r="M916">
        <v>0</v>
      </c>
      <c r="N916">
        <v>78.040000000000006</v>
      </c>
    </row>
    <row r="917" spans="1:14" x14ac:dyDescent="0.3">
      <c r="A917">
        <v>100916</v>
      </c>
      <c r="B917" s="2">
        <v>45330.125</v>
      </c>
      <c r="C917" t="s">
        <v>15</v>
      </c>
      <c r="D917" t="s">
        <v>55</v>
      </c>
      <c r="E917" t="s">
        <v>66</v>
      </c>
      <c r="F917" t="s">
        <v>71</v>
      </c>
      <c r="G917">
        <v>3</v>
      </c>
      <c r="H917">
        <v>5.13</v>
      </c>
      <c r="I917">
        <v>15</v>
      </c>
      <c r="J917" t="s">
        <v>74</v>
      </c>
      <c r="K917" t="s">
        <v>77</v>
      </c>
      <c r="L917">
        <v>15.39</v>
      </c>
      <c r="M917">
        <v>2.3085</v>
      </c>
      <c r="N917">
        <v>13.0815</v>
      </c>
    </row>
    <row r="918" spans="1:14" x14ac:dyDescent="0.3">
      <c r="A918">
        <v>100917</v>
      </c>
      <c r="B918" s="2">
        <v>45330.166666666657</v>
      </c>
      <c r="C918" t="s">
        <v>15</v>
      </c>
      <c r="D918" t="s">
        <v>19</v>
      </c>
      <c r="E918" t="s">
        <v>69</v>
      </c>
      <c r="F918" t="s">
        <v>72</v>
      </c>
      <c r="G918">
        <v>5</v>
      </c>
      <c r="H918">
        <v>36.270000000000003</v>
      </c>
      <c r="I918">
        <v>15</v>
      </c>
      <c r="J918" t="s">
        <v>73</v>
      </c>
      <c r="K918" t="s">
        <v>77</v>
      </c>
      <c r="L918">
        <v>181.35</v>
      </c>
      <c r="M918">
        <v>27.202500000000001</v>
      </c>
      <c r="N918">
        <v>154.14750000000001</v>
      </c>
    </row>
    <row r="919" spans="1:14" x14ac:dyDescent="0.3">
      <c r="A919">
        <v>100918</v>
      </c>
      <c r="B919" s="2">
        <v>45330.208333333343</v>
      </c>
      <c r="C919" t="s">
        <v>15</v>
      </c>
      <c r="D919" t="s">
        <v>23</v>
      </c>
      <c r="E919" t="s">
        <v>68</v>
      </c>
      <c r="F919" t="s">
        <v>71</v>
      </c>
      <c r="G919">
        <v>2</v>
      </c>
      <c r="H919">
        <v>30.06</v>
      </c>
      <c r="I919">
        <v>15</v>
      </c>
      <c r="J919" t="s">
        <v>75</v>
      </c>
      <c r="K919" t="s">
        <v>77</v>
      </c>
      <c r="L919">
        <v>60.12</v>
      </c>
      <c r="M919">
        <v>9.0179999999999989</v>
      </c>
      <c r="N919">
        <v>51.101999999999997</v>
      </c>
    </row>
    <row r="920" spans="1:14" x14ac:dyDescent="0.3">
      <c r="A920">
        <v>100919</v>
      </c>
      <c r="B920" s="2">
        <v>45330.25</v>
      </c>
      <c r="C920" t="s">
        <v>15</v>
      </c>
      <c r="D920" t="s">
        <v>35</v>
      </c>
      <c r="E920" t="s">
        <v>70</v>
      </c>
      <c r="F920" t="s">
        <v>71</v>
      </c>
      <c r="G920">
        <v>5</v>
      </c>
      <c r="H920">
        <v>81.11</v>
      </c>
      <c r="I920">
        <v>10</v>
      </c>
      <c r="J920" t="s">
        <v>73</v>
      </c>
      <c r="K920" t="s">
        <v>77</v>
      </c>
      <c r="L920">
        <v>405.55</v>
      </c>
      <c r="M920">
        <v>40.555000000000007</v>
      </c>
      <c r="N920">
        <v>364.995</v>
      </c>
    </row>
    <row r="921" spans="1:14" x14ac:dyDescent="0.3">
      <c r="A921">
        <v>100920</v>
      </c>
      <c r="B921" s="2">
        <v>45330.291666666657</v>
      </c>
      <c r="C921" t="s">
        <v>15</v>
      </c>
      <c r="D921" t="s">
        <v>24</v>
      </c>
      <c r="E921" t="s">
        <v>68</v>
      </c>
      <c r="F921" t="s">
        <v>72</v>
      </c>
      <c r="G921">
        <v>2</v>
      </c>
      <c r="H921">
        <v>77.88</v>
      </c>
      <c r="I921">
        <v>5</v>
      </c>
      <c r="J921" t="s">
        <v>76</v>
      </c>
      <c r="K921" t="s">
        <v>77</v>
      </c>
      <c r="L921">
        <v>155.76</v>
      </c>
      <c r="M921">
        <v>7.7880000000000003</v>
      </c>
      <c r="N921">
        <v>147.97200000000001</v>
      </c>
    </row>
    <row r="922" spans="1:14" x14ac:dyDescent="0.3">
      <c r="A922">
        <v>100921</v>
      </c>
      <c r="B922" s="2">
        <v>45330.333333333343</v>
      </c>
      <c r="C922" t="s">
        <v>14</v>
      </c>
      <c r="D922" t="s">
        <v>32</v>
      </c>
      <c r="E922" t="s">
        <v>69</v>
      </c>
      <c r="F922" t="s">
        <v>72</v>
      </c>
      <c r="G922">
        <v>3</v>
      </c>
      <c r="H922">
        <v>73.25</v>
      </c>
      <c r="I922">
        <v>5</v>
      </c>
      <c r="J922" t="s">
        <v>76</v>
      </c>
      <c r="K922" t="s">
        <v>77</v>
      </c>
      <c r="L922">
        <v>219.75</v>
      </c>
      <c r="M922">
        <v>10.987500000000001</v>
      </c>
      <c r="N922">
        <v>208.76249999999999</v>
      </c>
    </row>
    <row r="923" spans="1:14" x14ac:dyDescent="0.3">
      <c r="A923">
        <v>100922</v>
      </c>
      <c r="B923" s="2">
        <v>45330.375</v>
      </c>
      <c r="C923" t="s">
        <v>14</v>
      </c>
      <c r="D923" t="s">
        <v>62</v>
      </c>
      <c r="E923" t="s">
        <v>66</v>
      </c>
      <c r="F923" t="s">
        <v>72</v>
      </c>
      <c r="G923">
        <v>3</v>
      </c>
      <c r="H923">
        <v>6.87</v>
      </c>
      <c r="I923">
        <v>5</v>
      </c>
      <c r="J923" t="s">
        <v>75</v>
      </c>
      <c r="K923" t="s">
        <v>77</v>
      </c>
      <c r="L923">
        <v>20.61</v>
      </c>
      <c r="M923">
        <v>1.0305</v>
      </c>
      <c r="N923">
        <v>19.579499999999999</v>
      </c>
    </row>
    <row r="924" spans="1:14" x14ac:dyDescent="0.3">
      <c r="A924">
        <v>100923</v>
      </c>
      <c r="B924" s="2">
        <v>45330.416666666657</v>
      </c>
      <c r="C924" t="s">
        <v>14</v>
      </c>
      <c r="D924" t="s">
        <v>44</v>
      </c>
      <c r="E924" t="s">
        <v>68</v>
      </c>
      <c r="F924" t="s">
        <v>72</v>
      </c>
      <c r="G924">
        <v>4</v>
      </c>
      <c r="H924">
        <v>88.81</v>
      </c>
      <c r="I924">
        <v>5</v>
      </c>
      <c r="J924" t="s">
        <v>73</v>
      </c>
      <c r="K924" t="s">
        <v>77</v>
      </c>
      <c r="L924">
        <v>355.24</v>
      </c>
      <c r="M924">
        <v>17.762</v>
      </c>
      <c r="N924">
        <v>337.47800000000001</v>
      </c>
    </row>
    <row r="925" spans="1:14" x14ac:dyDescent="0.3">
      <c r="A925">
        <v>100924</v>
      </c>
      <c r="B925" s="2">
        <v>45330.458333333343</v>
      </c>
      <c r="C925" t="s">
        <v>14</v>
      </c>
      <c r="D925" t="s">
        <v>41</v>
      </c>
      <c r="E925" t="s">
        <v>66</v>
      </c>
      <c r="F925" t="s">
        <v>71</v>
      </c>
      <c r="G925">
        <v>2</v>
      </c>
      <c r="H925">
        <v>42.21</v>
      </c>
      <c r="I925">
        <v>5</v>
      </c>
      <c r="J925" t="s">
        <v>76</v>
      </c>
      <c r="K925" t="s">
        <v>78</v>
      </c>
      <c r="L925">
        <v>84.42</v>
      </c>
      <c r="M925">
        <v>4.2210000000000001</v>
      </c>
      <c r="N925">
        <v>80.198999999999998</v>
      </c>
    </row>
    <row r="926" spans="1:14" x14ac:dyDescent="0.3">
      <c r="A926">
        <v>100925</v>
      </c>
      <c r="B926" s="2">
        <v>45330.5</v>
      </c>
      <c r="C926" t="s">
        <v>14</v>
      </c>
      <c r="D926" t="s">
        <v>45</v>
      </c>
      <c r="E926" t="s">
        <v>66</v>
      </c>
      <c r="F926" t="s">
        <v>71</v>
      </c>
      <c r="G926">
        <v>4</v>
      </c>
      <c r="H926">
        <v>81.48</v>
      </c>
      <c r="I926">
        <v>10</v>
      </c>
      <c r="J926" t="s">
        <v>76</v>
      </c>
      <c r="K926" t="s">
        <v>77</v>
      </c>
      <c r="L926">
        <v>325.92</v>
      </c>
      <c r="M926">
        <v>32.592000000000013</v>
      </c>
      <c r="N926">
        <v>293.32799999999997</v>
      </c>
    </row>
    <row r="927" spans="1:14" x14ac:dyDescent="0.3">
      <c r="A927">
        <v>100926</v>
      </c>
      <c r="B927" s="2">
        <v>45330.541666666657</v>
      </c>
      <c r="C927" t="s">
        <v>14</v>
      </c>
      <c r="D927" t="s">
        <v>38</v>
      </c>
      <c r="E927" t="s">
        <v>67</v>
      </c>
      <c r="F927" t="s">
        <v>71</v>
      </c>
      <c r="G927">
        <v>2</v>
      </c>
      <c r="H927">
        <v>69.010000000000005</v>
      </c>
      <c r="I927">
        <v>10</v>
      </c>
      <c r="J927" t="s">
        <v>73</v>
      </c>
      <c r="K927" t="s">
        <v>77</v>
      </c>
      <c r="L927">
        <v>138.02000000000001</v>
      </c>
      <c r="M927">
        <v>13.802</v>
      </c>
      <c r="N927">
        <v>124.218</v>
      </c>
    </row>
    <row r="928" spans="1:14" x14ac:dyDescent="0.3">
      <c r="A928">
        <v>100927</v>
      </c>
      <c r="B928" s="2">
        <v>45330.583333333343</v>
      </c>
      <c r="C928" t="s">
        <v>14</v>
      </c>
      <c r="D928" t="s">
        <v>48</v>
      </c>
      <c r="E928" t="s">
        <v>68</v>
      </c>
      <c r="F928" t="s">
        <v>71</v>
      </c>
      <c r="G928">
        <v>4</v>
      </c>
      <c r="H928">
        <v>44.41</v>
      </c>
      <c r="I928">
        <v>5</v>
      </c>
      <c r="J928" t="s">
        <v>76</v>
      </c>
      <c r="K928" t="s">
        <v>77</v>
      </c>
      <c r="L928">
        <v>177.64</v>
      </c>
      <c r="M928">
        <v>8.8819999999999997</v>
      </c>
      <c r="N928">
        <v>168.75800000000001</v>
      </c>
    </row>
    <row r="929" spans="1:14" x14ac:dyDescent="0.3">
      <c r="A929">
        <v>100928</v>
      </c>
      <c r="B929" s="2">
        <v>45330.625</v>
      </c>
      <c r="C929" t="s">
        <v>15</v>
      </c>
      <c r="D929" t="s">
        <v>26</v>
      </c>
      <c r="E929" t="s">
        <v>68</v>
      </c>
      <c r="F929" t="s">
        <v>71</v>
      </c>
      <c r="G929">
        <v>3</v>
      </c>
      <c r="H929">
        <v>20.48</v>
      </c>
      <c r="I929">
        <v>10</v>
      </c>
      <c r="J929" t="s">
        <v>73</v>
      </c>
      <c r="K929" t="s">
        <v>77</v>
      </c>
      <c r="L929">
        <v>61.44</v>
      </c>
      <c r="M929">
        <v>6.1440000000000001</v>
      </c>
      <c r="N929">
        <v>55.295999999999999</v>
      </c>
    </row>
    <row r="930" spans="1:14" x14ac:dyDescent="0.3">
      <c r="A930">
        <v>100929</v>
      </c>
      <c r="B930" s="2">
        <v>45330.666666666657</v>
      </c>
      <c r="C930" t="s">
        <v>15</v>
      </c>
      <c r="D930" t="s">
        <v>28</v>
      </c>
      <c r="E930" t="s">
        <v>66</v>
      </c>
      <c r="F930" t="s">
        <v>72</v>
      </c>
      <c r="G930">
        <v>5</v>
      </c>
      <c r="H930">
        <v>15.86</v>
      </c>
      <c r="I930">
        <v>10</v>
      </c>
      <c r="J930" t="s">
        <v>76</v>
      </c>
      <c r="K930" t="s">
        <v>77</v>
      </c>
      <c r="L930">
        <v>79.3</v>
      </c>
      <c r="M930">
        <v>7.93</v>
      </c>
      <c r="N930">
        <v>71.37</v>
      </c>
    </row>
    <row r="931" spans="1:14" x14ac:dyDescent="0.3">
      <c r="A931">
        <v>100930</v>
      </c>
      <c r="B931" s="2">
        <v>45330.708333333343</v>
      </c>
      <c r="C931" t="s">
        <v>14</v>
      </c>
      <c r="D931" t="s">
        <v>28</v>
      </c>
      <c r="E931" t="s">
        <v>69</v>
      </c>
      <c r="F931" t="s">
        <v>71</v>
      </c>
      <c r="G931">
        <v>4</v>
      </c>
      <c r="H931">
        <v>100.62</v>
      </c>
      <c r="I931">
        <v>5</v>
      </c>
      <c r="J931" t="s">
        <v>73</v>
      </c>
      <c r="K931" t="s">
        <v>78</v>
      </c>
      <c r="L931">
        <v>402.48</v>
      </c>
      <c r="M931">
        <v>20.123999999999999</v>
      </c>
      <c r="N931">
        <v>382.35599999999999</v>
      </c>
    </row>
    <row r="932" spans="1:14" x14ac:dyDescent="0.3">
      <c r="A932">
        <v>100931</v>
      </c>
      <c r="B932" s="2">
        <v>45330.75</v>
      </c>
      <c r="C932" t="s">
        <v>14</v>
      </c>
      <c r="D932" t="s">
        <v>29</v>
      </c>
      <c r="E932" t="s">
        <v>67</v>
      </c>
      <c r="F932" t="s">
        <v>71</v>
      </c>
      <c r="G932">
        <v>2</v>
      </c>
      <c r="H932">
        <v>110.62</v>
      </c>
      <c r="I932">
        <v>15</v>
      </c>
      <c r="J932" t="s">
        <v>75</v>
      </c>
      <c r="K932" t="s">
        <v>77</v>
      </c>
      <c r="L932">
        <v>221.24</v>
      </c>
      <c r="M932">
        <v>33.186</v>
      </c>
      <c r="N932">
        <v>188.054</v>
      </c>
    </row>
    <row r="933" spans="1:14" x14ac:dyDescent="0.3">
      <c r="A933">
        <v>100932</v>
      </c>
      <c r="B933" s="2">
        <v>45330.791666666657</v>
      </c>
      <c r="C933" t="s">
        <v>15</v>
      </c>
      <c r="D933" t="s">
        <v>49</v>
      </c>
      <c r="E933" t="s">
        <v>66</v>
      </c>
      <c r="F933" t="s">
        <v>71</v>
      </c>
      <c r="G933">
        <v>2</v>
      </c>
      <c r="H933">
        <v>79.73</v>
      </c>
      <c r="I933">
        <v>10</v>
      </c>
      <c r="J933" t="s">
        <v>76</v>
      </c>
      <c r="K933" t="s">
        <v>77</v>
      </c>
      <c r="L933">
        <v>159.46</v>
      </c>
      <c r="M933">
        <v>15.946</v>
      </c>
      <c r="N933">
        <v>143.51400000000001</v>
      </c>
    </row>
    <row r="934" spans="1:14" x14ac:dyDescent="0.3">
      <c r="A934">
        <v>100933</v>
      </c>
      <c r="B934" s="2">
        <v>45330.833333333343</v>
      </c>
      <c r="C934" t="s">
        <v>14</v>
      </c>
      <c r="D934" t="s">
        <v>38</v>
      </c>
      <c r="E934" t="s">
        <v>70</v>
      </c>
      <c r="F934" t="s">
        <v>72</v>
      </c>
      <c r="G934">
        <v>3</v>
      </c>
      <c r="H934">
        <v>16.89</v>
      </c>
      <c r="I934">
        <v>15</v>
      </c>
      <c r="J934" t="s">
        <v>75</v>
      </c>
      <c r="K934" t="s">
        <v>77</v>
      </c>
      <c r="L934">
        <v>50.67</v>
      </c>
      <c r="M934">
        <v>7.6005000000000003</v>
      </c>
      <c r="N934">
        <v>43.069500000000012</v>
      </c>
    </row>
    <row r="935" spans="1:14" x14ac:dyDescent="0.3">
      <c r="A935">
        <v>100934</v>
      </c>
      <c r="B935" s="2">
        <v>45330.875</v>
      </c>
      <c r="C935" t="s">
        <v>14</v>
      </c>
      <c r="D935" t="s">
        <v>17</v>
      </c>
      <c r="E935" t="s">
        <v>70</v>
      </c>
      <c r="F935" t="s">
        <v>72</v>
      </c>
      <c r="G935">
        <v>2</v>
      </c>
      <c r="H935">
        <v>51.23</v>
      </c>
      <c r="I935">
        <v>10</v>
      </c>
      <c r="J935" t="s">
        <v>76</v>
      </c>
      <c r="K935" t="s">
        <v>77</v>
      </c>
      <c r="L935">
        <v>102.46</v>
      </c>
      <c r="M935">
        <v>10.246</v>
      </c>
      <c r="N935">
        <v>92.213999999999999</v>
      </c>
    </row>
    <row r="936" spans="1:14" x14ac:dyDescent="0.3">
      <c r="A936">
        <v>100935</v>
      </c>
      <c r="B936" s="2">
        <v>45330.916666666657</v>
      </c>
      <c r="C936" t="s">
        <v>15</v>
      </c>
      <c r="D936" t="s">
        <v>25</v>
      </c>
      <c r="E936" t="s">
        <v>67</v>
      </c>
      <c r="F936" t="s">
        <v>71</v>
      </c>
      <c r="G936">
        <v>1</v>
      </c>
      <c r="H936">
        <v>88.83</v>
      </c>
      <c r="I936">
        <v>10</v>
      </c>
      <c r="J936" t="s">
        <v>76</v>
      </c>
      <c r="K936" t="s">
        <v>77</v>
      </c>
      <c r="L936">
        <v>88.83</v>
      </c>
      <c r="M936">
        <v>8.8830000000000009</v>
      </c>
      <c r="N936">
        <v>79.947000000000003</v>
      </c>
    </row>
    <row r="937" spans="1:14" x14ac:dyDescent="0.3">
      <c r="A937">
        <v>100936</v>
      </c>
      <c r="B937" s="2">
        <v>45330.958333333343</v>
      </c>
      <c r="C937" t="s">
        <v>14</v>
      </c>
      <c r="D937" t="s">
        <v>19</v>
      </c>
      <c r="E937" t="s">
        <v>69</v>
      </c>
      <c r="F937" t="s">
        <v>72</v>
      </c>
      <c r="G937">
        <v>5</v>
      </c>
      <c r="H937">
        <v>94.68</v>
      </c>
      <c r="I937">
        <v>5</v>
      </c>
      <c r="J937" t="s">
        <v>74</v>
      </c>
      <c r="K937" t="s">
        <v>78</v>
      </c>
      <c r="L937">
        <v>473.4</v>
      </c>
      <c r="M937">
        <v>23.67</v>
      </c>
      <c r="N937">
        <v>449.73</v>
      </c>
    </row>
    <row r="938" spans="1:14" x14ac:dyDescent="0.3">
      <c r="A938">
        <v>100937</v>
      </c>
      <c r="B938" s="2">
        <v>45331</v>
      </c>
      <c r="C938" t="s">
        <v>15</v>
      </c>
      <c r="D938" t="s">
        <v>38</v>
      </c>
      <c r="E938" t="s">
        <v>66</v>
      </c>
      <c r="F938" t="s">
        <v>72</v>
      </c>
      <c r="G938">
        <v>4</v>
      </c>
      <c r="H938">
        <v>18.600000000000001</v>
      </c>
      <c r="I938">
        <v>10</v>
      </c>
      <c r="J938" t="s">
        <v>73</v>
      </c>
      <c r="K938" t="s">
        <v>77</v>
      </c>
      <c r="L938">
        <v>74.400000000000006</v>
      </c>
      <c r="M938">
        <v>7.4400000000000013</v>
      </c>
      <c r="N938">
        <v>66.960000000000008</v>
      </c>
    </row>
    <row r="939" spans="1:14" x14ac:dyDescent="0.3">
      <c r="A939">
        <v>100938</v>
      </c>
      <c r="B939" s="2">
        <v>45331.041666666657</v>
      </c>
      <c r="C939" t="s">
        <v>14</v>
      </c>
      <c r="D939" t="s">
        <v>61</v>
      </c>
      <c r="E939" t="s">
        <v>68</v>
      </c>
      <c r="F939" t="s">
        <v>72</v>
      </c>
      <c r="G939">
        <v>5</v>
      </c>
      <c r="H939">
        <v>5</v>
      </c>
      <c r="I939">
        <v>0</v>
      </c>
      <c r="J939" t="s">
        <v>75</v>
      </c>
      <c r="K939" t="s">
        <v>77</v>
      </c>
      <c r="L939">
        <v>25</v>
      </c>
      <c r="M939">
        <v>0</v>
      </c>
      <c r="N939">
        <v>25</v>
      </c>
    </row>
    <row r="940" spans="1:14" x14ac:dyDescent="0.3">
      <c r="A940">
        <v>100939</v>
      </c>
      <c r="B940" s="2">
        <v>45331.083333333343</v>
      </c>
      <c r="C940" t="s">
        <v>15</v>
      </c>
      <c r="D940" t="s">
        <v>25</v>
      </c>
      <c r="E940" t="s">
        <v>67</v>
      </c>
      <c r="F940" t="s">
        <v>72</v>
      </c>
      <c r="G940">
        <v>3</v>
      </c>
      <c r="H940">
        <v>86.9</v>
      </c>
      <c r="I940">
        <v>0</v>
      </c>
      <c r="J940" t="s">
        <v>75</v>
      </c>
      <c r="K940" t="s">
        <v>77</v>
      </c>
      <c r="L940">
        <v>260.7</v>
      </c>
      <c r="M940">
        <v>0</v>
      </c>
      <c r="N940">
        <v>260.7</v>
      </c>
    </row>
    <row r="941" spans="1:14" x14ac:dyDescent="0.3">
      <c r="A941">
        <v>100940</v>
      </c>
      <c r="B941" s="2">
        <v>45331.125</v>
      </c>
      <c r="C941" t="s">
        <v>15</v>
      </c>
      <c r="D941" t="s">
        <v>34</v>
      </c>
      <c r="E941" t="s">
        <v>69</v>
      </c>
      <c r="F941" t="s">
        <v>72</v>
      </c>
      <c r="G941">
        <v>4</v>
      </c>
      <c r="H941">
        <v>46.01</v>
      </c>
      <c r="I941">
        <v>5</v>
      </c>
      <c r="J941" t="s">
        <v>75</v>
      </c>
      <c r="K941" t="s">
        <v>77</v>
      </c>
      <c r="L941">
        <v>184.04</v>
      </c>
      <c r="M941">
        <v>9.202</v>
      </c>
      <c r="N941">
        <v>174.83799999999999</v>
      </c>
    </row>
    <row r="942" spans="1:14" x14ac:dyDescent="0.3">
      <c r="A942">
        <v>100941</v>
      </c>
      <c r="B942" s="2">
        <v>45331.166666666657</v>
      </c>
      <c r="C942" t="s">
        <v>15</v>
      </c>
      <c r="D942" t="s">
        <v>27</v>
      </c>
      <c r="E942" t="s">
        <v>68</v>
      </c>
      <c r="F942" t="s">
        <v>72</v>
      </c>
      <c r="G942">
        <v>4</v>
      </c>
      <c r="H942">
        <v>34.270000000000003</v>
      </c>
      <c r="I942">
        <v>15</v>
      </c>
      <c r="J942" t="s">
        <v>73</v>
      </c>
      <c r="K942" t="s">
        <v>77</v>
      </c>
      <c r="L942">
        <v>137.08000000000001</v>
      </c>
      <c r="M942">
        <v>20.562000000000001</v>
      </c>
      <c r="N942">
        <v>116.518</v>
      </c>
    </row>
    <row r="943" spans="1:14" x14ac:dyDescent="0.3">
      <c r="A943">
        <v>100942</v>
      </c>
      <c r="B943" s="2">
        <v>45331.208333333343</v>
      </c>
      <c r="C943" t="s">
        <v>14</v>
      </c>
      <c r="D943" t="s">
        <v>16</v>
      </c>
      <c r="E943" t="s">
        <v>70</v>
      </c>
      <c r="F943" t="s">
        <v>72</v>
      </c>
      <c r="G943">
        <v>1</v>
      </c>
      <c r="H943">
        <v>6.48</v>
      </c>
      <c r="I943">
        <v>15</v>
      </c>
      <c r="J943" t="s">
        <v>74</v>
      </c>
      <c r="K943" t="s">
        <v>77</v>
      </c>
      <c r="L943">
        <v>6.48</v>
      </c>
      <c r="M943">
        <v>0.97199999999999998</v>
      </c>
      <c r="N943">
        <v>5.5080000000000009</v>
      </c>
    </row>
    <row r="944" spans="1:14" x14ac:dyDescent="0.3">
      <c r="A944">
        <v>100943</v>
      </c>
      <c r="B944" s="2">
        <v>45331.25</v>
      </c>
      <c r="C944" t="s">
        <v>15</v>
      </c>
      <c r="D944" t="s">
        <v>60</v>
      </c>
      <c r="E944" t="s">
        <v>70</v>
      </c>
      <c r="F944" t="s">
        <v>71</v>
      </c>
      <c r="G944">
        <v>3</v>
      </c>
      <c r="H944">
        <v>67.13</v>
      </c>
      <c r="I944">
        <v>15</v>
      </c>
      <c r="J944" t="s">
        <v>75</v>
      </c>
      <c r="K944" t="s">
        <v>77</v>
      </c>
      <c r="L944">
        <v>201.39</v>
      </c>
      <c r="M944">
        <v>30.208500000000001</v>
      </c>
      <c r="N944">
        <v>171.1815</v>
      </c>
    </row>
    <row r="945" spans="1:14" x14ac:dyDescent="0.3">
      <c r="A945">
        <v>100944</v>
      </c>
      <c r="B945" s="2">
        <v>45331.291666666657</v>
      </c>
      <c r="C945" t="s">
        <v>14</v>
      </c>
      <c r="D945" t="s">
        <v>48</v>
      </c>
      <c r="E945" t="s">
        <v>68</v>
      </c>
      <c r="F945" t="s">
        <v>71</v>
      </c>
      <c r="G945">
        <v>2</v>
      </c>
      <c r="H945">
        <v>102.88</v>
      </c>
      <c r="I945">
        <v>0</v>
      </c>
      <c r="J945" t="s">
        <v>73</v>
      </c>
      <c r="K945" t="s">
        <v>77</v>
      </c>
      <c r="L945">
        <v>205.76</v>
      </c>
      <c r="M945">
        <v>0</v>
      </c>
      <c r="N945">
        <v>205.76</v>
      </c>
    </row>
    <row r="946" spans="1:14" x14ac:dyDescent="0.3">
      <c r="A946">
        <v>100945</v>
      </c>
      <c r="B946" s="2">
        <v>45331.333333333343</v>
      </c>
      <c r="C946" t="s">
        <v>14</v>
      </c>
      <c r="D946" t="s">
        <v>37</v>
      </c>
      <c r="E946" t="s">
        <v>67</v>
      </c>
      <c r="F946" t="s">
        <v>72</v>
      </c>
      <c r="G946">
        <v>1</v>
      </c>
      <c r="H946">
        <v>115.13</v>
      </c>
      <c r="I946">
        <v>15</v>
      </c>
      <c r="J946" t="s">
        <v>76</v>
      </c>
      <c r="K946" t="s">
        <v>77</v>
      </c>
      <c r="L946">
        <v>115.13</v>
      </c>
      <c r="M946">
        <v>17.269500000000001</v>
      </c>
      <c r="N946">
        <v>97.860500000000002</v>
      </c>
    </row>
    <row r="947" spans="1:14" x14ac:dyDescent="0.3">
      <c r="A947">
        <v>100946</v>
      </c>
      <c r="B947" s="2">
        <v>45331.375</v>
      </c>
      <c r="C947" t="s">
        <v>14</v>
      </c>
      <c r="D947" t="s">
        <v>25</v>
      </c>
      <c r="E947" t="s">
        <v>70</v>
      </c>
      <c r="F947" t="s">
        <v>71</v>
      </c>
      <c r="G947">
        <v>1</v>
      </c>
      <c r="H947">
        <v>70.06</v>
      </c>
      <c r="I947">
        <v>15</v>
      </c>
      <c r="J947" t="s">
        <v>75</v>
      </c>
      <c r="K947" t="s">
        <v>77</v>
      </c>
      <c r="L947">
        <v>70.06</v>
      </c>
      <c r="M947">
        <v>10.509</v>
      </c>
      <c r="N947">
        <v>59.551000000000002</v>
      </c>
    </row>
    <row r="948" spans="1:14" x14ac:dyDescent="0.3">
      <c r="A948">
        <v>100947</v>
      </c>
      <c r="B948" s="2">
        <v>45331.416666666657</v>
      </c>
      <c r="C948" t="s">
        <v>14</v>
      </c>
      <c r="D948" t="s">
        <v>47</v>
      </c>
      <c r="E948" t="s">
        <v>66</v>
      </c>
      <c r="F948" t="s">
        <v>71</v>
      </c>
      <c r="G948">
        <v>5</v>
      </c>
      <c r="H948">
        <v>64.16</v>
      </c>
      <c r="I948">
        <v>5</v>
      </c>
      <c r="J948" t="s">
        <v>75</v>
      </c>
      <c r="K948" t="s">
        <v>77</v>
      </c>
      <c r="L948">
        <v>320.8</v>
      </c>
      <c r="M948">
        <v>16.04</v>
      </c>
      <c r="N948">
        <v>304.75999999999988</v>
      </c>
    </row>
    <row r="949" spans="1:14" x14ac:dyDescent="0.3">
      <c r="A949">
        <v>100948</v>
      </c>
      <c r="B949" s="2">
        <v>45331.458333333343</v>
      </c>
      <c r="C949" t="s">
        <v>15</v>
      </c>
      <c r="D949" t="s">
        <v>20</v>
      </c>
      <c r="E949" t="s">
        <v>68</v>
      </c>
      <c r="F949" t="s">
        <v>72</v>
      </c>
      <c r="G949">
        <v>5</v>
      </c>
      <c r="H949">
        <v>14.78</v>
      </c>
      <c r="I949">
        <v>15</v>
      </c>
      <c r="J949" t="s">
        <v>74</v>
      </c>
      <c r="K949" t="s">
        <v>77</v>
      </c>
      <c r="L949">
        <v>73.899999999999991</v>
      </c>
      <c r="M949">
        <v>11.085000000000001</v>
      </c>
      <c r="N949">
        <v>62.814999999999991</v>
      </c>
    </row>
    <row r="950" spans="1:14" x14ac:dyDescent="0.3">
      <c r="A950">
        <v>100949</v>
      </c>
      <c r="B950" s="2">
        <v>45331.5</v>
      </c>
      <c r="C950" t="s">
        <v>15</v>
      </c>
      <c r="D950" t="s">
        <v>29</v>
      </c>
      <c r="E950" t="s">
        <v>68</v>
      </c>
      <c r="F950" t="s">
        <v>71</v>
      </c>
      <c r="G950">
        <v>5</v>
      </c>
      <c r="H950">
        <v>68.12</v>
      </c>
      <c r="I950">
        <v>0</v>
      </c>
      <c r="J950" t="s">
        <v>75</v>
      </c>
      <c r="K950" t="s">
        <v>77</v>
      </c>
      <c r="L950">
        <v>340.6</v>
      </c>
      <c r="M950">
        <v>0</v>
      </c>
      <c r="N950">
        <v>340.6</v>
      </c>
    </row>
    <row r="951" spans="1:14" x14ac:dyDescent="0.3">
      <c r="A951">
        <v>100950</v>
      </c>
      <c r="B951" s="2">
        <v>45331.541666666657</v>
      </c>
      <c r="C951" t="s">
        <v>14</v>
      </c>
      <c r="D951" t="s">
        <v>30</v>
      </c>
      <c r="E951" t="s">
        <v>70</v>
      </c>
      <c r="F951" t="s">
        <v>72</v>
      </c>
      <c r="G951">
        <v>1</v>
      </c>
      <c r="H951">
        <v>48.7</v>
      </c>
      <c r="I951">
        <v>0</v>
      </c>
      <c r="J951" t="s">
        <v>75</v>
      </c>
      <c r="K951" t="s">
        <v>77</v>
      </c>
      <c r="L951">
        <v>48.7</v>
      </c>
      <c r="M951">
        <v>0</v>
      </c>
      <c r="N951">
        <v>48.7</v>
      </c>
    </row>
    <row r="952" spans="1:14" x14ac:dyDescent="0.3">
      <c r="A952">
        <v>100951</v>
      </c>
      <c r="B952" s="2">
        <v>45331.583333333343</v>
      </c>
      <c r="C952" t="s">
        <v>14</v>
      </c>
      <c r="D952" t="s">
        <v>17</v>
      </c>
      <c r="E952" t="s">
        <v>67</v>
      </c>
      <c r="F952" t="s">
        <v>72</v>
      </c>
      <c r="G952">
        <v>2</v>
      </c>
      <c r="H952">
        <v>74.819999999999993</v>
      </c>
      <c r="I952">
        <v>0</v>
      </c>
      <c r="J952" t="s">
        <v>76</v>
      </c>
      <c r="K952" t="s">
        <v>77</v>
      </c>
      <c r="L952">
        <v>149.63999999999999</v>
      </c>
      <c r="M952">
        <v>0</v>
      </c>
      <c r="N952">
        <v>149.63999999999999</v>
      </c>
    </row>
    <row r="953" spans="1:14" x14ac:dyDescent="0.3">
      <c r="A953">
        <v>100952</v>
      </c>
      <c r="B953" s="2">
        <v>45331.625</v>
      </c>
      <c r="C953" t="s">
        <v>15</v>
      </c>
      <c r="D953" t="s">
        <v>53</v>
      </c>
      <c r="E953" t="s">
        <v>66</v>
      </c>
      <c r="F953" t="s">
        <v>72</v>
      </c>
      <c r="G953">
        <v>4</v>
      </c>
      <c r="H953">
        <v>49.7</v>
      </c>
      <c r="I953">
        <v>5</v>
      </c>
      <c r="J953" t="s">
        <v>73</v>
      </c>
      <c r="K953" t="s">
        <v>77</v>
      </c>
      <c r="L953">
        <v>198.8</v>
      </c>
      <c r="M953">
        <v>9.9400000000000013</v>
      </c>
      <c r="N953">
        <v>188.86</v>
      </c>
    </row>
    <row r="954" spans="1:14" x14ac:dyDescent="0.3">
      <c r="A954">
        <v>100953</v>
      </c>
      <c r="B954" s="2">
        <v>45331.666666666657</v>
      </c>
      <c r="C954" t="s">
        <v>14</v>
      </c>
      <c r="D954" t="s">
        <v>52</v>
      </c>
      <c r="E954" t="s">
        <v>67</v>
      </c>
      <c r="F954" t="s">
        <v>71</v>
      </c>
      <c r="G954">
        <v>5</v>
      </c>
      <c r="H954">
        <v>32.630000000000003</v>
      </c>
      <c r="I954">
        <v>5</v>
      </c>
      <c r="J954" t="s">
        <v>73</v>
      </c>
      <c r="K954" t="s">
        <v>77</v>
      </c>
      <c r="L954">
        <v>163.15</v>
      </c>
      <c r="M954">
        <v>8.1575000000000006</v>
      </c>
      <c r="N954">
        <v>154.99250000000001</v>
      </c>
    </row>
    <row r="955" spans="1:14" x14ac:dyDescent="0.3">
      <c r="A955">
        <v>100954</v>
      </c>
      <c r="B955" s="2">
        <v>45331.708333333343</v>
      </c>
      <c r="C955" t="s">
        <v>15</v>
      </c>
      <c r="D955" t="s">
        <v>50</v>
      </c>
      <c r="E955" t="s">
        <v>69</v>
      </c>
      <c r="F955" t="s">
        <v>71</v>
      </c>
      <c r="G955">
        <v>2</v>
      </c>
      <c r="H955">
        <v>15.92</v>
      </c>
      <c r="I955">
        <v>10</v>
      </c>
      <c r="J955" t="s">
        <v>74</v>
      </c>
      <c r="K955" t="s">
        <v>79</v>
      </c>
      <c r="L955">
        <v>31.84</v>
      </c>
      <c r="M955">
        <v>3.1840000000000002</v>
      </c>
      <c r="N955">
        <v>28.655999999999999</v>
      </c>
    </row>
    <row r="956" spans="1:14" x14ac:dyDescent="0.3">
      <c r="A956">
        <v>100955</v>
      </c>
      <c r="B956" s="2">
        <v>45331.75</v>
      </c>
      <c r="C956" t="s">
        <v>14</v>
      </c>
      <c r="D956" t="s">
        <v>44</v>
      </c>
      <c r="E956" t="s">
        <v>69</v>
      </c>
      <c r="F956" t="s">
        <v>71</v>
      </c>
      <c r="G956">
        <v>3</v>
      </c>
      <c r="H956">
        <v>41.22</v>
      </c>
      <c r="I956">
        <v>15</v>
      </c>
      <c r="J956" t="s">
        <v>76</v>
      </c>
      <c r="K956" t="s">
        <v>77</v>
      </c>
      <c r="L956">
        <v>123.66</v>
      </c>
      <c r="M956">
        <v>18.548999999999999</v>
      </c>
      <c r="N956">
        <v>105.111</v>
      </c>
    </row>
    <row r="957" spans="1:14" x14ac:dyDescent="0.3">
      <c r="A957">
        <v>100956</v>
      </c>
      <c r="B957" s="2">
        <v>45331.791666666657</v>
      </c>
      <c r="C957" t="s">
        <v>14</v>
      </c>
      <c r="D957" t="s">
        <v>39</v>
      </c>
      <c r="E957" t="s">
        <v>70</v>
      </c>
      <c r="F957" t="s">
        <v>71</v>
      </c>
      <c r="G957">
        <v>5</v>
      </c>
      <c r="H957">
        <v>16.11</v>
      </c>
      <c r="I957">
        <v>5</v>
      </c>
      <c r="J957" t="s">
        <v>73</v>
      </c>
      <c r="K957" t="s">
        <v>77</v>
      </c>
      <c r="L957">
        <v>80.55</v>
      </c>
      <c r="M957">
        <v>4.0274999999999999</v>
      </c>
      <c r="N957">
        <v>76.522499999999994</v>
      </c>
    </row>
    <row r="958" spans="1:14" x14ac:dyDescent="0.3">
      <c r="A958">
        <v>100957</v>
      </c>
      <c r="B958" s="2">
        <v>45331.833333333343</v>
      </c>
      <c r="C958" t="s">
        <v>15</v>
      </c>
      <c r="D958" t="s">
        <v>45</v>
      </c>
      <c r="E958" t="s">
        <v>70</v>
      </c>
      <c r="F958" t="s">
        <v>72</v>
      </c>
      <c r="G958">
        <v>4</v>
      </c>
      <c r="H958">
        <v>25.34</v>
      </c>
      <c r="I958">
        <v>0</v>
      </c>
      <c r="J958" t="s">
        <v>76</v>
      </c>
      <c r="K958" t="s">
        <v>77</v>
      </c>
      <c r="L958">
        <v>101.36</v>
      </c>
      <c r="M958">
        <v>0</v>
      </c>
      <c r="N958">
        <v>101.36</v>
      </c>
    </row>
    <row r="959" spans="1:14" x14ac:dyDescent="0.3">
      <c r="A959">
        <v>100958</v>
      </c>
      <c r="B959" s="2">
        <v>45331.875</v>
      </c>
      <c r="C959" t="s">
        <v>14</v>
      </c>
      <c r="D959" t="s">
        <v>48</v>
      </c>
      <c r="E959" t="s">
        <v>70</v>
      </c>
      <c r="F959" t="s">
        <v>72</v>
      </c>
      <c r="G959">
        <v>3</v>
      </c>
      <c r="H959">
        <v>118.54</v>
      </c>
      <c r="I959">
        <v>0</v>
      </c>
      <c r="J959" t="s">
        <v>73</v>
      </c>
      <c r="K959" t="s">
        <v>77</v>
      </c>
      <c r="L959">
        <v>355.62</v>
      </c>
      <c r="M959">
        <v>0</v>
      </c>
      <c r="N959">
        <v>355.62</v>
      </c>
    </row>
    <row r="960" spans="1:14" x14ac:dyDescent="0.3">
      <c r="A960">
        <v>100959</v>
      </c>
      <c r="B960" s="2">
        <v>45331.916666666657</v>
      </c>
      <c r="C960" t="s">
        <v>15</v>
      </c>
      <c r="D960" t="s">
        <v>21</v>
      </c>
      <c r="E960" t="s">
        <v>69</v>
      </c>
      <c r="F960" t="s">
        <v>71</v>
      </c>
      <c r="G960">
        <v>3</v>
      </c>
      <c r="H960">
        <v>56.07</v>
      </c>
      <c r="I960">
        <v>5</v>
      </c>
      <c r="J960" t="s">
        <v>76</v>
      </c>
      <c r="K960" t="s">
        <v>77</v>
      </c>
      <c r="L960">
        <v>168.21</v>
      </c>
      <c r="M960">
        <v>8.4105000000000008</v>
      </c>
      <c r="N960">
        <v>159.79949999999999</v>
      </c>
    </row>
    <row r="961" spans="1:14" x14ac:dyDescent="0.3">
      <c r="A961">
        <v>100960</v>
      </c>
      <c r="B961" s="2">
        <v>45331.958333333343</v>
      </c>
      <c r="C961" t="s">
        <v>14</v>
      </c>
      <c r="D961" t="s">
        <v>23</v>
      </c>
      <c r="E961" t="s">
        <v>67</v>
      </c>
      <c r="F961" t="s">
        <v>72</v>
      </c>
      <c r="G961">
        <v>4</v>
      </c>
      <c r="H961">
        <v>66.17</v>
      </c>
      <c r="I961">
        <v>5</v>
      </c>
      <c r="J961" t="s">
        <v>74</v>
      </c>
      <c r="K961" t="s">
        <v>77</v>
      </c>
      <c r="L961">
        <v>264.68</v>
      </c>
      <c r="M961">
        <v>13.234</v>
      </c>
      <c r="N961">
        <v>251.446</v>
      </c>
    </row>
    <row r="962" spans="1:14" x14ac:dyDescent="0.3">
      <c r="A962">
        <v>100961</v>
      </c>
      <c r="B962" s="2">
        <v>45332</v>
      </c>
      <c r="C962" t="s">
        <v>14</v>
      </c>
      <c r="D962" t="s">
        <v>17</v>
      </c>
      <c r="E962" t="s">
        <v>67</v>
      </c>
      <c r="F962" t="s">
        <v>72</v>
      </c>
      <c r="G962">
        <v>5</v>
      </c>
      <c r="H962">
        <v>105.47</v>
      </c>
      <c r="I962">
        <v>5</v>
      </c>
      <c r="J962" t="s">
        <v>75</v>
      </c>
      <c r="K962" t="s">
        <v>77</v>
      </c>
      <c r="L962">
        <v>527.35</v>
      </c>
      <c r="M962">
        <v>26.3675</v>
      </c>
      <c r="N962">
        <v>500.98250000000002</v>
      </c>
    </row>
    <row r="963" spans="1:14" x14ac:dyDescent="0.3">
      <c r="A963">
        <v>100962</v>
      </c>
      <c r="B963" s="2">
        <v>45332.041666666657</v>
      </c>
      <c r="C963" t="s">
        <v>14</v>
      </c>
      <c r="D963" t="s">
        <v>48</v>
      </c>
      <c r="E963" t="s">
        <v>70</v>
      </c>
      <c r="F963" t="s">
        <v>71</v>
      </c>
      <c r="G963">
        <v>1</v>
      </c>
      <c r="H963">
        <v>119.49</v>
      </c>
      <c r="I963">
        <v>10</v>
      </c>
      <c r="J963" t="s">
        <v>74</v>
      </c>
      <c r="K963" t="s">
        <v>77</v>
      </c>
      <c r="L963">
        <v>119.49</v>
      </c>
      <c r="M963">
        <v>11.949</v>
      </c>
      <c r="N963">
        <v>107.541</v>
      </c>
    </row>
    <row r="964" spans="1:14" x14ac:dyDescent="0.3">
      <c r="A964">
        <v>100963</v>
      </c>
      <c r="B964" s="2">
        <v>45332.083333333343</v>
      </c>
      <c r="C964" t="s">
        <v>15</v>
      </c>
      <c r="D964" t="s">
        <v>30</v>
      </c>
      <c r="E964" t="s">
        <v>66</v>
      </c>
      <c r="F964" t="s">
        <v>72</v>
      </c>
      <c r="G964">
        <v>4</v>
      </c>
      <c r="H964">
        <v>72.010000000000005</v>
      </c>
      <c r="I964">
        <v>0</v>
      </c>
      <c r="J964" t="s">
        <v>73</v>
      </c>
      <c r="K964" t="s">
        <v>77</v>
      </c>
      <c r="L964">
        <v>288.04000000000002</v>
      </c>
      <c r="M964">
        <v>0</v>
      </c>
      <c r="N964">
        <v>288.04000000000002</v>
      </c>
    </row>
    <row r="965" spans="1:14" x14ac:dyDescent="0.3">
      <c r="A965">
        <v>100964</v>
      </c>
      <c r="B965" s="2">
        <v>45332.125</v>
      </c>
      <c r="C965" t="s">
        <v>14</v>
      </c>
      <c r="D965" t="s">
        <v>44</v>
      </c>
      <c r="E965" t="s">
        <v>67</v>
      </c>
      <c r="F965" t="s">
        <v>71</v>
      </c>
      <c r="G965">
        <v>4</v>
      </c>
      <c r="H965">
        <v>98.43</v>
      </c>
      <c r="I965">
        <v>10</v>
      </c>
      <c r="J965" t="s">
        <v>74</v>
      </c>
      <c r="K965" t="s">
        <v>77</v>
      </c>
      <c r="L965">
        <v>393.72</v>
      </c>
      <c r="M965">
        <v>39.372000000000007</v>
      </c>
      <c r="N965">
        <v>354.34800000000001</v>
      </c>
    </row>
    <row r="966" spans="1:14" x14ac:dyDescent="0.3">
      <c r="A966">
        <v>100965</v>
      </c>
      <c r="B966" s="2">
        <v>45332.166666666657</v>
      </c>
      <c r="C966" t="s">
        <v>14</v>
      </c>
      <c r="D966" t="s">
        <v>57</v>
      </c>
      <c r="E966" t="s">
        <v>69</v>
      </c>
      <c r="F966" t="s">
        <v>72</v>
      </c>
      <c r="G966">
        <v>4</v>
      </c>
      <c r="H966">
        <v>42.6</v>
      </c>
      <c r="I966">
        <v>10</v>
      </c>
      <c r="J966" t="s">
        <v>75</v>
      </c>
      <c r="K966" t="s">
        <v>77</v>
      </c>
      <c r="L966">
        <v>170.4</v>
      </c>
      <c r="M966">
        <v>17.04</v>
      </c>
      <c r="N966">
        <v>153.36000000000001</v>
      </c>
    </row>
    <row r="967" spans="1:14" x14ac:dyDescent="0.3">
      <c r="A967">
        <v>100966</v>
      </c>
      <c r="B967" s="2">
        <v>45332.208333333343</v>
      </c>
      <c r="C967" t="s">
        <v>14</v>
      </c>
      <c r="D967" t="s">
        <v>61</v>
      </c>
      <c r="E967" t="s">
        <v>68</v>
      </c>
      <c r="F967" t="s">
        <v>71</v>
      </c>
      <c r="G967">
        <v>3</v>
      </c>
      <c r="H967">
        <v>40.159999999999997</v>
      </c>
      <c r="I967">
        <v>15</v>
      </c>
      <c r="J967" t="s">
        <v>74</v>
      </c>
      <c r="K967" t="s">
        <v>77</v>
      </c>
      <c r="L967">
        <v>120.48</v>
      </c>
      <c r="M967">
        <v>18.071999999999999</v>
      </c>
      <c r="N967">
        <v>102.408</v>
      </c>
    </row>
    <row r="968" spans="1:14" x14ac:dyDescent="0.3">
      <c r="A968">
        <v>100967</v>
      </c>
      <c r="B968" s="2">
        <v>45332.25</v>
      </c>
      <c r="C968" t="s">
        <v>14</v>
      </c>
      <c r="D968" t="s">
        <v>17</v>
      </c>
      <c r="E968" t="s">
        <v>68</v>
      </c>
      <c r="F968" t="s">
        <v>72</v>
      </c>
      <c r="G968">
        <v>2</v>
      </c>
      <c r="H968">
        <v>51.31</v>
      </c>
      <c r="I968">
        <v>0</v>
      </c>
      <c r="J968" t="s">
        <v>73</v>
      </c>
      <c r="K968" t="s">
        <v>77</v>
      </c>
      <c r="L968">
        <v>102.62</v>
      </c>
      <c r="M968">
        <v>0</v>
      </c>
      <c r="N968">
        <v>102.62</v>
      </c>
    </row>
    <row r="969" spans="1:14" x14ac:dyDescent="0.3">
      <c r="A969">
        <v>100968</v>
      </c>
      <c r="B969" s="2">
        <v>45332.291666666657</v>
      </c>
      <c r="C969" t="s">
        <v>15</v>
      </c>
      <c r="D969" t="s">
        <v>59</v>
      </c>
      <c r="E969" t="s">
        <v>68</v>
      </c>
      <c r="F969" t="s">
        <v>72</v>
      </c>
      <c r="G969">
        <v>1</v>
      </c>
      <c r="H969">
        <v>82.34</v>
      </c>
      <c r="I969">
        <v>0</v>
      </c>
      <c r="J969" t="s">
        <v>73</v>
      </c>
      <c r="K969" t="s">
        <v>77</v>
      </c>
      <c r="L969">
        <v>82.34</v>
      </c>
      <c r="M969">
        <v>0</v>
      </c>
      <c r="N969">
        <v>82.34</v>
      </c>
    </row>
    <row r="970" spans="1:14" x14ac:dyDescent="0.3">
      <c r="A970">
        <v>100969</v>
      </c>
      <c r="B970" s="2">
        <v>45332.333333333343</v>
      </c>
      <c r="C970" t="s">
        <v>15</v>
      </c>
      <c r="D970" t="s">
        <v>54</v>
      </c>
      <c r="E970" t="s">
        <v>66</v>
      </c>
      <c r="F970" t="s">
        <v>71</v>
      </c>
      <c r="G970">
        <v>5</v>
      </c>
      <c r="H970">
        <v>83.45</v>
      </c>
      <c r="I970">
        <v>5</v>
      </c>
      <c r="J970" t="s">
        <v>74</v>
      </c>
      <c r="K970" t="s">
        <v>77</v>
      </c>
      <c r="L970">
        <v>417.25</v>
      </c>
      <c r="M970">
        <v>20.862500000000001</v>
      </c>
      <c r="N970">
        <v>396.38749999999999</v>
      </c>
    </row>
    <row r="971" spans="1:14" x14ac:dyDescent="0.3">
      <c r="A971">
        <v>100970</v>
      </c>
      <c r="B971" s="2">
        <v>45332.375</v>
      </c>
      <c r="C971" t="s">
        <v>14</v>
      </c>
      <c r="D971" t="s">
        <v>30</v>
      </c>
      <c r="E971" t="s">
        <v>70</v>
      </c>
      <c r="F971" t="s">
        <v>71</v>
      </c>
      <c r="G971">
        <v>5</v>
      </c>
      <c r="H971">
        <v>41.25</v>
      </c>
      <c r="I971">
        <v>5</v>
      </c>
      <c r="J971" t="s">
        <v>75</v>
      </c>
      <c r="K971" t="s">
        <v>79</v>
      </c>
      <c r="L971">
        <v>206.25</v>
      </c>
      <c r="M971">
        <v>10.3125</v>
      </c>
      <c r="N971">
        <v>195.9375</v>
      </c>
    </row>
    <row r="972" spans="1:14" x14ac:dyDescent="0.3">
      <c r="A972">
        <v>100971</v>
      </c>
      <c r="B972" s="2">
        <v>45332.416666666657</v>
      </c>
      <c r="C972" t="s">
        <v>15</v>
      </c>
      <c r="D972" t="s">
        <v>28</v>
      </c>
      <c r="E972" t="s">
        <v>69</v>
      </c>
      <c r="F972" t="s">
        <v>71</v>
      </c>
      <c r="G972">
        <v>2</v>
      </c>
      <c r="H972">
        <v>20.32</v>
      </c>
      <c r="I972">
        <v>15</v>
      </c>
      <c r="J972" t="s">
        <v>74</v>
      </c>
      <c r="K972" t="s">
        <v>77</v>
      </c>
      <c r="L972">
        <v>40.64</v>
      </c>
      <c r="M972">
        <v>6.0960000000000001</v>
      </c>
      <c r="N972">
        <v>34.543999999999997</v>
      </c>
    </row>
    <row r="973" spans="1:14" x14ac:dyDescent="0.3">
      <c r="A973">
        <v>100972</v>
      </c>
      <c r="B973" s="2">
        <v>45332.458333333343</v>
      </c>
      <c r="C973" t="s">
        <v>14</v>
      </c>
      <c r="D973" t="s">
        <v>39</v>
      </c>
      <c r="E973" t="s">
        <v>66</v>
      </c>
      <c r="F973" t="s">
        <v>71</v>
      </c>
      <c r="G973">
        <v>4</v>
      </c>
      <c r="H973">
        <v>77.73</v>
      </c>
      <c r="I973">
        <v>10</v>
      </c>
      <c r="J973" t="s">
        <v>75</v>
      </c>
      <c r="K973" t="s">
        <v>77</v>
      </c>
      <c r="L973">
        <v>310.92</v>
      </c>
      <c r="M973">
        <v>31.091999999999999</v>
      </c>
      <c r="N973">
        <v>279.82799999999997</v>
      </c>
    </row>
    <row r="974" spans="1:14" x14ac:dyDescent="0.3">
      <c r="A974">
        <v>100973</v>
      </c>
      <c r="B974" s="2">
        <v>45332.5</v>
      </c>
      <c r="C974" t="s">
        <v>14</v>
      </c>
      <c r="D974" t="s">
        <v>44</v>
      </c>
      <c r="E974" t="s">
        <v>69</v>
      </c>
      <c r="F974" t="s">
        <v>72</v>
      </c>
      <c r="G974">
        <v>1</v>
      </c>
      <c r="H974">
        <v>19.760000000000002</v>
      </c>
      <c r="I974">
        <v>5</v>
      </c>
      <c r="J974" t="s">
        <v>76</v>
      </c>
      <c r="K974" t="s">
        <v>77</v>
      </c>
      <c r="L974">
        <v>19.760000000000002</v>
      </c>
      <c r="M974">
        <v>0.9880000000000001</v>
      </c>
      <c r="N974">
        <v>18.771999999999998</v>
      </c>
    </row>
    <row r="975" spans="1:14" x14ac:dyDescent="0.3">
      <c r="A975">
        <v>100974</v>
      </c>
      <c r="B975" s="2">
        <v>45332.541666666657</v>
      </c>
      <c r="C975" t="s">
        <v>14</v>
      </c>
      <c r="D975" t="s">
        <v>60</v>
      </c>
      <c r="E975" t="s">
        <v>69</v>
      </c>
      <c r="F975" t="s">
        <v>72</v>
      </c>
      <c r="G975">
        <v>5</v>
      </c>
      <c r="H975">
        <v>71.53</v>
      </c>
      <c r="I975">
        <v>5</v>
      </c>
      <c r="J975" t="s">
        <v>75</v>
      </c>
      <c r="K975" t="s">
        <v>77</v>
      </c>
      <c r="L975">
        <v>357.65</v>
      </c>
      <c r="M975">
        <v>17.8825</v>
      </c>
      <c r="N975">
        <v>339.76749999999998</v>
      </c>
    </row>
    <row r="976" spans="1:14" x14ac:dyDescent="0.3">
      <c r="A976">
        <v>100975</v>
      </c>
      <c r="B976" s="2">
        <v>45332.583333333343</v>
      </c>
      <c r="C976" t="s">
        <v>15</v>
      </c>
      <c r="D976" t="s">
        <v>59</v>
      </c>
      <c r="E976" t="s">
        <v>70</v>
      </c>
      <c r="F976" t="s">
        <v>71</v>
      </c>
      <c r="G976">
        <v>5</v>
      </c>
      <c r="H976">
        <v>84.74</v>
      </c>
      <c r="I976">
        <v>0</v>
      </c>
      <c r="J976" t="s">
        <v>76</v>
      </c>
      <c r="K976" t="s">
        <v>77</v>
      </c>
      <c r="L976">
        <v>423.7</v>
      </c>
      <c r="M976">
        <v>0</v>
      </c>
      <c r="N976">
        <v>423.7</v>
      </c>
    </row>
    <row r="977" spans="1:14" x14ac:dyDescent="0.3">
      <c r="A977">
        <v>100976</v>
      </c>
      <c r="B977" s="2">
        <v>45332.625</v>
      </c>
      <c r="C977" t="s">
        <v>15</v>
      </c>
      <c r="D977" t="s">
        <v>47</v>
      </c>
      <c r="E977" t="s">
        <v>68</v>
      </c>
      <c r="F977" t="s">
        <v>72</v>
      </c>
      <c r="G977">
        <v>4</v>
      </c>
      <c r="H977">
        <v>85.57</v>
      </c>
      <c r="I977">
        <v>0</v>
      </c>
      <c r="J977" t="s">
        <v>74</v>
      </c>
      <c r="K977" t="s">
        <v>77</v>
      </c>
      <c r="L977">
        <v>342.28</v>
      </c>
      <c r="M977">
        <v>0</v>
      </c>
      <c r="N977">
        <v>342.28</v>
      </c>
    </row>
    <row r="978" spans="1:14" x14ac:dyDescent="0.3">
      <c r="A978">
        <v>100977</v>
      </c>
      <c r="B978" s="2">
        <v>45332.666666666657</v>
      </c>
      <c r="C978" t="s">
        <v>15</v>
      </c>
      <c r="D978" t="s">
        <v>55</v>
      </c>
      <c r="E978" t="s">
        <v>70</v>
      </c>
      <c r="F978" t="s">
        <v>71</v>
      </c>
      <c r="G978">
        <v>2</v>
      </c>
      <c r="H978">
        <v>91.65</v>
      </c>
      <c r="I978">
        <v>5</v>
      </c>
      <c r="J978" t="s">
        <v>75</v>
      </c>
      <c r="K978" t="s">
        <v>77</v>
      </c>
      <c r="L978">
        <v>183.3</v>
      </c>
      <c r="M978">
        <v>9.1650000000000009</v>
      </c>
      <c r="N978">
        <v>174.13499999999999</v>
      </c>
    </row>
    <row r="979" spans="1:14" x14ac:dyDescent="0.3">
      <c r="A979">
        <v>100978</v>
      </c>
      <c r="B979" s="2">
        <v>45332.708333333343</v>
      </c>
      <c r="C979" t="s">
        <v>15</v>
      </c>
      <c r="D979" t="s">
        <v>28</v>
      </c>
      <c r="E979" t="s">
        <v>66</v>
      </c>
      <c r="F979" t="s">
        <v>71</v>
      </c>
      <c r="G979">
        <v>1</v>
      </c>
      <c r="H979">
        <v>105.38</v>
      </c>
      <c r="I979">
        <v>0</v>
      </c>
      <c r="J979" t="s">
        <v>76</v>
      </c>
      <c r="K979" t="s">
        <v>77</v>
      </c>
      <c r="L979">
        <v>105.38</v>
      </c>
      <c r="M979">
        <v>0</v>
      </c>
      <c r="N979">
        <v>105.38</v>
      </c>
    </row>
    <row r="980" spans="1:14" x14ac:dyDescent="0.3">
      <c r="A980">
        <v>100979</v>
      </c>
      <c r="B980" s="2">
        <v>45332.75</v>
      </c>
      <c r="C980" t="s">
        <v>15</v>
      </c>
      <c r="D980" t="s">
        <v>22</v>
      </c>
      <c r="E980" t="s">
        <v>66</v>
      </c>
      <c r="F980" t="s">
        <v>72</v>
      </c>
      <c r="G980">
        <v>2</v>
      </c>
      <c r="H980">
        <v>62.5</v>
      </c>
      <c r="I980">
        <v>15</v>
      </c>
      <c r="J980" t="s">
        <v>76</v>
      </c>
      <c r="K980" t="s">
        <v>77</v>
      </c>
      <c r="L980">
        <v>125</v>
      </c>
      <c r="M980">
        <v>18.75</v>
      </c>
      <c r="N980">
        <v>106.25</v>
      </c>
    </row>
    <row r="981" spans="1:14" x14ac:dyDescent="0.3">
      <c r="A981">
        <v>100980</v>
      </c>
      <c r="B981" s="2">
        <v>45332.791666666657</v>
      </c>
      <c r="C981" t="s">
        <v>15</v>
      </c>
      <c r="D981" t="s">
        <v>41</v>
      </c>
      <c r="E981" t="s">
        <v>66</v>
      </c>
      <c r="F981" t="s">
        <v>72</v>
      </c>
      <c r="G981">
        <v>2</v>
      </c>
      <c r="H981">
        <v>88.98</v>
      </c>
      <c r="I981">
        <v>5</v>
      </c>
      <c r="J981" t="s">
        <v>76</v>
      </c>
      <c r="K981" t="s">
        <v>78</v>
      </c>
      <c r="L981">
        <v>177.96</v>
      </c>
      <c r="M981">
        <v>8.8980000000000015</v>
      </c>
      <c r="N981">
        <v>169.06200000000001</v>
      </c>
    </row>
    <row r="982" spans="1:14" x14ac:dyDescent="0.3">
      <c r="A982">
        <v>100981</v>
      </c>
      <c r="B982" s="2">
        <v>45332.833333333343</v>
      </c>
      <c r="C982" t="s">
        <v>15</v>
      </c>
      <c r="D982" t="s">
        <v>27</v>
      </c>
      <c r="E982" t="s">
        <v>70</v>
      </c>
      <c r="F982" t="s">
        <v>71</v>
      </c>
      <c r="G982">
        <v>1</v>
      </c>
      <c r="H982">
        <v>76.2</v>
      </c>
      <c r="I982">
        <v>0</v>
      </c>
      <c r="J982" t="s">
        <v>73</v>
      </c>
      <c r="K982" t="s">
        <v>77</v>
      </c>
      <c r="L982">
        <v>76.2</v>
      </c>
      <c r="M982">
        <v>0</v>
      </c>
      <c r="N982">
        <v>76.2</v>
      </c>
    </row>
    <row r="983" spans="1:14" x14ac:dyDescent="0.3">
      <c r="A983">
        <v>100982</v>
      </c>
      <c r="B983" s="2">
        <v>45332.875</v>
      </c>
      <c r="C983" t="s">
        <v>15</v>
      </c>
      <c r="D983" t="s">
        <v>26</v>
      </c>
      <c r="E983" t="s">
        <v>69</v>
      </c>
      <c r="F983" t="s">
        <v>71</v>
      </c>
      <c r="G983">
        <v>1</v>
      </c>
      <c r="H983">
        <v>26.46</v>
      </c>
      <c r="I983">
        <v>15</v>
      </c>
      <c r="J983" t="s">
        <v>74</v>
      </c>
      <c r="K983" t="s">
        <v>77</v>
      </c>
      <c r="L983">
        <v>26.46</v>
      </c>
      <c r="M983">
        <v>3.9689999999999999</v>
      </c>
      <c r="N983">
        <v>22.491</v>
      </c>
    </row>
    <row r="984" spans="1:14" x14ac:dyDescent="0.3">
      <c r="A984">
        <v>100983</v>
      </c>
      <c r="B984" s="2">
        <v>45332.916666666657</v>
      </c>
      <c r="C984" t="s">
        <v>15</v>
      </c>
      <c r="D984" t="s">
        <v>50</v>
      </c>
      <c r="E984" t="s">
        <v>69</v>
      </c>
      <c r="F984" t="s">
        <v>71</v>
      </c>
      <c r="G984">
        <v>5</v>
      </c>
      <c r="H984">
        <v>7.95</v>
      </c>
      <c r="I984">
        <v>0</v>
      </c>
      <c r="J984" t="s">
        <v>76</v>
      </c>
      <c r="K984" t="s">
        <v>77</v>
      </c>
      <c r="L984">
        <v>39.75</v>
      </c>
      <c r="M984">
        <v>0</v>
      </c>
      <c r="N984">
        <v>39.75</v>
      </c>
    </row>
    <row r="985" spans="1:14" x14ac:dyDescent="0.3">
      <c r="A985">
        <v>100984</v>
      </c>
      <c r="B985" s="2">
        <v>45332.958333333343</v>
      </c>
      <c r="C985" t="s">
        <v>14</v>
      </c>
      <c r="D985" t="s">
        <v>22</v>
      </c>
      <c r="E985" t="s">
        <v>67</v>
      </c>
      <c r="F985" t="s">
        <v>72</v>
      </c>
      <c r="G985">
        <v>5</v>
      </c>
      <c r="H985">
        <v>37.72</v>
      </c>
      <c r="I985">
        <v>0</v>
      </c>
      <c r="J985" t="s">
        <v>75</v>
      </c>
      <c r="K985" t="s">
        <v>77</v>
      </c>
      <c r="L985">
        <v>188.6</v>
      </c>
      <c r="M985">
        <v>0</v>
      </c>
      <c r="N985">
        <v>188.6</v>
      </c>
    </row>
    <row r="986" spans="1:14" x14ac:dyDescent="0.3">
      <c r="A986">
        <v>100985</v>
      </c>
      <c r="B986" s="2">
        <v>45333</v>
      </c>
      <c r="C986" t="s">
        <v>15</v>
      </c>
      <c r="D986" t="s">
        <v>20</v>
      </c>
      <c r="E986" t="s">
        <v>66</v>
      </c>
      <c r="F986" t="s">
        <v>72</v>
      </c>
      <c r="G986">
        <v>1</v>
      </c>
      <c r="H986">
        <v>55.95</v>
      </c>
      <c r="I986">
        <v>0</v>
      </c>
      <c r="J986" t="s">
        <v>76</v>
      </c>
      <c r="K986" t="s">
        <v>77</v>
      </c>
      <c r="L986">
        <v>55.95</v>
      </c>
      <c r="M986">
        <v>0</v>
      </c>
      <c r="N986">
        <v>55.95</v>
      </c>
    </row>
    <row r="987" spans="1:14" x14ac:dyDescent="0.3">
      <c r="A987">
        <v>100986</v>
      </c>
      <c r="B987" s="2">
        <v>45333.041666666657</v>
      </c>
      <c r="C987" t="s">
        <v>15</v>
      </c>
      <c r="D987" t="s">
        <v>21</v>
      </c>
      <c r="E987" t="s">
        <v>69</v>
      </c>
      <c r="F987" t="s">
        <v>72</v>
      </c>
      <c r="G987">
        <v>3</v>
      </c>
      <c r="H987">
        <v>75.97</v>
      </c>
      <c r="I987">
        <v>5</v>
      </c>
      <c r="J987" t="s">
        <v>73</v>
      </c>
      <c r="K987" t="s">
        <v>77</v>
      </c>
      <c r="L987">
        <v>227.91</v>
      </c>
      <c r="M987">
        <v>11.3955</v>
      </c>
      <c r="N987">
        <v>216.5145</v>
      </c>
    </row>
    <row r="988" spans="1:14" x14ac:dyDescent="0.3">
      <c r="A988">
        <v>100987</v>
      </c>
      <c r="B988" s="2">
        <v>45333.083333333343</v>
      </c>
      <c r="C988" t="s">
        <v>15</v>
      </c>
      <c r="D988" t="s">
        <v>28</v>
      </c>
      <c r="E988" t="s">
        <v>67</v>
      </c>
      <c r="F988" t="s">
        <v>72</v>
      </c>
      <c r="G988">
        <v>5</v>
      </c>
      <c r="H988">
        <v>102.75</v>
      </c>
      <c r="I988">
        <v>10</v>
      </c>
      <c r="J988" t="s">
        <v>74</v>
      </c>
      <c r="K988" t="s">
        <v>77</v>
      </c>
      <c r="L988">
        <v>513.75</v>
      </c>
      <c r="M988">
        <v>51.375</v>
      </c>
      <c r="N988">
        <v>462.375</v>
      </c>
    </row>
    <row r="989" spans="1:14" x14ac:dyDescent="0.3">
      <c r="A989">
        <v>100988</v>
      </c>
      <c r="B989" s="2">
        <v>45333.125</v>
      </c>
      <c r="C989" t="s">
        <v>15</v>
      </c>
      <c r="D989" t="s">
        <v>20</v>
      </c>
      <c r="E989" t="s">
        <v>69</v>
      </c>
      <c r="F989" t="s">
        <v>71</v>
      </c>
      <c r="G989">
        <v>3</v>
      </c>
      <c r="H989">
        <v>27.57</v>
      </c>
      <c r="I989">
        <v>0</v>
      </c>
      <c r="J989" t="s">
        <v>73</v>
      </c>
      <c r="K989" t="s">
        <v>77</v>
      </c>
      <c r="L989">
        <v>82.710000000000008</v>
      </c>
      <c r="M989">
        <v>0</v>
      </c>
      <c r="N989">
        <v>82.710000000000008</v>
      </c>
    </row>
    <row r="990" spans="1:14" x14ac:dyDescent="0.3">
      <c r="A990">
        <v>100989</v>
      </c>
      <c r="B990" s="2">
        <v>45333.166666666657</v>
      </c>
      <c r="C990" t="s">
        <v>15</v>
      </c>
      <c r="D990" t="s">
        <v>16</v>
      </c>
      <c r="E990" t="s">
        <v>66</v>
      </c>
      <c r="F990" t="s">
        <v>71</v>
      </c>
      <c r="G990">
        <v>1</v>
      </c>
      <c r="H990">
        <v>19.440000000000001</v>
      </c>
      <c r="I990">
        <v>15</v>
      </c>
      <c r="J990" t="s">
        <v>73</v>
      </c>
      <c r="K990" t="s">
        <v>78</v>
      </c>
      <c r="L990">
        <v>19.440000000000001</v>
      </c>
      <c r="M990">
        <v>2.9159999999999999</v>
      </c>
      <c r="N990">
        <v>16.524000000000001</v>
      </c>
    </row>
    <row r="991" spans="1:14" x14ac:dyDescent="0.3">
      <c r="A991">
        <v>100990</v>
      </c>
      <c r="B991" s="2">
        <v>45333.208333333343</v>
      </c>
      <c r="C991" t="s">
        <v>15</v>
      </c>
      <c r="D991" t="s">
        <v>34</v>
      </c>
      <c r="E991" t="s">
        <v>68</v>
      </c>
      <c r="F991" t="s">
        <v>71</v>
      </c>
      <c r="G991">
        <v>5</v>
      </c>
      <c r="H991">
        <v>115.8</v>
      </c>
      <c r="I991">
        <v>5</v>
      </c>
      <c r="J991" t="s">
        <v>73</v>
      </c>
      <c r="K991" t="s">
        <v>77</v>
      </c>
      <c r="L991">
        <v>579</v>
      </c>
      <c r="M991">
        <v>28.95</v>
      </c>
      <c r="N991">
        <v>550.04999999999995</v>
      </c>
    </row>
    <row r="992" spans="1:14" x14ac:dyDescent="0.3">
      <c r="A992">
        <v>100991</v>
      </c>
      <c r="B992" s="2">
        <v>45333.25</v>
      </c>
      <c r="C992" t="s">
        <v>15</v>
      </c>
      <c r="D992" t="s">
        <v>54</v>
      </c>
      <c r="E992" t="s">
        <v>66</v>
      </c>
      <c r="F992" t="s">
        <v>71</v>
      </c>
      <c r="G992">
        <v>2</v>
      </c>
      <c r="H992">
        <v>17.43</v>
      </c>
      <c r="I992">
        <v>5</v>
      </c>
      <c r="J992" t="s">
        <v>75</v>
      </c>
      <c r="K992" t="s">
        <v>77</v>
      </c>
      <c r="L992">
        <v>34.86</v>
      </c>
      <c r="M992">
        <v>1.7430000000000001</v>
      </c>
      <c r="N992">
        <v>33.116999999999997</v>
      </c>
    </row>
    <row r="993" spans="1:14" x14ac:dyDescent="0.3">
      <c r="A993">
        <v>100992</v>
      </c>
      <c r="B993" s="2">
        <v>45333.291666666657</v>
      </c>
      <c r="C993" t="s">
        <v>15</v>
      </c>
      <c r="D993" t="s">
        <v>35</v>
      </c>
      <c r="E993" t="s">
        <v>70</v>
      </c>
      <c r="F993" t="s">
        <v>71</v>
      </c>
      <c r="G993">
        <v>1</v>
      </c>
      <c r="H993">
        <v>60.03</v>
      </c>
      <c r="I993">
        <v>15</v>
      </c>
      <c r="J993" t="s">
        <v>74</v>
      </c>
      <c r="K993" t="s">
        <v>78</v>
      </c>
      <c r="L993">
        <v>60.03</v>
      </c>
      <c r="M993">
        <v>9.0045000000000002</v>
      </c>
      <c r="N993">
        <v>51.025500000000001</v>
      </c>
    </row>
    <row r="994" spans="1:14" x14ac:dyDescent="0.3">
      <c r="A994">
        <v>100993</v>
      </c>
      <c r="B994" s="2">
        <v>45333.333333333343</v>
      </c>
      <c r="C994" t="s">
        <v>15</v>
      </c>
      <c r="D994" t="s">
        <v>37</v>
      </c>
      <c r="E994" t="s">
        <v>69</v>
      </c>
      <c r="F994" t="s">
        <v>71</v>
      </c>
      <c r="G994">
        <v>4</v>
      </c>
      <c r="H994">
        <v>72.34</v>
      </c>
      <c r="I994">
        <v>0</v>
      </c>
      <c r="J994" t="s">
        <v>74</v>
      </c>
      <c r="K994" t="s">
        <v>77</v>
      </c>
      <c r="L994">
        <v>289.36</v>
      </c>
      <c r="M994">
        <v>0</v>
      </c>
      <c r="N994">
        <v>289.36</v>
      </c>
    </row>
    <row r="995" spans="1:14" x14ac:dyDescent="0.3">
      <c r="A995">
        <v>100994</v>
      </c>
      <c r="B995" s="2">
        <v>45333.375</v>
      </c>
      <c r="C995" t="s">
        <v>15</v>
      </c>
      <c r="D995" t="s">
        <v>23</v>
      </c>
      <c r="E995" t="s">
        <v>69</v>
      </c>
      <c r="F995" t="s">
        <v>72</v>
      </c>
      <c r="G995">
        <v>3</v>
      </c>
      <c r="H995">
        <v>67.260000000000005</v>
      </c>
      <c r="I995">
        <v>10</v>
      </c>
      <c r="J995" t="s">
        <v>75</v>
      </c>
      <c r="K995" t="s">
        <v>77</v>
      </c>
      <c r="L995">
        <v>201.78</v>
      </c>
      <c r="M995">
        <v>20.178000000000001</v>
      </c>
      <c r="N995">
        <v>181.602</v>
      </c>
    </row>
    <row r="996" spans="1:14" x14ac:dyDescent="0.3">
      <c r="A996">
        <v>100995</v>
      </c>
      <c r="B996" s="2">
        <v>45333.416666666657</v>
      </c>
      <c r="C996" t="s">
        <v>15</v>
      </c>
      <c r="D996" t="s">
        <v>48</v>
      </c>
      <c r="E996" t="s">
        <v>70</v>
      </c>
      <c r="F996" t="s">
        <v>72</v>
      </c>
      <c r="G996">
        <v>1</v>
      </c>
      <c r="H996">
        <v>14.89</v>
      </c>
      <c r="I996">
        <v>0</v>
      </c>
      <c r="J996" t="s">
        <v>74</v>
      </c>
      <c r="K996" t="s">
        <v>77</v>
      </c>
      <c r="L996">
        <v>14.89</v>
      </c>
      <c r="M996">
        <v>0</v>
      </c>
      <c r="N996">
        <v>14.89</v>
      </c>
    </row>
    <row r="997" spans="1:14" x14ac:dyDescent="0.3">
      <c r="A997">
        <v>100996</v>
      </c>
      <c r="B997" s="2">
        <v>45333.458333333343</v>
      </c>
      <c r="C997" t="s">
        <v>14</v>
      </c>
      <c r="D997" t="s">
        <v>54</v>
      </c>
      <c r="E997" t="s">
        <v>70</v>
      </c>
      <c r="F997" t="s">
        <v>71</v>
      </c>
      <c r="G997">
        <v>1</v>
      </c>
      <c r="H997">
        <v>11.56</v>
      </c>
      <c r="I997">
        <v>15</v>
      </c>
      <c r="J997" t="s">
        <v>73</v>
      </c>
      <c r="K997" t="s">
        <v>77</v>
      </c>
      <c r="L997">
        <v>11.56</v>
      </c>
      <c r="M997">
        <v>1.734</v>
      </c>
      <c r="N997">
        <v>9.8260000000000005</v>
      </c>
    </row>
    <row r="998" spans="1:14" x14ac:dyDescent="0.3">
      <c r="A998">
        <v>100997</v>
      </c>
      <c r="B998" s="2">
        <v>45333.5</v>
      </c>
      <c r="C998" t="s">
        <v>14</v>
      </c>
      <c r="D998" t="s">
        <v>44</v>
      </c>
      <c r="E998" t="s">
        <v>68</v>
      </c>
      <c r="F998" t="s">
        <v>71</v>
      </c>
      <c r="G998">
        <v>5</v>
      </c>
      <c r="H998">
        <v>17.13</v>
      </c>
      <c r="I998">
        <v>5</v>
      </c>
      <c r="J998" t="s">
        <v>74</v>
      </c>
      <c r="K998" t="s">
        <v>77</v>
      </c>
      <c r="L998">
        <v>85.649999999999991</v>
      </c>
      <c r="M998">
        <v>4.2824999999999998</v>
      </c>
      <c r="N998">
        <v>81.367499999999993</v>
      </c>
    </row>
    <row r="999" spans="1:14" x14ac:dyDescent="0.3">
      <c r="A999">
        <v>100998</v>
      </c>
      <c r="B999" s="2">
        <v>45333.541666666657</v>
      </c>
      <c r="C999" t="s">
        <v>15</v>
      </c>
      <c r="D999" t="s">
        <v>54</v>
      </c>
      <c r="E999" t="s">
        <v>69</v>
      </c>
      <c r="F999" t="s">
        <v>72</v>
      </c>
      <c r="G999">
        <v>5</v>
      </c>
      <c r="H999">
        <v>72.34</v>
      </c>
      <c r="I999">
        <v>10</v>
      </c>
      <c r="J999" t="s">
        <v>75</v>
      </c>
      <c r="K999" t="s">
        <v>77</v>
      </c>
      <c r="L999">
        <v>361.7</v>
      </c>
      <c r="M999">
        <v>36.170000000000009</v>
      </c>
      <c r="N999">
        <v>325.52999999999997</v>
      </c>
    </row>
    <row r="1000" spans="1:14" x14ac:dyDescent="0.3">
      <c r="A1000">
        <v>100999</v>
      </c>
      <c r="B1000" s="2">
        <v>45333.583333333343</v>
      </c>
      <c r="C1000" t="s">
        <v>15</v>
      </c>
      <c r="D1000" t="s">
        <v>43</v>
      </c>
      <c r="E1000" t="s">
        <v>69</v>
      </c>
      <c r="F1000" t="s">
        <v>72</v>
      </c>
      <c r="G1000">
        <v>5</v>
      </c>
      <c r="H1000">
        <v>67.599999999999994</v>
      </c>
      <c r="I1000">
        <v>5</v>
      </c>
      <c r="J1000" t="s">
        <v>73</v>
      </c>
      <c r="K1000" t="s">
        <v>77</v>
      </c>
      <c r="L1000">
        <v>338</v>
      </c>
      <c r="M1000">
        <v>16.899999999999999</v>
      </c>
      <c r="N1000">
        <v>321.10000000000002</v>
      </c>
    </row>
    <row r="1001" spans="1:14" x14ac:dyDescent="0.3">
      <c r="A1001">
        <v>101000</v>
      </c>
      <c r="B1001" s="2">
        <v>45333.625</v>
      </c>
      <c r="C1001" t="s">
        <v>14</v>
      </c>
      <c r="D1001" t="s">
        <v>20</v>
      </c>
      <c r="E1001" t="s">
        <v>68</v>
      </c>
      <c r="F1001" t="s">
        <v>72</v>
      </c>
      <c r="G1001">
        <v>4</v>
      </c>
      <c r="H1001">
        <v>31.88</v>
      </c>
      <c r="I1001">
        <v>15</v>
      </c>
      <c r="J1001" t="s">
        <v>75</v>
      </c>
      <c r="K1001" t="s">
        <v>77</v>
      </c>
      <c r="L1001">
        <v>127.52</v>
      </c>
      <c r="M1001">
        <v>19.128</v>
      </c>
      <c r="N1001">
        <v>108.392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FEB4-C0DF-4C06-97D9-4A98E230E3D6}">
  <dimension ref="A1:Y1005"/>
  <sheetViews>
    <sheetView topLeftCell="B1" workbookViewId="0">
      <selection activeCell="P12" sqref="P12"/>
    </sheetView>
  </sheetViews>
  <sheetFormatPr defaultRowHeight="14.4" x14ac:dyDescent="0.3"/>
  <cols>
    <col min="1" max="1" width="12.21875" customWidth="1"/>
    <col min="2" max="2" width="12.5546875" style="8" customWidth="1"/>
    <col min="3" max="3" width="10.21875" customWidth="1"/>
    <col min="4" max="4" width="14" customWidth="1"/>
    <col min="5" max="5" width="15.5546875" customWidth="1"/>
    <col min="6" max="6" width="10.44140625" customWidth="1"/>
    <col min="7" max="7" width="10.21875" customWidth="1"/>
    <col min="8" max="8" width="11.5546875" customWidth="1"/>
    <col min="9" max="9" width="12.6640625" customWidth="1"/>
    <col min="10" max="10" width="9.6640625" customWidth="1"/>
    <col min="11" max="11" width="13.88671875" customWidth="1"/>
    <col min="12" max="12" width="12.6640625" customWidth="1"/>
    <col min="13" max="13" width="18.109375" customWidth="1"/>
    <col min="14" max="14" width="14.33203125" customWidth="1"/>
    <col min="15" max="15" width="19.77734375" customWidth="1"/>
    <col min="16" max="16" width="15.77734375" customWidth="1"/>
    <col min="19" max="19" width="16.6640625" customWidth="1"/>
    <col min="20" max="20" width="15" customWidth="1"/>
    <col min="21" max="21" width="13" customWidth="1"/>
  </cols>
  <sheetData>
    <row r="1" spans="1:25" ht="57.6" customHeight="1" x14ac:dyDescent="0.3">
      <c r="A1" s="79" t="s">
        <v>105</v>
      </c>
      <c r="B1" s="79"/>
      <c r="C1" s="79"/>
      <c r="D1" s="79"/>
      <c r="E1" s="79"/>
      <c r="F1" s="79"/>
      <c r="G1" s="79"/>
      <c r="H1" s="79"/>
      <c r="I1" s="79"/>
      <c r="J1" s="79"/>
      <c r="K1" s="79"/>
      <c r="L1" s="79"/>
      <c r="M1" s="80"/>
      <c r="N1" s="80"/>
      <c r="O1" s="80"/>
      <c r="P1" s="80"/>
    </row>
    <row r="2" spans="1:25" x14ac:dyDescent="0.3">
      <c r="A2" s="79"/>
      <c r="B2" s="79"/>
      <c r="C2" s="79"/>
      <c r="D2" s="79"/>
      <c r="E2" s="79"/>
      <c r="F2" s="79"/>
      <c r="G2" s="79"/>
      <c r="H2" s="79"/>
      <c r="I2" s="79"/>
      <c r="J2" s="79"/>
      <c r="K2" s="79"/>
      <c r="L2" s="79"/>
      <c r="M2" s="80"/>
      <c r="N2" s="80"/>
      <c r="O2" s="80"/>
      <c r="P2" s="80"/>
    </row>
    <row r="3" spans="1:25" x14ac:dyDescent="0.3">
      <c r="A3" s="79"/>
      <c r="B3" s="79"/>
      <c r="C3" s="79"/>
      <c r="D3" s="79"/>
      <c r="E3" s="79"/>
      <c r="F3" s="79"/>
      <c r="G3" s="79"/>
      <c r="H3" s="79"/>
      <c r="I3" s="79"/>
      <c r="J3" s="79"/>
      <c r="K3" s="79"/>
      <c r="L3" s="79"/>
      <c r="M3" s="80"/>
      <c r="N3" s="80"/>
      <c r="O3" s="80"/>
      <c r="P3" s="80"/>
    </row>
    <row r="4" spans="1:25" x14ac:dyDescent="0.3">
      <c r="A4" s="79"/>
      <c r="B4" s="79"/>
      <c r="C4" s="79"/>
      <c r="D4" s="79"/>
      <c r="E4" s="79"/>
      <c r="F4" s="79"/>
      <c r="G4" s="79"/>
      <c r="H4" s="79"/>
      <c r="I4" s="79"/>
      <c r="J4" s="79"/>
      <c r="K4" s="79"/>
      <c r="L4" s="79"/>
      <c r="M4" s="80"/>
      <c r="N4" s="80"/>
      <c r="O4" s="80"/>
      <c r="P4" s="80"/>
    </row>
    <row r="5" spans="1:25" x14ac:dyDescent="0.3">
      <c r="A5" s="3" t="s">
        <v>0</v>
      </c>
      <c r="B5" s="7" t="s">
        <v>1</v>
      </c>
      <c r="C5" s="3" t="s">
        <v>2</v>
      </c>
      <c r="D5" s="3" t="s">
        <v>3</v>
      </c>
      <c r="E5" s="3" t="s">
        <v>4</v>
      </c>
      <c r="F5" s="3" t="s">
        <v>5</v>
      </c>
      <c r="G5" s="3" t="s">
        <v>6</v>
      </c>
      <c r="H5" s="3" t="s">
        <v>7</v>
      </c>
      <c r="I5" s="3" t="s">
        <v>8</v>
      </c>
      <c r="J5" s="3" t="s">
        <v>9</v>
      </c>
      <c r="K5" s="3" t="s">
        <v>10</v>
      </c>
      <c r="L5" s="3" t="s">
        <v>11</v>
      </c>
      <c r="M5" s="3" t="s">
        <v>12</v>
      </c>
      <c r="N5" s="3" t="s">
        <v>13</v>
      </c>
      <c r="O5" s="3" t="s">
        <v>80</v>
      </c>
      <c r="P5" s="3" t="s">
        <v>82</v>
      </c>
    </row>
    <row r="6" spans="1:25" x14ac:dyDescent="0.3">
      <c r="A6">
        <v>100001</v>
      </c>
      <c r="B6" s="8">
        <v>45292</v>
      </c>
      <c r="C6" t="s">
        <v>14</v>
      </c>
      <c r="D6" t="s">
        <v>16</v>
      </c>
      <c r="E6" t="s">
        <v>66</v>
      </c>
      <c r="F6" t="s">
        <v>71</v>
      </c>
      <c r="G6">
        <v>4</v>
      </c>
      <c r="H6">
        <v>31.4</v>
      </c>
      <c r="I6">
        <v>5</v>
      </c>
      <c r="J6" t="s">
        <v>73</v>
      </c>
      <c r="K6" t="s">
        <v>77</v>
      </c>
      <c r="L6">
        <v>125.6</v>
      </c>
      <c r="M6">
        <v>6.28</v>
      </c>
      <c r="N6">
        <v>119.32</v>
      </c>
      <c r="O6" t="str">
        <f ca="1">IF(OR(ISBLANK(Table1[[#This Row],[Gross_Sales]]),ISBLANK(Table1[[#This Row],[Net_Sales]]),ISBLANK(Table1[[#This Row],[Quantity]]),Table1[[#This Row],[Gross_Sales]]&lt;0,Table1[[#This Row],[Net_Sales]]&lt;0,Table1[[#This Row],[Quantity]]&lt;0,AND(OR(Table1[[#This Row],[Order_Status]]="Cancelled",Table1[[#This Row],[Order_Status]]="Returned"),Table1[[#This Row],[Net_Sales]]&lt;&gt;0),Table1[[#This Row],[Order_Date]]&lt;DATE(2000,1,1),Table1[[#This Row],[Order_Date]]&gt;TODAY()),"YES","NO")</f>
        <v>NO</v>
      </c>
      <c r="P6" s="9" t="str">
        <f ca="1">IF(OR(ISNUMBER(Table1[[#This Row],[Order_Date]])=FALSE,Table1[[#This Row],[Order_Date]]&lt;DATE(2000,1,1),Table1[[#This Row],[Order_Date]]&gt;TODAY()),"YES","NO")</f>
        <v>NO</v>
      </c>
    </row>
    <row r="7" spans="1:25" x14ac:dyDescent="0.3">
      <c r="A7">
        <v>100002</v>
      </c>
      <c r="B7" s="8">
        <v>45292.041666666657</v>
      </c>
      <c r="C7" t="s">
        <v>15</v>
      </c>
      <c r="D7" t="s">
        <v>17</v>
      </c>
      <c r="E7" t="s">
        <v>67</v>
      </c>
      <c r="F7" t="s">
        <v>71</v>
      </c>
      <c r="G7">
        <v>5</v>
      </c>
      <c r="H7">
        <v>18.52</v>
      </c>
      <c r="I7">
        <v>5</v>
      </c>
      <c r="J7" t="s">
        <v>74</v>
      </c>
      <c r="K7" t="s">
        <v>77</v>
      </c>
      <c r="L7">
        <v>92.6</v>
      </c>
      <c r="M7">
        <v>4.63</v>
      </c>
      <c r="N7">
        <v>87.97</v>
      </c>
      <c r="O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 s="9" t="str">
        <f ca="1">IF(OR(ISNUMBER(Table1[[#This Row],[Order_Date]])=FALSE,Table1[[#This Row],[Order_Date]]&lt;DATE(2000,1,1),Table1[[#This Row],[Order_Date]]&gt;TODAY()),"YES","NO")</f>
        <v>NO</v>
      </c>
    </row>
    <row r="8" spans="1:25" x14ac:dyDescent="0.3">
      <c r="A8">
        <v>100003</v>
      </c>
      <c r="B8" s="8">
        <v>45292.083333333343</v>
      </c>
      <c r="C8" t="s">
        <v>14</v>
      </c>
      <c r="D8" t="s">
        <v>18</v>
      </c>
      <c r="E8" t="s">
        <v>68</v>
      </c>
      <c r="F8" t="s">
        <v>72</v>
      </c>
      <c r="G8">
        <v>5</v>
      </c>
      <c r="H8">
        <v>24.01</v>
      </c>
      <c r="I8">
        <v>10</v>
      </c>
      <c r="J8" t="s">
        <v>75</v>
      </c>
      <c r="K8" t="s">
        <v>77</v>
      </c>
      <c r="L8">
        <v>120.05</v>
      </c>
      <c r="M8">
        <v>12.005000000000001</v>
      </c>
      <c r="N8">
        <v>108.045</v>
      </c>
      <c r="O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 s="9" t="str">
        <f ca="1">IF(OR(ISNUMBER(Table1[[#This Row],[Order_Date]])=FALSE,Table1[[#This Row],[Order_Date]]&lt;DATE(2000,1,1),Table1[[#This Row],[Order_Date]]&gt;TODAY()),"YES","NO")</f>
        <v>NO</v>
      </c>
    </row>
    <row r="9" spans="1:25" x14ac:dyDescent="0.3">
      <c r="A9">
        <v>100004</v>
      </c>
      <c r="B9" s="8">
        <v>45292.125</v>
      </c>
      <c r="C9" t="s">
        <v>14</v>
      </c>
      <c r="D9" t="s">
        <v>19</v>
      </c>
      <c r="E9" t="s">
        <v>69</v>
      </c>
      <c r="F9" t="s">
        <v>71</v>
      </c>
      <c r="G9">
        <v>1</v>
      </c>
      <c r="H9">
        <v>5.23</v>
      </c>
      <c r="I9">
        <v>10</v>
      </c>
      <c r="J9" t="s">
        <v>75</v>
      </c>
      <c r="K9" t="s">
        <v>77</v>
      </c>
      <c r="L9">
        <v>5.23</v>
      </c>
      <c r="M9">
        <v>0.52300000000000002</v>
      </c>
      <c r="N9">
        <v>4.7070000000000007</v>
      </c>
      <c r="O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 s="9" t="str">
        <f ca="1">IF(OR(ISNUMBER(Table1[[#This Row],[Order_Date]])=FALSE,Table1[[#This Row],[Order_Date]]&lt;DATE(2000,1,1),Table1[[#This Row],[Order_Date]]&gt;TODAY()),"YES","NO")</f>
        <v>NO</v>
      </c>
    </row>
    <row r="10" spans="1:25" x14ac:dyDescent="0.3">
      <c r="A10">
        <v>100005</v>
      </c>
      <c r="B10" s="8">
        <v>45292.166666666657</v>
      </c>
      <c r="C10" t="s">
        <v>14</v>
      </c>
      <c r="D10" t="s">
        <v>20</v>
      </c>
      <c r="E10" t="s">
        <v>67</v>
      </c>
      <c r="F10" t="s">
        <v>72</v>
      </c>
      <c r="G10">
        <v>1</v>
      </c>
      <c r="H10">
        <v>87.66</v>
      </c>
      <c r="I10">
        <v>5</v>
      </c>
      <c r="J10" t="s">
        <v>75</v>
      </c>
      <c r="K10" t="s">
        <v>77</v>
      </c>
      <c r="L10">
        <v>87.66</v>
      </c>
      <c r="M10">
        <v>4.383</v>
      </c>
      <c r="N10">
        <v>83.277000000000001</v>
      </c>
      <c r="O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 s="9" t="str">
        <f ca="1">IF(OR(ISNUMBER(Table1[[#This Row],[Order_Date]])=FALSE,Table1[[#This Row],[Order_Date]]&lt;DATE(2000,1,1),Table1[[#This Row],[Order_Date]]&gt;TODAY()),"YES","NO")</f>
        <v>NO</v>
      </c>
      <c r="T10" s="5" t="s">
        <v>81</v>
      </c>
      <c r="U10" s="6" t="s">
        <v>81</v>
      </c>
      <c r="Y10" t="s">
        <v>106</v>
      </c>
    </row>
    <row r="11" spans="1:25" x14ac:dyDescent="0.3">
      <c r="A11">
        <v>100006</v>
      </c>
      <c r="B11" s="8">
        <v>45292.208333333343</v>
      </c>
      <c r="C11" t="s">
        <v>15</v>
      </c>
      <c r="D11" t="s">
        <v>21</v>
      </c>
      <c r="E11" t="s">
        <v>68</v>
      </c>
      <c r="F11" t="s">
        <v>72</v>
      </c>
      <c r="G11">
        <v>5</v>
      </c>
      <c r="H11">
        <v>89.23</v>
      </c>
      <c r="I11">
        <v>5</v>
      </c>
      <c r="J11" t="s">
        <v>73</v>
      </c>
      <c r="K11" t="s">
        <v>77</v>
      </c>
      <c r="L11">
        <v>446.15</v>
      </c>
      <c r="M11">
        <v>22.307500000000001</v>
      </c>
      <c r="N11">
        <v>423.84249999999997</v>
      </c>
      <c r="O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 s="9" t="str">
        <f ca="1">IF(OR(ISNUMBER(Table1[[#This Row],[Order_Date]])=FALSE,Table1[[#This Row],[Order_Date]]&lt;DATE(2000,1,1),Table1[[#This Row],[Order_Date]]&gt;TODAY()),"YES","NO")</f>
        <v>NO</v>
      </c>
      <c r="T11">
        <f ca="1">COUNTIF(O6:O1005,"YES")</f>
        <v>148</v>
      </c>
      <c r="U11">
        <f ca="1">COUNTIF(O6:O1005,"NO")</f>
        <v>851</v>
      </c>
    </row>
    <row r="12" spans="1:25" x14ac:dyDescent="0.3">
      <c r="A12">
        <v>100007</v>
      </c>
      <c r="B12" s="8">
        <v>100007</v>
      </c>
      <c r="C12" t="s">
        <v>14</v>
      </c>
      <c r="D12" t="s">
        <v>22</v>
      </c>
      <c r="E12" t="s">
        <v>68</v>
      </c>
      <c r="F12" t="s">
        <v>71</v>
      </c>
      <c r="G12">
        <v>2</v>
      </c>
      <c r="H12">
        <v>64.22</v>
      </c>
      <c r="I12">
        <v>10</v>
      </c>
      <c r="J12" t="s">
        <v>74</v>
      </c>
      <c r="K12" t="s">
        <v>77</v>
      </c>
      <c r="L12">
        <v>128.44</v>
      </c>
      <c r="M12">
        <v>12.843999999999999</v>
      </c>
      <c r="N12">
        <v>115.596</v>
      </c>
      <c r="O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 s="9" t="str">
        <f ca="1">IF(OR(ISNUMBER(Table1[[#This Row],[Order_Date]])=FALSE,Table1[[#This Row],[Order_Date]]&lt;DATE(2000,1,1),Table1[[#This Row],[Order_Date]]&gt;TODAY()),"YES","NO")</f>
        <v>YES</v>
      </c>
    </row>
    <row r="13" spans="1:25" x14ac:dyDescent="0.3">
      <c r="A13">
        <v>100008</v>
      </c>
      <c r="B13" s="8">
        <v>45292.291666666657</v>
      </c>
      <c r="C13" t="s">
        <v>14</v>
      </c>
      <c r="D13" t="s">
        <v>23</v>
      </c>
      <c r="E13" t="s">
        <v>67</v>
      </c>
      <c r="F13" t="s">
        <v>72</v>
      </c>
      <c r="G13">
        <v>5</v>
      </c>
      <c r="H13">
        <v>23.56</v>
      </c>
      <c r="I13">
        <v>10</v>
      </c>
      <c r="J13" t="s">
        <v>73</v>
      </c>
      <c r="K13" t="s">
        <v>77</v>
      </c>
      <c r="L13">
        <v>117.8</v>
      </c>
      <c r="M13">
        <v>11.78</v>
      </c>
      <c r="N13">
        <v>106.02</v>
      </c>
      <c r="O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 s="9" t="str">
        <f ca="1">IF(OR(ISNUMBER(Table1[[#This Row],[Order_Date]])=FALSE,Table1[[#This Row],[Order_Date]]&lt;DATE(2000,1,1),Table1[[#This Row],[Order_Date]]&gt;TODAY()),"YES","NO")</f>
        <v>NO</v>
      </c>
    </row>
    <row r="14" spans="1:25" x14ac:dyDescent="0.3">
      <c r="A14">
        <v>100009</v>
      </c>
      <c r="B14" s="8">
        <v>45292.333333333343</v>
      </c>
      <c r="C14" t="s">
        <v>14</v>
      </c>
      <c r="D14" t="s">
        <v>20</v>
      </c>
      <c r="E14" t="s">
        <v>66</v>
      </c>
      <c r="F14" t="s">
        <v>72</v>
      </c>
      <c r="G14">
        <v>5</v>
      </c>
      <c r="H14">
        <v>14.61</v>
      </c>
      <c r="I14">
        <v>15</v>
      </c>
      <c r="J14" t="s">
        <v>73</v>
      </c>
      <c r="K14" t="s">
        <v>77</v>
      </c>
      <c r="L14">
        <v>73.05</v>
      </c>
      <c r="M14">
        <v>10.9575</v>
      </c>
      <c r="N14">
        <v>62.092500000000001</v>
      </c>
      <c r="O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 s="9" t="str">
        <f ca="1">IF(OR(ISNUMBER(Table1[[#This Row],[Order_Date]])=FALSE,Table1[[#This Row],[Order_Date]]&lt;DATE(2000,1,1),Table1[[#This Row],[Order_Date]]&gt;TODAY()),"YES","NO")</f>
        <v>NO</v>
      </c>
    </row>
    <row r="15" spans="1:25" x14ac:dyDescent="0.3">
      <c r="A15">
        <v>100010</v>
      </c>
      <c r="B15" s="8">
        <v>45292.375</v>
      </c>
      <c r="C15" t="s">
        <v>15</v>
      </c>
      <c r="D15" t="s">
        <v>24</v>
      </c>
      <c r="E15" t="s">
        <v>68</v>
      </c>
      <c r="F15" t="s">
        <v>72</v>
      </c>
      <c r="G15">
        <v>3</v>
      </c>
      <c r="H15">
        <v>7.2</v>
      </c>
      <c r="I15">
        <v>5</v>
      </c>
      <c r="J15" t="s">
        <v>73</v>
      </c>
      <c r="K15" t="s">
        <v>77</v>
      </c>
      <c r="L15">
        <v>21.6</v>
      </c>
      <c r="M15">
        <v>1.08</v>
      </c>
      <c r="N15">
        <v>20.52</v>
      </c>
      <c r="O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 s="9" t="str">
        <f ca="1">IF(OR(ISNUMBER(Table1[[#This Row],[Order_Date]])=FALSE,Table1[[#This Row],[Order_Date]]&lt;DATE(2000,1,1),Table1[[#This Row],[Order_Date]]&gt;TODAY()),"YES","NO")</f>
        <v>NO</v>
      </c>
    </row>
    <row r="16" spans="1:25" x14ac:dyDescent="0.3">
      <c r="A16">
        <v>100011</v>
      </c>
      <c r="B16" s="8">
        <v>45292.416666666657</v>
      </c>
      <c r="C16" t="s">
        <v>14</v>
      </c>
      <c r="D16" t="s">
        <v>25</v>
      </c>
      <c r="E16" t="s">
        <v>66</v>
      </c>
      <c r="F16" t="s">
        <v>72</v>
      </c>
      <c r="G16">
        <v>3</v>
      </c>
      <c r="H16">
        <v>24.06</v>
      </c>
      <c r="I16">
        <v>5</v>
      </c>
      <c r="J16" t="s">
        <v>76</v>
      </c>
      <c r="K16" t="s">
        <v>77</v>
      </c>
      <c r="L16">
        <v>72.179999999999993</v>
      </c>
      <c r="M16">
        <v>3.609</v>
      </c>
      <c r="N16">
        <v>68.570999999999998</v>
      </c>
      <c r="O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 s="9" t="str">
        <f ca="1">IF(OR(ISNUMBER(Table1[[#This Row],[Order_Date]])=FALSE,Table1[[#This Row],[Order_Date]]&lt;DATE(2000,1,1),Table1[[#This Row],[Order_Date]]&gt;TODAY()),"YES","NO")</f>
        <v>NO</v>
      </c>
    </row>
    <row r="17" spans="1:16" x14ac:dyDescent="0.3">
      <c r="A17">
        <v>100012</v>
      </c>
      <c r="B17" s="8">
        <v>45292.458333333343</v>
      </c>
      <c r="C17" t="s">
        <v>14</v>
      </c>
      <c r="D17" t="s">
        <v>26</v>
      </c>
      <c r="E17" t="s">
        <v>67</v>
      </c>
      <c r="F17" t="s">
        <v>71</v>
      </c>
      <c r="G17">
        <v>3</v>
      </c>
      <c r="H17">
        <v>107.45</v>
      </c>
      <c r="I17">
        <v>15</v>
      </c>
      <c r="J17" t="s">
        <v>76</v>
      </c>
      <c r="K17" t="s">
        <v>77</v>
      </c>
      <c r="L17">
        <v>322.35000000000002</v>
      </c>
      <c r="M17">
        <v>48.352499999999999</v>
      </c>
      <c r="N17">
        <v>273.9975</v>
      </c>
      <c r="O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 s="9" t="str">
        <f ca="1">IF(OR(ISNUMBER(Table1[[#This Row],[Order_Date]])=FALSE,Table1[[#This Row],[Order_Date]]&lt;DATE(2000,1,1),Table1[[#This Row],[Order_Date]]&gt;TODAY()),"YES","NO")</f>
        <v>NO</v>
      </c>
    </row>
    <row r="18" spans="1:16" x14ac:dyDescent="0.3">
      <c r="A18">
        <v>100013</v>
      </c>
      <c r="B18" s="8">
        <v>45292.5</v>
      </c>
      <c r="C18" t="s">
        <v>14</v>
      </c>
      <c r="D18" t="s">
        <v>27</v>
      </c>
      <c r="E18" t="s">
        <v>66</v>
      </c>
      <c r="F18" t="s">
        <v>71</v>
      </c>
      <c r="G18">
        <v>2</v>
      </c>
      <c r="H18">
        <v>32.78</v>
      </c>
      <c r="I18">
        <v>5</v>
      </c>
      <c r="J18" t="s">
        <v>76</v>
      </c>
      <c r="K18" t="s">
        <v>77</v>
      </c>
      <c r="L18">
        <v>65.56</v>
      </c>
      <c r="M18">
        <v>3.278</v>
      </c>
      <c r="N18">
        <v>62.281999999999996</v>
      </c>
      <c r="O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 s="9" t="str">
        <f ca="1">IF(OR(ISNUMBER(Table1[[#This Row],[Order_Date]])=FALSE,Table1[[#This Row],[Order_Date]]&lt;DATE(2000,1,1),Table1[[#This Row],[Order_Date]]&gt;TODAY()),"YES","NO")</f>
        <v>NO</v>
      </c>
    </row>
    <row r="19" spans="1:16" x14ac:dyDescent="0.3">
      <c r="A19">
        <v>100014</v>
      </c>
      <c r="B19" s="8">
        <v>45292.541666666657</v>
      </c>
      <c r="C19" t="s">
        <v>14</v>
      </c>
      <c r="D19" t="s">
        <v>28</v>
      </c>
      <c r="E19" t="s">
        <v>70</v>
      </c>
      <c r="F19" t="s">
        <v>72</v>
      </c>
      <c r="G19">
        <v>2</v>
      </c>
      <c r="H19">
        <v>45.74</v>
      </c>
      <c r="I19">
        <v>0</v>
      </c>
      <c r="J19" t="s">
        <v>74</v>
      </c>
      <c r="K19" t="s">
        <v>78</v>
      </c>
      <c r="L19">
        <v>91.48</v>
      </c>
      <c r="M19">
        <v>0</v>
      </c>
      <c r="N19">
        <v>91.48</v>
      </c>
      <c r="O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9" s="9" t="str">
        <f ca="1">IF(OR(ISNUMBER(Table1[[#This Row],[Order_Date]])=FALSE,Table1[[#This Row],[Order_Date]]&lt;DATE(2000,1,1),Table1[[#This Row],[Order_Date]]&gt;TODAY()),"YES","NO")</f>
        <v>NO</v>
      </c>
    </row>
    <row r="20" spans="1:16" x14ac:dyDescent="0.3">
      <c r="A20">
        <v>100015</v>
      </c>
      <c r="B20" s="8">
        <v>45292.583333333343</v>
      </c>
      <c r="C20" t="s">
        <v>15</v>
      </c>
      <c r="D20" t="s">
        <v>29</v>
      </c>
      <c r="E20" t="s">
        <v>69</v>
      </c>
      <c r="F20" t="s">
        <v>72</v>
      </c>
      <c r="G20">
        <v>5</v>
      </c>
      <c r="H20">
        <v>17.11</v>
      </c>
      <c r="I20">
        <v>5</v>
      </c>
      <c r="J20" t="s">
        <v>73</v>
      </c>
      <c r="K20" t="s">
        <v>77</v>
      </c>
      <c r="L20">
        <v>85.55</v>
      </c>
      <c r="M20">
        <v>4.2774999999999999</v>
      </c>
      <c r="N20">
        <v>81.272499999999994</v>
      </c>
      <c r="O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 s="9" t="str">
        <f ca="1">IF(OR(ISNUMBER(Table1[[#This Row],[Order_Date]])=FALSE,Table1[[#This Row],[Order_Date]]&lt;DATE(2000,1,1),Table1[[#This Row],[Order_Date]]&gt;TODAY()),"YES","NO")</f>
        <v>NO</v>
      </c>
    </row>
    <row r="21" spans="1:16" x14ac:dyDescent="0.3">
      <c r="A21">
        <v>100016</v>
      </c>
      <c r="B21" s="8">
        <v>45292.625</v>
      </c>
      <c r="C21" t="s">
        <v>14</v>
      </c>
      <c r="D21" t="s">
        <v>30</v>
      </c>
      <c r="E21" t="s">
        <v>68</v>
      </c>
      <c r="F21" t="s">
        <v>71</v>
      </c>
      <c r="G21">
        <v>3</v>
      </c>
      <c r="H21">
        <v>30.57</v>
      </c>
      <c r="I21">
        <v>15</v>
      </c>
      <c r="J21" t="s">
        <v>73</v>
      </c>
      <c r="K21" t="s">
        <v>77</v>
      </c>
      <c r="L21">
        <v>91.710000000000008</v>
      </c>
      <c r="M21">
        <v>13.756500000000001</v>
      </c>
      <c r="N21">
        <v>77.953500000000005</v>
      </c>
      <c r="O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 s="9" t="str">
        <f ca="1">IF(OR(ISNUMBER(Table1[[#This Row],[Order_Date]])=FALSE,Table1[[#This Row],[Order_Date]]&lt;DATE(2000,1,1),Table1[[#This Row],[Order_Date]]&gt;TODAY()),"YES","NO")</f>
        <v>NO</v>
      </c>
    </row>
    <row r="22" spans="1:16" x14ac:dyDescent="0.3">
      <c r="A22">
        <v>100017</v>
      </c>
      <c r="B22" s="8">
        <v>45292.666666666657</v>
      </c>
      <c r="C22" t="s">
        <v>15</v>
      </c>
      <c r="D22" t="s">
        <v>31</v>
      </c>
      <c r="E22" t="s">
        <v>69</v>
      </c>
      <c r="F22" t="s">
        <v>72</v>
      </c>
      <c r="G22">
        <v>2</v>
      </c>
      <c r="H22">
        <v>64.709999999999994</v>
      </c>
      <c r="I22">
        <v>0</v>
      </c>
      <c r="J22" t="s">
        <v>76</v>
      </c>
      <c r="K22" t="s">
        <v>77</v>
      </c>
      <c r="L22">
        <v>129.41999999999999</v>
      </c>
      <c r="M22">
        <v>0</v>
      </c>
      <c r="N22">
        <v>129.41999999999999</v>
      </c>
      <c r="O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 s="9" t="str">
        <f ca="1">IF(OR(ISNUMBER(Table1[[#This Row],[Order_Date]])=FALSE,Table1[[#This Row],[Order_Date]]&lt;DATE(2000,1,1),Table1[[#This Row],[Order_Date]]&gt;TODAY()),"YES","NO")</f>
        <v>NO</v>
      </c>
    </row>
    <row r="23" spans="1:16" x14ac:dyDescent="0.3">
      <c r="A23">
        <v>100018</v>
      </c>
      <c r="B23" s="8">
        <v>45292.708333333343</v>
      </c>
      <c r="C23" t="s">
        <v>15</v>
      </c>
      <c r="D23" t="s">
        <v>32</v>
      </c>
      <c r="E23" t="s">
        <v>66</v>
      </c>
      <c r="F23" t="s">
        <v>71</v>
      </c>
      <c r="G23">
        <v>1</v>
      </c>
      <c r="H23">
        <v>74.89</v>
      </c>
      <c r="I23">
        <v>10</v>
      </c>
      <c r="J23" t="s">
        <v>73</v>
      </c>
      <c r="K23" t="s">
        <v>77</v>
      </c>
      <c r="L23">
        <v>74.89</v>
      </c>
      <c r="M23">
        <v>7.4890000000000008</v>
      </c>
      <c r="N23">
        <v>67.400999999999996</v>
      </c>
      <c r="O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 s="9" t="str">
        <f ca="1">IF(OR(ISNUMBER(Table1[[#This Row],[Order_Date]])=FALSE,Table1[[#This Row],[Order_Date]]&lt;DATE(2000,1,1),Table1[[#This Row],[Order_Date]]&gt;TODAY()),"YES","NO")</f>
        <v>NO</v>
      </c>
    </row>
    <row r="24" spans="1:16" x14ac:dyDescent="0.3">
      <c r="A24">
        <v>100019</v>
      </c>
      <c r="B24" s="8">
        <v>45292.75</v>
      </c>
      <c r="C24" t="s">
        <v>15</v>
      </c>
      <c r="D24" t="s">
        <v>33</v>
      </c>
      <c r="E24" t="s">
        <v>68</v>
      </c>
      <c r="F24" t="s">
        <v>72</v>
      </c>
      <c r="G24">
        <v>5</v>
      </c>
      <c r="H24">
        <v>33.22</v>
      </c>
      <c r="I24">
        <v>15</v>
      </c>
      <c r="J24" t="s">
        <v>73</v>
      </c>
      <c r="K24" t="s">
        <v>77</v>
      </c>
      <c r="L24">
        <v>166.1</v>
      </c>
      <c r="M24">
        <v>24.914999999999999</v>
      </c>
      <c r="N24">
        <v>141.185</v>
      </c>
      <c r="O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 s="9" t="str">
        <f ca="1">IF(OR(ISNUMBER(Table1[[#This Row],[Order_Date]])=FALSE,Table1[[#This Row],[Order_Date]]&lt;DATE(2000,1,1),Table1[[#This Row],[Order_Date]]&gt;TODAY()),"YES","NO")</f>
        <v>NO</v>
      </c>
    </row>
    <row r="25" spans="1:16" x14ac:dyDescent="0.3">
      <c r="A25">
        <v>100020</v>
      </c>
      <c r="B25" s="8">
        <v>45292.791666666657</v>
      </c>
      <c r="C25" t="s">
        <v>14</v>
      </c>
      <c r="D25" t="s">
        <v>34</v>
      </c>
      <c r="E25" t="s">
        <v>66</v>
      </c>
      <c r="F25" t="s">
        <v>72</v>
      </c>
      <c r="G25">
        <v>4</v>
      </c>
      <c r="H25">
        <v>11.64</v>
      </c>
      <c r="I25">
        <v>15</v>
      </c>
      <c r="J25" t="s">
        <v>75</v>
      </c>
      <c r="K25" t="s">
        <v>77</v>
      </c>
      <c r="L25">
        <v>46.56</v>
      </c>
      <c r="M25">
        <v>6.984</v>
      </c>
      <c r="N25">
        <v>39.576000000000001</v>
      </c>
      <c r="O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 s="9" t="str">
        <f ca="1">IF(OR(ISNUMBER(Table1[[#This Row],[Order_Date]])=FALSE,Table1[[#This Row],[Order_Date]]&lt;DATE(2000,1,1),Table1[[#This Row],[Order_Date]]&gt;TODAY()),"YES","NO")</f>
        <v>NO</v>
      </c>
    </row>
    <row r="26" spans="1:16" x14ac:dyDescent="0.3">
      <c r="A26">
        <v>100021</v>
      </c>
      <c r="B26" s="8">
        <v>45292.833333333343</v>
      </c>
      <c r="C26" t="s">
        <v>15</v>
      </c>
      <c r="D26" t="s">
        <v>35</v>
      </c>
      <c r="E26" t="s">
        <v>70</v>
      </c>
      <c r="F26" t="s">
        <v>71</v>
      </c>
      <c r="G26">
        <v>5</v>
      </c>
      <c r="H26">
        <v>49.97</v>
      </c>
      <c r="I26">
        <v>10</v>
      </c>
      <c r="J26" t="s">
        <v>73</v>
      </c>
      <c r="K26" t="s">
        <v>77</v>
      </c>
      <c r="L26">
        <v>249.85</v>
      </c>
      <c r="M26">
        <v>24.984999999999999</v>
      </c>
      <c r="N26">
        <v>224.86500000000001</v>
      </c>
      <c r="O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 s="9" t="str">
        <f ca="1">IF(OR(ISNUMBER(Table1[[#This Row],[Order_Date]])=FALSE,Table1[[#This Row],[Order_Date]]&lt;DATE(2000,1,1),Table1[[#This Row],[Order_Date]]&gt;TODAY()),"YES","NO")</f>
        <v>NO</v>
      </c>
    </row>
    <row r="27" spans="1:16" x14ac:dyDescent="0.3">
      <c r="A27">
        <v>100022</v>
      </c>
      <c r="B27" s="8">
        <v>45292.875</v>
      </c>
      <c r="C27" t="s">
        <v>14</v>
      </c>
      <c r="D27" t="s">
        <v>28</v>
      </c>
      <c r="E27" t="s">
        <v>67</v>
      </c>
      <c r="F27" t="s">
        <v>71</v>
      </c>
      <c r="G27">
        <v>4</v>
      </c>
      <c r="H27">
        <v>31.93</v>
      </c>
      <c r="I27">
        <v>15</v>
      </c>
      <c r="J27" t="s">
        <v>75</v>
      </c>
      <c r="K27" t="s">
        <v>77</v>
      </c>
      <c r="L27">
        <v>127.72</v>
      </c>
      <c r="M27">
        <v>19.158000000000001</v>
      </c>
      <c r="N27">
        <v>108.562</v>
      </c>
      <c r="O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 s="9" t="str">
        <f ca="1">IF(OR(ISNUMBER(Table1[[#This Row],[Order_Date]])=FALSE,Table1[[#This Row],[Order_Date]]&lt;DATE(2000,1,1),Table1[[#This Row],[Order_Date]]&gt;TODAY()),"YES","NO")</f>
        <v>NO</v>
      </c>
    </row>
    <row r="28" spans="1:16" x14ac:dyDescent="0.3">
      <c r="A28">
        <v>100023</v>
      </c>
      <c r="B28" s="8">
        <v>45292.916666666657</v>
      </c>
      <c r="C28" t="s">
        <v>15</v>
      </c>
      <c r="D28" t="s">
        <v>18</v>
      </c>
      <c r="E28" t="s">
        <v>68</v>
      </c>
      <c r="F28" t="s">
        <v>71</v>
      </c>
      <c r="G28">
        <v>3</v>
      </c>
      <c r="H28">
        <v>30.25</v>
      </c>
      <c r="I28">
        <v>5</v>
      </c>
      <c r="J28" t="s">
        <v>73</v>
      </c>
      <c r="K28" t="s">
        <v>77</v>
      </c>
      <c r="L28">
        <v>90.75</v>
      </c>
      <c r="M28">
        <v>4.5375000000000014</v>
      </c>
      <c r="N28">
        <v>86.212500000000006</v>
      </c>
      <c r="O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 s="9" t="str">
        <f ca="1">IF(OR(ISNUMBER(Table1[[#This Row],[Order_Date]])=FALSE,Table1[[#This Row],[Order_Date]]&lt;DATE(2000,1,1),Table1[[#This Row],[Order_Date]]&gt;TODAY()),"YES","NO")</f>
        <v>NO</v>
      </c>
    </row>
    <row r="29" spans="1:16" x14ac:dyDescent="0.3">
      <c r="A29">
        <v>100024</v>
      </c>
      <c r="B29" s="8">
        <v>45292.958333333343</v>
      </c>
      <c r="C29" t="s">
        <v>15</v>
      </c>
      <c r="D29" t="s">
        <v>36</v>
      </c>
      <c r="E29" t="s">
        <v>70</v>
      </c>
      <c r="F29" t="s">
        <v>71</v>
      </c>
      <c r="G29">
        <v>4</v>
      </c>
      <c r="H29">
        <v>115.38</v>
      </c>
      <c r="I29">
        <v>10</v>
      </c>
      <c r="J29" t="s">
        <v>74</v>
      </c>
      <c r="K29" t="s">
        <v>77</v>
      </c>
      <c r="L29">
        <v>461.52</v>
      </c>
      <c r="M29">
        <v>46.152000000000001</v>
      </c>
      <c r="N29">
        <v>415.36799999999999</v>
      </c>
      <c r="O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 s="9" t="str">
        <f ca="1">IF(OR(ISNUMBER(Table1[[#This Row],[Order_Date]])=FALSE,Table1[[#This Row],[Order_Date]]&lt;DATE(2000,1,1),Table1[[#This Row],[Order_Date]]&gt;TODAY()),"YES","NO")</f>
        <v>NO</v>
      </c>
    </row>
    <row r="30" spans="1:16" x14ac:dyDescent="0.3">
      <c r="A30">
        <v>100025</v>
      </c>
      <c r="B30" s="8">
        <v>45293</v>
      </c>
      <c r="C30" t="s">
        <v>15</v>
      </c>
      <c r="D30" t="s">
        <v>27</v>
      </c>
      <c r="E30" t="s">
        <v>70</v>
      </c>
      <c r="F30" t="s">
        <v>72</v>
      </c>
      <c r="G30">
        <v>3</v>
      </c>
      <c r="H30">
        <v>75.87</v>
      </c>
      <c r="I30">
        <v>15</v>
      </c>
      <c r="J30" t="s">
        <v>76</v>
      </c>
      <c r="K30" t="s">
        <v>77</v>
      </c>
      <c r="L30">
        <v>227.61</v>
      </c>
      <c r="M30">
        <v>34.141500000000001</v>
      </c>
      <c r="N30">
        <v>193.46850000000001</v>
      </c>
      <c r="O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 s="9" t="str">
        <f ca="1">IF(OR(ISNUMBER(Table1[[#This Row],[Order_Date]])=FALSE,Table1[[#This Row],[Order_Date]]&lt;DATE(2000,1,1),Table1[[#This Row],[Order_Date]]&gt;TODAY()),"YES","NO")</f>
        <v>NO</v>
      </c>
    </row>
    <row r="31" spans="1:16" x14ac:dyDescent="0.3">
      <c r="A31">
        <v>100026</v>
      </c>
      <c r="B31" s="8">
        <v>45293.041666666657</v>
      </c>
      <c r="C31" t="s">
        <v>15</v>
      </c>
      <c r="D31" t="s">
        <v>37</v>
      </c>
      <c r="E31" t="s">
        <v>68</v>
      </c>
      <c r="F31" t="s">
        <v>71</v>
      </c>
      <c r="G31">
        <v>1</v>
      </c>
      <c r="H31">
        <v>69.040000000000006</v>
      </c>
      <c r="I31">
        <v>10</v>
      </c>
      <c r="J31" t="s">
        <v>75</v>
      </c>
      <c r="K31" t="s">
        <v>77</v>
      </c>
      <c r="L31">
        <v>69.040000000000006</v>
      </c>
      <c r="M31">
        <v>6.9040000000000008</v>
      </c>
      <c r="N31">
        <v>62.136000000000003</v>
      </c>
      <c r="O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 s="9" t="str">
        <f ca="1">IF(OR(ISNUMBER(Table1[[#This Row],[Order_Date]])=FALSE,Table1[[#This Row],[Order_Date]]&lt;DATE(2000,1,1),Table1[[#This Row],[Order_Date]]&gt;TODAY()),"YES","NO")</f>
        <v>NO</v>
      </c>
    </row>
    <row r="32" spans="1:16" x14ac:dyDescent="0.3">
      <c r="A32">
        <v>100027</v>
      </c>
      <c r="B32" s="8">
        <v>45293.083333333343</v>
      </c>
      <c r="C32" t="s">
        <v>15</v>
      </c>
      <c r="D32" t="s">
        <v>29</v>
      </c>
      <c r="E32" t="s">
        <v>66</v>
      </c>
      <c r="F32" t="s">
        <v>72</v>
      </c>
      <c r="G32">
        <v>4</v>
      </c>
      <c r="H32">
        <v>52.81</v>
      </c>
      <c r="I32">
        <v>10</v>
      </c>
      <c r="J32" t="s">
        <v>76</v>
      </c>
      <c r="K32" t="s">
        <v>79</v>
      </c>
      <c r="L32">
        <v>211.24</v>
      </c>
      <c r="M32">
        <v>21.123999999999999</v>
      </c>
      <c r="N32">
        <v>190.11600000000001</v>
      </c>
      <c r="O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2" s="9" t="str">
        <f ca="1">IF(OR(ISNUMBER(Table1[[#This Row],[Order_Date]])=FALSE,Table1[[#This Row],[Order_Date]]&lt;DATE(2000,1,1),Table1[[#This Row],[Order_Date]]&gt;TODAY()),"YES","NO")</f>
        <v>NO</v>
      </c>
    </row>
    <row r="33" spans="1:16" x14ac:dyDescent="0.3">
      <c r="A33">
        <v>100028</v>
      </c>
      <c r="B33" s="8">
        <v>45293.125</v>
      </c>
      <c r="C33" t="s">
        <v>15</v>
      </c>
      <c r="D33" t="s">
        <v>38</v>
      </c>
      <c r="E33" t="s">
        <v>70</v>
      </c>
      <c r="F33" t="s">
        <v>71</v>
      </c>
      <c r="G33">
        <v>5</v>
      </c>
      <c r="H33">
        <v>54.33</v>
      </c>
      <c r="I33">
        <v>10</v>
      </c>
      <c r="J33" t="s">
        <v>75</v>
      </c>
      <c r="K33" t="s">
        <v>77</v>
      </c>
      <c r="L33">
        <v>271.64999999999998</v>
      </c>
      <c r="M33">
        <v>27.164999999999999</v>
      </c>
      <c r="N33">
        <v>244.48500000000001</v>
      </c>
      <c r="O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 s="9" t="str">
        <f ca="1">IF(OR(ISNUMBER(Table1[[#This Row],[Order_Date]])=FALSE,Table1[[#This Row],[Order_Date]]&lt;DATE(2000,1,1),Table1[[#This Row],[Order_Date]]&gt;TODAY()),"YES","NO")</f>
        <v>NO</v>
      </c>
    </row>
    <row r="34" spans="1:16" x14ac:dyDescent="0.3">
      <c r="A34">
        <v>100029</v>
      </c>
      <c r="B34" s="8">
        <v>45293.166666666657</v>
      </c>
      <c r="C34" t="s">
        <v>15</v>
      </c>
      <c r="D34" t="s">
        <v>39</v>
      </c>
      <c r="E34" t="s">
        <v>69</v>
      </c>
      <c r="F34" t="s">
        <v>71</v>
      </c>
      <c r="G34">
        <v>3</v>
      </c>
      <c r="H34">
        <v>67.2</v>
      </c>
      <c r="I34">
        <v>0</v>
      </c>
      <c r="J34" t="s">
        <v>75</v>
      </c>
      <c r="K34" t="s">
        <v>77</v>
      </c>
      <c r="L34">
        <v>201.6</v>
      </c>
      <c r="M34">
        <v>0</v>
      </c>
      <c r="N34">
        <v>201.6</v>
      </c>
      <c r="O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 s="9" t="str">
        <f ca="1">IF(OR(ISNUMBER(Table1[[#This Row],[Order_Date]])=FALSE,Table1[[#This Row],[Order_Date]]&lt;DATE(2000,1,1),Table1[[#This Row],[Order_Date]]&gt;TODAY()),"YES","NO")</f>
        <v>NO</v>
      </c>
    </row>
    <row r="35" spans="1:16" x14ac:dyDescent="0.3">
      <c r="A35">
        <v>100030</v>
      </c>
      <c r="B35" s="8">
        <v>45293.208333333343</v>
      </c>
      <c r="C35" t="s">
        <v>15</v>
      </c>
      <c r="D35" t="s">
        <v>40</v>
      </c>
      <c r="E35" t="s">
        <v>70</v>
      </c>
      <c r="F35" t="s">
        <v>72</v>
      </c>
      <c r="G35">
        <v>5</v>
      </c>
      <c r="H35">
        <v>85.09</v>
      </c>
      <c r="I35">
        <v>15</v>
      </c>
      <c r="J35" t="s">
        <v>75</v>
      </c>
      <c r="K35" t="s">
        <v>78</v>
      </c>
      <c r="L35">
        <v>425.45</v>
      </c>
      <c r="M35">
        <v>63.817500000000003</v>
      </c>
      <c r="N35">
        <v>361.63250000000011</v>
      </c>
      <c r="O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5" s="9" t="str">
        <f ca="1">IF(OR(ISNUMBER(Table1[[#This Row],[Order_Date]])=FALSE,Table1[[#This Row],[Order_Date]]&lt;DATE(2000,1,1),Table1[[#This Row],[Order_Date]]&gt;TODAY()),"YES","NO")</f>
        <v>NO</v>
      </c>
    </row>
    <row r="36" spans="1:16" x14ac:dyDescent="0.3">
      <c r="A36">
        <v>100031</v>
      </c>
      <c r="B36" s="8">
        <v>45293.25</v>
      </c>
      <c r="C36" t="s">
        <v>14</v>
      </c>
      <c r="D36" t="s">
        <v>41</v>
      </c>
      <c r="E36" t="s">
        <v>66</v>
      </c>
      <c r="F36" t="s">
        <v>71</v>
      </c>
      <c r="G36">
        <v>2</v>
      </c>
      <c r="H36">
        <v>85.75</v>
      </c>
      <c r="I36">
        <v>0</v>
      </c>
      <c r="J36" t="s">
        <v>74</v>
      </c>
      <c r="K36" t="s">
        <v>77</v>
      </c>
      <c r="L36">
        <v>171.5</v>
      </c>
      <c r="M36">
        <v>0</v>
      </c>
      <c r="N36">
        <v>171.5</v>
      </c>
      <c r="O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 s="9" t="str">
        <f ca="1">IF(OR(ISNUMBER(Table1[[#This Row],[Order_Date]])=FALSE,Table1[[#This Row],[Order_Date]]&lt;DATE(2000,1,1),Table1[[#This Row],[Order_Date]]&gt;TODAY()),"YES","NO")</f>
        <v>NO</v>
      </c>
    </row>
    <row r="37" spans="1:16" x14ac:dyDescent="0.3">
      <c r="A37">
        <v>100032</v>
      </c>
      <c r="B37" s="8">
        <v>45293.291666666657</v>
      </c>
      <c r="C37" t="s">
        <v>14</v>
      </c>
      <c r="D37" t="s">
        <v>30</v>
      </c>
      <c r="E37" t="s">
        <v>66</v>
      </c>
      <c r="F37" t="s">
        <v>71</v>
      </c>
      <c r="G37">
        <v>3</v>
      </c>
      <c r="H37">
        <v>24.74</v>
      </c>
      <c r="I37">
        <v>15</v>
      </c>
      <c r="J37" t="s">
        <v>73</v>
      </c>
      <c r="K37" t="s">
        <v>77</v>
      </c>
      <c r="L37">
        <v>74.22</v>
      </c>
      <c r="M37">
        <v>11.132999999999999</v>
      </c>
      <c r="N37">
        <v>63.087000000000003</v>
      </c>
      <c r="O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 s="9" t="str">
        <f ca="1">IF(OR(ISNUMBER(Table1[[#This Row],[Order_Date]])=FALSE,Table1[[#This Row],[Order_Date]]&lt;DATE(2000,1,1),Table1[[#This Row],[Order_Date]]&gt;TODAY()),"YES","NO")</f>
        <v>NO</v>
      </c>
    </row>
    <row r="38" spans="1:16" x14ac:dyDescent="0.3">
      <c r="A38">
        <v>100033</v>
      </c>
      <c r="B38" s="8">
        <v>45293.333333333343</v>
      </c>
      <c r="C38" t="s">
        <v>15</v>
      </c>
      <c r="D38" t="s">
        <v>42</v>
      </c>
      <c r="E38" t="s">
        <v>69</v>
      </c>
      <c r="F38" t="s">
        <v>71</v>
      </c>
      <c r="G38">
        <v>4</v>
      </c>
      <c r="H38">
        <v>62.51</v>
      </c>
      <c r="I38">
        <v>5</v>
      </c>
      <c r="J38" t="s">
        <v>75</v>
      </c>
      <c r="K38" t="s">
        <v>77</v>
      </c>
      <c r="L38">
        <v>250.04</v>
      </c>
      <c r="M38">
        <v>12.502000000000001</v>
      </c>
      <c r="N38">
        <v>237.53800000000001</v>
      </c>
      <c r="O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 s="9" t="str">
        <f ca="1">IF(OR(ISNUMBER(Table1[[#This Row],[Order_Date]])=FALSE,Table1[[#This Row],[Order_Date]]&lt;DATE(2000,1,1),Table1[[#This Row],[Order_Date]]&gt;TODAY()),"YES","NO")</f>
        <v>NO</v>
      </c>
    </row>
    <row r="39" spans="1:16" x14ac:dyDescent="0.3">
      <c r="A39">
        <v>100034</v>
      </c>
      <c r="B39" s="8">
        <v>45293.375</v>
      </c>
      <c r="C39" t="s">
        <v>15</v>
      </c>
      <c r="D39" t="s">
        <v>43</v>
      </c>
      <c r="E39" t="s">
        <v>70</v>
      </c>
      <c r="F39" t="s">
        <v>71</v>
      </c>
      <c r="G39">
        <v>3</v>
      </c>
      <c r="H39">
        <v>52.38</v>
      </c>
      <c r="I39">
        <v>5</v>
      </c>
      <c r="J39" t="s">
        <v>74</v>
      </c>
      <c r="K39" t="s">
        <v>78</v>
      </c>
      <c r="L39">
        <v>157.13999999999999</v>
      </c>
      <c r="M39">
        <v>7.8570000000000011</v>
      </c>
      <c r="N39">
        <v>149.28299999999999</v>
      </c>
      <c r="O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9" s="9" t="str">
        <f ca="1">IF(OR(ISNUMBER(Table1[[#This Row],[Order_Date]])=FALSE,Table1[[#This Row],[Order_Date]]&lt;DATE(2000,1,1),Table1[[#This Row],[Order_Date]]&gt;TODAY()),"YES","NO")</f>
        <v>NO</v>
      </c>
    </row>
    <row r="40" spans="1:16" x14ac:dyDescent="0.3">
      <c r="A40">
        <v>100035</v>
      </c>
      <c r="B40" s="8">
        <v>45293.416666666657</v>
      </c>
      <c r="C40" t="s">
        <v>15</v>
      </c>
      <c r="D40" t="s">
        <v>38</v>
      </c>
      <c r="E40" t="s">
        <v>66</v>
      </c>
      <c r="F40" t="s">
        <v>72</v>
      </c>
      <c r="G40">
        <v>5</v>
      </c>
      <c r="H40">
        <v>105.11</v>
      </c>
      <c r="I40">
        <v>5</v>
      </c>
      <c r="J40" t="s">
        <v>75</v>
      </c>
      <c r="K40" t="s">
        <v>77</v>
      </c>
      <c r="L40">
        <v>525.54999999999995</v>
      </c>
      <c r="M40">
        <v>26.2775</v>
      </c>
      <c r="N40">
        <v>499.27249999999998</v>
      </c>
      <c r="O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 s="9" t="str">
        <f ca="1">IF(OR(ISNUMBER(Table1[[#This Row],[Order_Date]])=FALSE,Table1[[#This Row],[Order_Date]]&lt;DATE(2000,1,1),Table1[[#This Row],[Order_Date]]&gt;TODAY()),"YES","NO")</f>
        <v>NO</v>
      </c>
    </row>
    <row r="41" spans="1:16" x14ac:dyDescent="0.3">
      <c r="A41">
        <v>100036</v>
      </c>
      <c r="B41" s="8">
        <v>45293.458333333343</v>
      </c>
      <c r="C41" t="s">
        <v>14</v>
      </c>
      <c r="D41" t="s">
        <v>20</v>
      </c>
      <c r="E41" t="s">
        <v>68</v>
      </c>
      <c r="F41" t="s">
        <v>72</v>
      </c>
      <c r="G41">
        <v>1</v>
      </c>
      <c r="H41">
        <v>77.61</v>
      </c>
      <c r="I41">
        <v>15</v>
      </c>
      <c r="J41" t="s">
        <v>73</v>
      </c>
      <c r="K41" t="s">
        <v>77</v>
      </c>
      <c r="L41">
        <v>77.61</v>
      </c>
      <c r="M41">
        <v>11.641500000000001</v>
      </c>
      <c r="N41">
        <v>65.968500000000006</v>
      </c>
      <c r="O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 s="9" t="str">
        <f ca="1">IF(OR(ISNUMBER(Table1[[#This Row],[Order_Date]])=FALSE,Table1[[#This Row],[Order_Date]]&lt;DATE(2000,1,1),Table1[[#This Row],[Order_Date]]&gt;TODAY()),"YES","NO")</f>
        <v>NO</v>
      </c>
    </row>
    <row r="42" spans="1:16" x14ac:dyDescent="0.3">
      <c r="A42">
        <v>100037</v>
      </c>
      <c r="B42" s="8">
        <v>45293.5</v>
      </c>
      <c r="C42" t="s">
        <v>15</v>
      </c>
      <c r="D42" t="s">
        <v>18</v>
      </c>
      <c r="E42" t="s">
        <v>67</v>
      </c>
      <c r="F42" t="s">
        <v>71</v>
      </c>
      <c r="G42">
        <v>3</v>
      </c>
      <c r="H42">
        <v>66.239999999999995</v>
      </c>
      <c r="I42">
        <v>10</v>
      </c>
      <c r="J42" t="s">
        <v>75</v>
      </c>
      <c r="K42" t="s">
        <v>77</v>
      </c>
      <c r="L42">
        <v>198.72</v>
      </c>
      <c r="M42">
        <v>19.872</v>
      </c>
      <c r="N42">
        <v>178.84800000000001</v>
      </c>
      <c r="O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 s="9" t="str">
        <f ca="1">IF(OR(ISNUMBER(Table1[[#This Row],[Order_Date]])=FALSE,Table1[[#This Row],[Order_Date]]&lt;DATE(2000,1,1),Table1[[#This Row],[Order_Date]]&gt;TODAY()),"YES","NO")</f>
        <v>NO</v>
      </c>
    </row>
    <row r="43" spans="1:16" x14ac:dyDescent="0.3">
      <c r="A43">
        <v>100038</v>
      </c>
      <c r="B43" s="8">
        <v>45293.541666666657</v>
      </c>
      <c r="C43" t="s">
        <v>14</v>
      </c>
      <c r="D43" t="s">
        <v>44</v>
      </c>
      <c r="E43" t="s">
        <v>67</v>
      </c>
      <c r="F43" t="s">
        <v>71</v>
      </c>
      <c r="G43">
        <v>4</v>
      </c>
      <c r="H43">
        <v>18.27</v>
      </c>
      <c r="I43">
        <v>10</v>
      </c>
      <c r="J43" t="s">
        <v>74</v>
      </c>
      <c r="K43" t="s">
        <v>79</v>
      </c>
      <c r="L43">
        <v>73.08</v>
      </c>
      <c r="M43">
        <v>7.3079999999999998</v>
      </c>
      <c r="N43">
        <v>65.771999999999991</v>
      </c>
      <c r="O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3" s="9" t="str">
        <f ca="1">IF(OR(ISNUMBER(Table1[[#This Row],[Order_Date]])=FALSE,Table1[[#This Row],[Order_Date]]&lt;DATE(2000,1,1),Table1[[#This Row],[Order_Date]]&gt;TODAY()),"YES","NO")</f>
        <v>NO</v>
      </c>
    </row>
    <row r="44" spans="1:16" x14ac:dyDescent="0.3">
      <c r="A44">
        <v>100039</v>
      </c>
      <c r="B44" s="8">
        <v>45293.583333333343</v>
      </c>
      <c r="C44" t="s">
        <v>14</v>
      </c>
      <c r="D44" t="s">
        <v>45</v>
      </c>
      <c r="E44" t="s">
        <v>67</v>
      </c>
      <c r="F44" t="s">
        <v>71</v>
      </c>
      <c r="G44">
        <v>2</v>
      </c>
      <c r="H44">
        <v>74.650000000000006</v>
      </c>
      <c r="I44">
        <v>0</v>
      </c>
      <c r="J44" t="s">
        <v>73</v>
      </c>
      <c r="K44" t="s">
        <v>77</v>
      </c>
      <c r="L44">
        <v>149.30000000000001</v>
      </c>
      <c r="M44">
        <v>0</v>
      </c>
      <c r="N44">
        <v>149.30000000000001</v>
      </c>
      <c r="O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 s="9" t="str">
        <f ca="1">IF(OR(ISNUMBER(Table1[[#This Row],[Order_Date]])=FALSE,Table1[[#This Row],[Order_Date]]&lt;DATE(2000,1,1),Table1[[#This Row],[Order_Date]]&gt;TODAY()),"YES","NO")</f>
        <v>NO</v>
      </c>
    </row>
    <row r="45" spans="1:16" x14ac:dyDescent="0.3">
      <c r="A45">
        <v>100040</v>
      </c>
      <c r="B45" s="8">
        <v>45293.625</v>
      </c>
      <c r="C45" t="s">
        <v>14</v>
      </c>
      <c r="D45" t="s">
        <v>25</v>
      </c>
      <c r="E45" t="s">
        <v>70</v>
      </c>
      <c r="F45" t="s">
        <v>72</v>
      </c>
      <c r="G45">
        <v>1</v>
      </c>
      <c r="H45">
        <v>18.48</v>
      </c>
      <c r="I45">
        <v>0</v>
      </c>
      <c r="J45" t="s">
        <v>74</v>
      </c>
      <c r="K45" t="s">
        <v>77</v>
      </c>
      <c r="L45">
        <v>18.48</v>
      </c>
      <c r="M45">
        <v>0</v>
      </c>
      <c r="N45">
        <v>18.48</v>
      </c>
      <c r="O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 s="9" t="str">
        <f ca="1">IF(OR(ISNUMBER(Table1[[#This Row],[Order_Date]])=FALSE,Table1[[#This Row],[Order_Date]]&lt;DATE(2000,1,1),Table1[[#This Row],[Order_Date]]&gt;TODAY()),"YES","NO")</f>
        <v>NO</v>
      </c>
    </row>
    <row r="46" spans="1:16" x14ac:dyDescent="0.3">
      <c r="A46">
        <v>100041</v>
      </c>
      <c r="B46" s="8">
        <v>45293.666666666657</v>
      </c>
      <c r="C46" t="s">
        <v>14</v>
      </c>
      <c r="D46" t="s">
        <v>36</v>
      </c>
      <c r="E46" t="s">
        <v>69</v>
      </c>
      <c r="F46" t="s">
        <v>72</v>
      </c>
      <c r="G46">
        <v>2</v>
      </c>
      <c r="H46">
        <v>43.78</v>
      </c>
      <c r="I46">
        <v>5</v>
      </c>
      <c r="J46" t="s">
        <v>73</v>
      </c>
      <c r="K46" t="s">
        <v>78</v>
      </c>
      <c r="L46">
        <v>87.56</v>
      </c>
      <c r="M46">
        <v>4.3780000000000001</v>
      </c>
      <c r="N46">
        <v>83.182000000000002</v>
      </c>
      <c r="O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6" s="9" t="str">
        <f ca="1">IF(OR(ISNUMBER(Table1[[#This Row],[Order_Date]])=FALSE,Table1[[#This Row],[Order_Date]]&lt;DATE(2000,1,1),Table1[[#This Row],[Order_Date]]&gt;TODAY()),"YES","NO")</f>
        <v>NO</v>
      </c>
    </row>
    <row r="47" spans="1:16" x14ac:dyDescent="0.3">
      <c r="A47">
        <v>100042</v>
      </c>
      <c r="B47" s="8">
        <v>45293.708333333343</v>
      </c>
      <c r="C47" t="s">
        <v>14</v>
      </c>
      <c r="D47" t="s">
        <v>40</v>
      </c>
      <c r="E47" t="s">
        <v>66</v>
      </c>
      <c r="F47" t="s">
        <v>72</v>
      </c>
      <c r="G47">
        <v>3</v>
      </c>
      <c r="H47">
        <v>21.43</v>
      </c>
      <c r="I47">
        <v>0</v>
      </c>
      <c r="J47" t="s">
        <v>73</v>
      </c>
      <c r="K47" t="s">
        <v>77</v>
      </c>
      <c r="L47">
        <v>64.289999999999992</v>
      </c>
      <c r="M47">
        <v>0</v>
      </c>
      <c r="N47">
        <v>64.289999999999992</v>
      </c>
      <c r="O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 s="9" t="str">
        <f ca="1">IF(OR(ISNUMBER(Table1[[#This Row],[Order_Date]])=FALSE,Table1[[#This Row],[Order_Date]]&lt;DATE(2000,1,1),Table1[[#This Row],[Order_Date]]&gt;TODAY()),"YES","NO")</f>
        <v>NO</v>
      </c>
    </row>
    <row r="48" spans="1:16" x14ac:dyDescent="0.3">
      <c r="A48">
        <v>100043</v>
      </c>
      <c r="B48" s="8">
        <v>45293.75</v>
      </c>
      <c r="C48" t="s">
        <v>15</v>
      </c>
      <c r="D48" t="s">
        <v>22</v>
      </c>
      <c r="E48" t="s">
        <v>68</v>
      </c>
      <c r="F48" t="s">
        <v>72</v>
      </c>
      <c r="G48">
        <v>5</v>
      </c>
      <c r="H48">
        <v>84.59</v>
      </c>
      <c r="I48">
        <v>15</v>
      </c>
      <c r="J48" t="s">
        <v>76</v>
      </c>
      <c r="K48" t="s">
        <v>77</v>
      </c>
      <c r="L48">
        <v>422.95</v>
      </c>
      <c r="M48">
        <v>63.442500000000003</v>
      </c>
      <c r="N48">
        <v>359.50750000000011</v>
      </c>
      <c r="O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 s="9" t="str">
        <f ca="1">IF(OR(ISNUMBER(Table1[[#This Row],[Order_Date]])=FALSE,Table1[[#This Row],[Order_Date]]&lt;DATE(2000,1,1),Table1[[#This Row],[Order_Date]]&gt;TODAY()),"YES","NO")</f>
        <v>NO</v>
      </c>
    </row>
    <row r="49" spans="1:16" x14ac:dyDescent="0.3">
      <c r="A49">
        <v>100044</v>
      </c>
      <c r="B49" s="8">
        <v>45293.791666666657</v>
      </c>
      <c r="C49" t="s">
        <v>15</v>
      </c>
      <c r="D49" t="s">
        <v>26</v>
      </c>
      <c r="E49" t="s">
        <v>68</v>
      </c>
      <c r="F49" t="s">
        <v>71</v>
      </c>
      <c r="G49">
        <v>5</v>
      </c>
      <c r="H49">
        <v>28.72</v>
      </c>
      <c r="I49">
        <v>15</v>
      </c>
      <c r="J49" t="s">
        <v>76</v>
      </c>
      <c r="K49" t="s">
        <v>77</v>
      </c>
      <c r="L49">
        <v>143.6</v>
      </c>
      <c r="M49">
        <v>21.54</v>
      </c>
      <c r="N49">
        <v>122.06</v>
      </c>
      <c r="O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 s="9" t="str">
        <f ca="1">IF(OR(ISNUMBER(Table1[[#This Row],[Order_Date]])=FALSE,Table1[[#This Row],[Order_Date]]&lt;DATE(2000,1,1),Table1[[#This Row],[Order_Date]]&gt;TODAY()),"YES","NO")</f>
        <v>NO</v>
      </c>
    </row>
    <row r="50" spans="1:16" x14ac:dyDescent="0.3">
      <c r="A50">
        <v>100045</v>
      </c>
      <c r="B50" s="8">
        <v>45293.833333333343</v>
      </c>
      <c r="C50" t="s">
        <v>15</v>
      </c>
      <c r="D50" t="s">
        <v>21</v>
      </c>
      <c r="E50" t="s">
        <v>70</v>
      </c>
      <c r="F50" t="s">
        <v>71</v>
      </c>
      <c r="G50">
        <v>4</v>
      </c>
      <c r="H50">
        <v>50.06</v>
      </c>
      <c r="I50">
        <v>0</v>
      </c>
      <c r="J50" t="s">
        <v>76</v>
      </c>
      <c r="K50" t="s">
        <v>77</v>
      </c>
      <c r="L50">
        <v>200.24</v>
      </c>
      <c r="M50">
        <v>0</v>
      </c>
      <c r="N50">
        <v>200.24</v>
      </c>
      <c r="O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 s="9" t="str">
        <f ca="1">IF(OR(ISNUMBER(Table1[[#This Row],[Order_Date]])=FALSE,Table1[[#This Row],[Order_Date]]&lt;DATE(2000,1,1),Table1[[#This Row],[Order_Date]]&gt;TODAY()),"YES","NO")</f>
        <v>NO</v>
      </c>
    </row>
    <row r="51" spans="1:16" x14ac:dyDescent="0.3">
      <c r="A51">
        <v>100046</v>
      </c>
      <c r="B51" s="8">
        <v>45293.875</v>
      </c>
      <c r="C51" t="s">
        <v>15</v>
      </c>
      <c r="D51" t="s">
        <v>16</v>
      </c>
      <c r="E51" t="s">
        <v>67</v>
      </c>
      <c r="F51" t="s">
        <v>71</v>
      </c>
      <c r="G51">
        <v>5</v>
      </c>
      <c r="H51">
        <v>108</v>
      </c>
      <c r="I51">
        <v>0</v>
      </c>
      <c r="J51" t="s">
        <v>73</v>
      </c>
      <c r="K51" t="s">
        <v>78</v>
      </c>
      <c r="L51">
        <v>540</v>
      </c>
      <c r="M51">
        <v>0</v>
      </c>
      <c r="N51">
        <v>540</v>
      </c>
      <c r="O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1" s="9" t="str">
        <f ca="1">IF(OR(ISNUMBER(Table1[[#This Row],[Order_Date]])=FALSE,Table1[[#This Row],[Order_Date]]&lt;DATE(2000,1,1),Table1[[#This Row],[Order_Date]]&gt;TODAY()),"YES","NO")</f>
        <v>NO</v>
      </c>
    </row>
    <row r="52" spans="1:16" x14ac:dyDescent="0.3">
      <c r="A52">
        <v>100047</v>
      </c>
      <c r="B52" s="8">
        <v>45293.916666666657</v>
      </c>
      <c r="C52" t="s">
        <v>15</v>
      </c>
      <c r="D52" t="s">
        <v>28</v>
      </c>
      <c r="E52" t="s">
        <v>70</v>
      </c>
      <c r="F52" t="s">
        <v>72</v>
      </c>
      <c r="G52">
        <v>1</v>
      </c>
      <c r="H52">
        <v>28.5</v>
      </c>
      <c r="I52">
        <v>0</v>
      </c>
      <c r="J52" t="s">
        <v>75</v>
      </c>
      <c r="K52" t="s">
        <v>77</v>
      </c>
      <c r="L52">
        <v>28.5</v>
      </c>
      <c r="M52">
        <v>0</v>
      </c>
      <c r="N52">
        <v>28.5</v>
      </c>
      <c r="O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 s="9" t="str">
        <f ca="1">IF(OR(ISNUMBER(Table1[[#This Row],[Order_Date]])=FALSE,Table1[[#This Row],[Order_Date]]&lt;DATE(2000,1,1),Table1[[#This Row],[Order_Date]]&gt;TODAY()),"YES","NO")</f>
        <v>NO</v>
      </c>
    </row>
    <row r="53" spans="1:16" x14ac:dyDescent="0.3">
      <c r="A53">
        <v>100048</v>
      </c>
      <c r="B53" s="8">
        <v>45293.958333333343</v>
      </c>
      <c r="C53" t="s">
        <v>14</v>
      </c>
      <c r="D53" t="s">
        <v>46</v>
      </c>
      <c r="E53" t="s">
        <v>69</v>
      </c>
      <c r="F53" t="s">
        <v>71</v>
      </c>
      <c r="G53">
        <v>5</v>
      </c>
      <c r="H53">
        <v>63.4</v>
      </c>
      <c r="I53">
        <v>0</v>
      </c>
      <c r="J53" t="s">
        <v>74</v>
      </c>
      <c r="K53" t="s">
        <v>77</v>
      </c>
      <c r="L53">
        <v>317</v>
      </c>
      <c r="M53">
        <v>0</v>
      </c>
      <c r="N53">
        <v>317</v>
      </c>
      <c r="O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 s="9" t="str">
        <f ca="1">IF(OR(ISNUMBER(Table1[[#This Row],[Order_Date]])=FALSE,Table1[[#This Row],[Order_Date]]&lt;DATE(2000,1,1),Table1[[#This Row],[Order_Date]]&gt;TODAY()),"YES","NO")</f>
        <v>NO</v>
      </c>
    </row>
    <row r="54" spans="1:16" x14ac:dyDescent="0.3">
      <c r="A54">
        <v>100049</v>
      </c>
      <c r="B54" s="8">
        <v>45294</v>
      </c>
      <c r="C54" t="s">
        <v>15</v>
      </c>
      <c r="D54" t="s">
        <v>28</v>
      </c>
      <c r="E54" t="s">
        <v>69</v>
      </c>
      <c r="F54" t="s">
        <v>72</v>
      </c>
      <c r="G54">
        <v>4</v>
      </c>
      <c r="H54">
        <v>53.22</v>
      </c>
      <c r="I54">
        <v>5</v>
      </c>
      <c r="J54" t="s">
        <v>74</v>
      </c>
      <c r="K54" t="s">
        <v>77</v>
      </c>
      <c r="L54">
        <v>212.88</v>
      </c>
      <c r="M54">
        <v>10.644</v>
      </c>
      <c r="N54">
        <v>202.23599999999999</v>
      </c>
      <c r="O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 s="9" t="str">
        <f ca="1">IF(OR(ISNUMBER(Table1[[#This Row],[Order_Date]])=FALSE,Table1[[#This Row],[Order_Date]]&lt;DATE(2000,1,1),Table1[[#This Row],[Order_Date]]&gt;TODAY()),"YES","NO")</f>
        <v>NO</v>
      </c>
    </row>
    <row r="55" spans="1:16" x14ac:dyDescent="0.3">
      <c r="A55">
        <v>100050</v>
      </c>
      <c r="B55" s="8">
        <v>45294.041666666657</v>
      </c>
      <c r="C55" t="s">
        <v>15</v>
      </c>
      <c r="D55" t="s">
        <v>47</v>
      </c>
      <c r="E55" t="s">
        <v>66</v>
      </c>
      <c r="F55" t="s">
        <v>72</v>
      </c>
      <c r="G55">
        <v>3</v>
      </c>
      <c r="H55">
        <v>7.08</v>
      </c>
      <c r="I55">
        <v>5</v>
      </c>
      <c r="J55" t="s">
        <v>74</v>
      </c>
      <c r="K55" t="s">
        <v>77</v>
      </c>
      <c r="L55">
        <v>21.24</v>
      </c>
      <c r="M55">
        <v>1.0620000000000001</v>
      </c>
      <c r="N55">
        <v>20.178000000000001</v>
      </c>
      <c r="O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 s="9" t="str">
        <f ca="1">IF(OR(ISNUMBER(Table1[[#This Row],[Order_Date]])=FALSE,Table1[[#This Row],[Order_Date]]&lt;DATE(2000,1,1),Table1[[#This Row],[Order_Date]]&gt;TODAY()),"YES","NO")</f>
        <v>NO</v>
      </c>
    </row>
    <row r="56" spans="1:16" x14ac:dyDescent="0.3">
      <c r="A56">
        <v>100051</v>
      </c>
      <c r="B56" s="8">
        <v>45294.083333333343</v>
      </c>
      <c r="C56" t="s">
        <v>14</v>
      </c>
      <c r="D56" t="s">
        <v>48</v>
      </c>
      <c r="E56" t="s">
        <v>66</v>
      </c>
      <c r="F56" t="s">
        <v>71</v>
      </c>
      <c r="G56">
        <v>3</v>
      </c>
      <c r="H56">
        <v>96.17</v>
      </c>
      <c r="I56">
        <v>0</v>
      </c>
      <c r="J56" t="s">
        <v>76</v>
      </c>
      <c r="K56" t="s">
        <v>79</v>
      </c>
      <c r="L56">
        <v>288.51</v>
      </c>
      <c r="M56">
        <v>0</v>
      </c>
      <c r="N56">
        <v>288.51</v>
      </c>
      <c r="O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6" s="9" t="str">
        <f ca="1">IF(OR(ISNUMBER(Table1[[#This Row],[Order_Date]])=FALSE,Table1[[#This Row],[Order_Date]]&lt;DATE(2000,1,1),Table1[[#This Row],[Order_Date]]&gt;TODAY()),"YES","NO")</f>
        <v>NO</v>
      </c>
    </row>
    <row r="57" spans="1:16" x14ac:dyDescent="0.3">
      <c r="A57">
        <v>100052</v>
      </c>
      <c r="B57" s="8">
        <v>45294.125</v>
      </c>
      <c r="C57" t="s">
        <v>15</v>
      </c>
      <c r="D57" t="s">
        <v>49</v>
      </c>
      <c r="E57" t="s">
        <v>69</v>
      </c>
      <c r="F57" t="s">
        <v>71</v>
      </c>
      <c r="G57">
        <v>5</v>
      </c>
      <c r="H57">
        <v>12.94</v>
      </c>
      <c r="I57">
        <v>15</v>
      </c>
      <c r="J57" t="s">
        <v>73</v>
      </c>
      <c r="K57" t="s">
        <v>77</v>
      </c>
      <c r="L57">
        <v>64.7</v>
      </c>
      <c r="M57">
        <v>9.7050000000000001</v>
      </c>
      <c r="N57">
        <v>54.994999999999997</v>
      </c>
      <c r="O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 s="9" t="str">
        <f ca="1">IF(OR(ISNUMBER(Table1[[#This Row],[Order_Date]])=FALSE,Table1[[#This Row],[Order_Date]]&lt;DATE(2000,1,1),Table1[[#This Row],[Order_Date]]&gt;TODAY()),"YES","NO")</f>
        <v>NO</v>
      </c>
    </row>
    <row r="58" spans="1:16" x14ac:dyDescent="0.3">
      <c r="A58">
        <v>100053</v>
      </c>
      <c r="B58" s="8">
        <v>45294.166666666657</v>
      </c>
      <c r="C58" t="s">
        <v>14</v>
      </c>
      <c r="D58" t="s">
        <v>50</v>
      </c>
      <c r="E58" t="s">
        <v>69</v>
      </c>
      <c r="F58" t="s">
        <v>71</v>
      </c>
      <c r="G58">
        <v>2</v>
      </c>
      <c r="H58">
        <v>59.54</v>
      </c>
      <c r="I58">
        <v>5</v>
      </c>
      <c r="J58" t="s">
        <v>76</v>
      </c>
      <c r="K58" t="s">
        <v>77</v>
      </c>
      <c r="L58">
        <v>119.08</v>
      </c>
      <c r="M58">
        <v>5.9540000000000006</v>
      </c>
      <c r="N58">
        <v>113.126</v>
      </c>
      <c r="O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 s="9" t="str">
        <f ca="1">IF(OR(ISNUMBER(Table1[[#This Row],[Order_Date]])=FALSE,Table1[[#This Row],[Order_Date]]&lt;DATE(2000,1,1),Table1[[#This Row],[Order_Date]]&gt;TODAY()),"YES","NO")</f>
        <v>NO</v>
      </c>
    </row>
    <row r="59" spans="1:16" x14ac:dyDescent="0.3">
      <c r="A59">
        <v>100054</v>
      </c>
      <c r="B59" s="8">
        <v>45294.208333333343</v>
      </c>
      <c r="C59" t="s">
        <v>15</v>
      </c>
      <c r="D59" t="s">
        <v>50</v>
      </c>
      <c r="E59" t="s">
        <v>69</v>
      </c>
      <c r="F59" t="s">
        <v>72</v>
      </c>
      <c r="G59">
        <v>3</v>
      </c>
      <c r="H59">
        <v>69.48</v>
      </c>
      <c r="I59">
        <v>15</v>
      </c>
      <c r="J59" t="s">
        <v>75</v>
      </c>
      <c r="K59" t="s">
        <v>77</v>
      </c>
      <c r="L59">
        <v>208.44</v>
      </c>
      <c r="M59">
        <v>31.265999999999998</v>
      </c>
      <c r="N59">
        <v>177.17400000000001</v>
      </c>
      <c r="O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 s="9" t="str">
        <f ca="1">IF(OR(ISNUMBER(Table1[[#This Row],[Order_Date]])=FALSE,Table1[[#This Row],[Order_Date]]&lt;DATE(2000,1,1),Table1[[#This Row],[Order_Date]]&gt;TODAY()),"YES","NO")</f>
        <v>NO</v>
      </c>
    </row>
    <row r="60" spans="1:16" x14ac:dyDescent="0.3">
      <c r="A60">
        <v>100055</v>
      </c>
      <c r="B60" s="8">
        <v>45294.25</v>
      </c>
      <c r="C60" t="s">
        <v>14</v>
      </c>
      <c r="D60" t="s">
        <v>32</v>
      </c>
      <c r="E60" t="s">
        <v>70</v>
      </c>
      <c r="F60" t="s">
        <v>72</v>
      </c>
      <c r="G60">
        <v>5</v>
      </c>
      <c r="H60">
        <v>77.27</v>
      </c>
      <c r="I60">
        <v>10</v>
      </c>
      <c r="J60" t="s">
        <v>73</v>
      </c>
      <c r="K60" t="s">
        <v>78</v>
      </c>
      <c r="L60">
        <v>386.35</v>
      </c>
      <c r="M60">
        <v>38.634999999999998</v>
      </c>
      <c r="N60">
        <v>347.71499999999997</v>
      </c>
      <c r="O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0" s="9" t="str">
        <f ca="1">IF(OR(ISNUMBER(Table1[[#This Row],[Order_Date]])=FALSE,Table1[[#This Row],[Order_Date]]&lt;DATE(2000,1,1),Table1[[#This Row],[Order_Date]]&gt;TODAY()),"YES","NO")</f>
        <v>NO</v>
      </c>
    </row>
    <row r="61" spans="1:16" x14ac:dyDescent="0.3">
      <c r="A61">
        <v>100056</v>
      </c>
      <c r="B61" s="8">
        <v>45294.291666666657</v>
      </c>
      <c r="C61" t="s">
        <v>15</v>
      </c>
      <c r="D61" t="s">
        <v>32</v>
      </c>
      <c r="E61" t="s">
        <v>69</v>
      </c>
      <c r="F61" t="s">
        <v>71</v>
      </c>
      <c r="G61">
        <v>4</v>
      </c>
      <c r="H61">
        <v>84.19</v>
      </c>
      <c r="I61">
        <v>15</v>
      </c>
      <c r="J61" t="s">
        <v>74</v>
      </c>
      <c r="K61" t="s">
        <v>77</v>
      </c>
      <c r="L61">
        <v>336.76</v>
      </c>
      <c r="M61">
        <v>50.514000000000003</v>
      </c>
      <c r="N61">
        <v>286.24599999999998</v>
      </c>
      <c r="O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 s="9" t="str">
        <f ca="1">IF(OR(ISNUMBER(Table1[[#This Row],[Order_Date]])=FALSE,Table1[[#This Row],[Order_Date]]&lt;DATE(2000,1,1),Table1[[#This Row],[Order_Date]]&gt;TODAY()),"YES","NO")</f>
        <v>NO</v>
      </c>
    </row>
    <row r="62" spans="1:16" x14ac:dyDescent="0.3">
      <c r="A62">
        <v>100057</v>
      </c>
      <c r="B62" s="8">
        <v>45294.333333333343</v>
      </c>
      <c r="C62" t="s">
        <v>15</v>
      </c>
      <c r="D62" t="s">
        <v>51</v>
      </c>
      <c r="E62" t="s">
        <v>68</v>
      </c>
      <c r="F62" t="s">
        <v>71</v>
      </c>
      <c r="G62">
        <v>5</v>
      </c>
      <c r="H62">
        <v>34.130000000000003</v>
      </c>
      <c r="I62">
        <v>0</v>
      </c>
      <c r="J62" t="s">
        <v>76</v>
      </c>
      <c r="K62" t="s">
        <v>77</v>
      </c>
      <c r="L62">
        <v>170.65</v>
      </c>
      <c r="M62">
        <v>0</v>
      </c>
      <c r="N62">
        <v>170.65</v>
      </c>
      <c r="O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 s="9" t="str">
        <f ca="1">IF(OR(ISNUMBER(Table1[[#This Row],[Order_Date]])=FALSE,Table1[[#This Row],[Order_Date]]&lt;DATE(2000,1,1),Table1[[#This Row],[Order_Date]]&gt;TODAY()),"YES","NO")</f>
        <v>NO</v>
      </c>
    </row>
    <row r="63" spans="1:16" x14ac:dyDescent="0.3">
      <c r="A63">
        <v>100058</v>
      </c>
      <c r="B63" s="8">
        <v>45294.375</v>
      </c>
      <c r="C63" t="s">
        <v>14</v>
      </c>
      <c r="D63" t="s">
        <v>16</v>
      </c>
      <c r="E63" t="s">
        <v>67</v>
      </c>
      <c r="F63" t="s">
        <v>72</v>
      </c>
      <c r="G63">
        <v>3</v>
      </c>
      <c r="H63">
        <v>6.15</v>
      </c>
      <c r="I63">
        <v>10</v>
      </c>
      <c r="J63" t="s">
        <v>76</v>
      </c>
      <c r="K63" t="s">
        <v>77</v>
      </c>
      <c r="L63">
        <v>18.45</v>
      </c>
      <c r="M63">
        <v>1.845</v>
      </c>
      <c r="N63">
        <v>16.605</v>
      </c>
      <c r="O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 s="9" t="str">
        <f ca="1">IF(OR(ISNUMBER(Table1[[#This Row],[Order_Date]])=FALSE,Table1[[#This Row],[Order_Date]]&lt;DATE(2000,1,1),Table1[[#This Row],[Order_Date]]&gt;TODAY()),"YES","NO")</f>
        <v>NO</v>
      </c>
    </row>
    <row r="64" spans="1:16" x14ac:dyDescent="0.3">
      <c r="A64">
        <v>100059</v>
      </c>
      <c r="B64" s="8">
        <v>45294.416666666657</v>
      </c>
      <c r="C64" t="s">
        <v>14</v>
      </c>
      <c r="D64" t="s">
        <v>40</v>
      </c>
      <c r="E64" t="s">
        <v>69</v>
      </c>
      <c r="F64" t="s">
        <v>71</v>
      </c>
      <c r="G64">
        <v>4</v>
      </c>
      <c r="H64">
        <v>88.2</v>
      </c>
      <c r="I64">
        <v>5</v>
      </c>
      <c r="J64" t="s">
        <v>75</v>
      </c>
      <c r="K64" t="s">
        <v>77</v>
      </c>
      <c r="L64">
        <v>352.8</v>
      </c>
      <c r="M64">
        <v>17.64</v>
      </c>
      <c r="N64">
        <v>335.16</v>
      </c>
      <c r="O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 s="9" t="str">
        <f ca="1">IF(OR(ISNUMBER(Table1[[#This Row],[Order_Date]])=FALSE,Table1[[#This Row],[Order_Date]]&lt;DATE(2000,1,1),Table1[[#This Row],[Order_Date]]&gt;TODAY()),"YES","NO")</f>
        <v>NO</v>
      </c>
    </row>
    <row r="65" spans="1:16" x14ac:dyDescent="0.3">
      <c r="A65">
        <v>100060</v>
      </c>
      <c r="B65" s="8">
        <v>45294.458333333343</v>
      </c>
      <c r="C65" t="s">
        <v>14</v>
      </c>
      <c r="D65" t="s">
        <v>52</v>
      </c>
      <c r="E65" t="s">
        <v>67</v>
      </c>
      <c r="F65" t="s">
        <v>72</v>
      </c>
      <c r="G65">
        <v>5</v>
      </c>
      <c r="H65">
        <v>66.599999999999994</v>
      </c>
      <c r="I65">
        <v>5</v>
      </c>
      <c r="J65" t="s">
        <v>75</v>
      </c>
      <c r="K65" t="s">
        <v>77</v>
      </c>
      <c r="L65">
        <v>333</v>
      </c>
      <c r="M65">
        <v>16.649999999999999</v>
      </c>
      <c r="N65">
        <v>316.35000000000002</v>
      </c>
      <c r="O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 s="9" t="str">
        <f ca="1">IF(OR(ISNUMBER(Table1[[#This Row],[Order_Date]])=FALSE,Table1[[#This Row],[Order_Date]]&lt;DATE(2000,1,1),Table1[[#This Row],[Order_Date]]&gt;TODAY()),"YES","NO")</f>
        <v>NO</v>
      </c>
    </row>
    <row r="66" spans="1:16" x14ac:dyDescent="0.3">
      <c r="A66">
        <v>100061</v>
      </c>
      <c r="B66" s="8">
        <v>45294.5</v>
      </c>
      <c r="C66" t="s">
        <v>14</v>
      </c>
      <c r="D66" t="s">
        <v>17</v>
      </c>
      <c r="E66" t="s">
        <v>70</v>
      </c>
      <c r="F66" t="s">
        <v>72</v>
      </c>
      <c r="G66">
        <v>1</v>
      </c>
      <c r="H66">
        <v>101.15</v>
      </c>
      <c r="I66">
        <v>10</v>
      </c>
      <c r="J66" t="s">
        <v>76</v>
      </c>
      <c r="K66" t="s">
        <v>77</v>
      </c>
      <c r="L66">
        <v>101.15</v>
      </c>
      <c r="M66">
        <v>10.115</v>
      </c>
      <c r="N66">
        <v>91.034999999999997</v>
      </c>
      <c r="O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 s="9" t="str">
        <f ca="1">IF(OR(ISNUMBER(Table1[[#This Row],[Order_Date]])=FALSE,Table1[[#This Row],[Order_Date]]&lt;DATE(2000,1,1),Table1[[#This Row],[Order_Date]]&gt;TODAY()),"YES","NO")</f>
        <v>NO</v>
      </c>
    </row>
    <row r="67" spans="1:16" x14ac:dyDescent="0.3">
      <c r="A67">
        <v>100062</v>
      </c>
      <c r="B67" s="8">
        <v>45294.541666666657</v>
      </c>
      <c r="C67" t="s">
        <v>14</v>
      </c>
      <c r="D67" t="s">
        <v>24</v>
      </c>
      <c r="E67" t="s">
        <v>67</v>
      </c>
      <c r="F67" t="s">
        <v>71</v>
      </c>
      <c r="G67">
        <v>4</v>
      </c>
      <c r="H67">
        <v>99.46</v>
      </c>
      <c r="I67">
        <v>15</v>
      </c>
      <c r="J67" t="s">
        <v>75</v>
      </c>
      <c r="K67" t="s">
        <v>77</v>
      </c>
      <c r="L67">
        <v>397.84</v>
      </c>
      <c r="M67">
        <v>59.675999999999988</v>
      </c>
      <c r="N67">
        <v>338.16399999999999</v>
      </c>
      <c r="O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 s="9" t="str">
        <f ca="1">IF(OR(ISNUMBER(Table1[[#This Row],[Order_Date]])=FALSE,Table1[[#This Row],[Order_Date]]&lt;DATE(2000,1,1),Table1[[#This Row],[Order_Date]]&gt;TODAY()),"YES","NO")</f>
        <v>NO</v>
      </c>
    </row>
    <row r="68" spans="1:16" x14ac:dyDescent="0.3">
      <c r="A68">
        <v>100063</v>
      </c>
      <c r="B68" s="8">
        <v>45294.583333333343</v>
      </c>
      <c r="C68" t="s">
        <v>14</v>
      </c>
      <c r="D68" t="s">
        <v>36</v>
      </c>
      <c r="E68" t="s">
        <v>70</v>
      </c>
      <c r="F68" t="s">
        <v>71</v>
      </c>
      <c r="G68">
        <v>1</v>
      </c>
      <c r="H68">
        <v>101.98</v>
      </c>
      <c r="I68">
        <v>5</v>
      </c>
      <c r="J68" t="s">
        <v>74</v>
      </c>
      <c r="K68" t="s">
        <v>77</v>
      </c>
      <c r="L68">
        <v>101.98</v>
      </c>
      <c r="M68">
        <v>5.0990000000000002</v>
      </c>
      <c r="N68">
        <v>96.881</v>
      </c>
      <c r="O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 s="9" t="str">
        <f ca="1">IF(OR(ISNUMBER(Table1[[#This Row],[Order_Date]])=FALSE,Table1[[#This Row],[Order_Date]]&lt;DATE(2000,1,1),Table1[[#This Row],[Order_Date]]&gt;TODAY()),"YES","NO")</f>
        <v>NO</v>
      </c>
    </row>
    <row r="69" spans="1:16" x14ac:dyDescent="0.3">
      <c r="A69">
        <v>100064</v>
      </c>
      <c r="B69" s="8">
        <v>45294.625</v>
      </c>
      <c r="C69" t="s">
        <v>14</v>
      </c>
      <c r="D69" t="s">
        <v>35</v>
      </c>
      <c r="E69" t="s">
        <v>68</v>
      </c>
      <c r="F69" t="s">
        <v>71</v>
      </c>
      <c r="G69">
        <v>2</v>
      </c>
      <c r="H69">
        <v>60.79</v>
      </c>
      <c r="I69">
        <v>0</v>
      </c>
      <c r="J69" t="s">
        <v>75</v>
      </c>
      <c r="K69" t="s">
        <v>77</v>
      </c>
      <c r="L69">
        <v>121.58</v>
      </c>
      <c r="M69">
        <v>0</v>
      </c>
      <c r="N69">
        <v>121.58</v>
      </c>
      <c r="O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 s="9" t="str">
        <f ca="1">IF(OR(ISNUMBER(Table1[[#This Row],[Order_Date]])=FALSE,Table1[[#This Row],[Order_Date]]&lt;DATE(2000,1,1),Table1[[#This Row],[Order_Date]]&gt;TODAY()),"YES","NO")</f>
        <v>NO</v>
      </c>
    </row>
    <row r="70" spans="1:16" x14ac:dyDescent="0.3">
      <c r="A70">
        <v>100065</v>
      </c>
      <c r="B70" s="8">
        <v>45294.666666666657</v>
      </c>
      <c r="C70" t="s">
        <v>14</v>
      </c>
      <c r="D70" t="s">
        <v>20</v>
      </c>
      <c r="E70" t="s">
        <v>70</v>
      </c>
      <c r="F70" t="s">
        <v>71</v>
      </c>
      <c r="G70">
        <v>4</v>
      </c>
      <c r="H70">
        <v>43.37</v>
      </c>
      <c r="I70">
        <v>10</v>
      </c>
      <c r="J70" t="s">
        <v>75</v>
      </c>
      <c r="K70" t="s">
        <v>78</v>
      </c>
      <c r="L70">
        <v>173.48</v>
      </c>
      <c r="M70">
        <v>17.347999999999999</v>
      </c>
      <c r="N70">
        <v>156.13200000000001</v>
      </c>
      <c r="O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0" s="9" t="str">
        <f ca="1">IF(OR(ISNUMBER(Table1[[#This Row],[Order_Date]])=FALSE,Table1[[#This Row],[Order_Date]]&lt;DATE(2000,1,1),Table1[[#This Row],[Order_Date]]&gt;TODAY()),"YES","NO")</f>
        <v>NO</v>
      </c>
    </row>
    <row r="71" spans="1:16" x14ac:dyDescent="0.3">
      <c r="A71">
        <v>100066</v>
      </c>
      <c r="B71" s="8">
        <v>45294.708333333343</v>
      </c>
      <c r="C71" t="s">
        <v>15</v>
      </c>
      <c r="D71" t="s">
        <v>53</v>
      </c>
      <c r="E71" t="s">
        <v>70</v>
      </c>
      <c r="F71" t="s">
        <v>72</v>
      </c>
      <c r="G71">
        <v>1</v>
      </c>
      <c r="H71">
        <v>96.03</v>
      </c>
      <c r="I71">
        <v>0</v>
      </c>
      <c r="J71" t="s">
        <v>76</v>
      </c>
      <c r="K71" t="s">
        <v>77</v>
      </c>
      <c r="L71">
        <v>96.03</v>
      </c>
      <c r="M71">
        <v>0</v>
      </c>
      <c r="N71">
        <v>96.03</v>
      </c>
      <c r="O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 s="9" t="str">
        <f ca="1">IF(OR(ISNUMBER(Table1[[#This Row],[Order_Date]])=FALSE,Table1[[#This Row],[Order_Date]]&lt;DATE(2000,1,1),Table1[[#This Row],[Order_Date]]&gt;TODAY()),"YES","NO")</f>
        <v>NO</v>
      </c>
    </row>
    <row r="72" spans="1:16" x14ac:dyDescent="0.3">
      <c r="A72">
        <v>100067</v>
      </c>
      <c r="B72" s="8">
        <v>45294.75</v>
      </c>
      <c r="C72" t="s">
        <v>15</v>
      </c>
      <c r="D72" t="s">
        <v>36</v>
      </c>
      <c r="E72" t="s">
        <v>66</v>
      </c>
      <c r="F72" t="s">
        <v>72</v>
      </c>
      <c r="G72">
        <v>3</v>
      </c>
      <c r="H72">
        <v>56.9</v>
      </c>
      <c r="I72">
        <v>10</v>
      </c>
      <c r="J72" t="s">
        <v>76</v>
      </c>
      <c r="K72" t="s">
        <v>79</v>
      </c>
      <c r="L72">
        <v>170.7</v>
      </c>
      <c r="M72">
        <v>17.07</v>
      </c>
      <c r="N72">
        <v>153.63</v>
      </c>
      <c r="O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2" s="9" t="str">
        <f ca="1">IF(OR(ISNUMBER(Table1[[#This Row],[Order_Date]])=FALSE,Table1[[#This Row],[Order_Date]]&lt;DATE(2000,1,1),Table1[[#This Row],[Order_Date]]&gt;TODAY()),"YES","NO")</f>
        <v>NO</v>
      </c>
    </row>
    <row r="73" spans="1:16" x14ac:dyDescent="0.3">
      <c r="A73">
        <v>100068</v>
      </c>
      <c r="B73" s="8">
        <v>45294.791666666657</v>
      </c>
      <c r="C73" t="s">
        <v>14</v>
      </c>
      <c r="D73" t="s">
        <v>38</v>
      </c>
      <c r="E73" t="s">
        <v>69</v>
      </c>
      <c r="F73" t="s">
        <v>72</v>
      </c>
      <c r="G73">
        <v>3</v>
      </c>
      <c r="H73">
        <v>26.1</v>
      </c>
      <c r="I73">
        <v>5</v>
      </c>
      <c r="J73" t="s">
        <v>73</v>
      </c>
      <c r="K73" t="s">
        <v>77</v>
      </c>
      <c r="L73">
        <v>78.300000000000011</v>
      </c>
      <c r="M73">
        <v>3.9150000000000009</v>
      </c>
      <c r="N73">
        <v>74.385000000000005</v>
      </c>
      <c r="O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 s="9" t="str">
        <f ca="1">IF(OR(ISNUMBER(Table1[[#This Row],[Order_Date]])=FALSE,Table1[[#This Row],[Order_Date]]&lt;DATE(2000,1,1),Table1[[#This Row],[Order_Date]]&gt;TODAY()),"YES","NO")</f>
        <v>NO</v>
      </c>
    </row>
    <row r="74" spans="1:16" x14ac:dyDescent="0.3">
      <c r="A74">
        <v>100069</v>
      </c>
      <c r="B74" s="8">
        <v>45294.833333333343</v>
      </c>
      <c r="C74" t="s">
        <v>15</v>
      </c>
      <c r="D74" t="s">
        <v>54</v>
      </c>
      <c r="E74" t="s">
        <v>69</v>
      </c>
      <c r="F74" t="s">
        <v>71</v>
      </c>
      <c r="G74">
        <v>2</v>
      </c>
      <c r="H74">
        <v>103.32</v>
      </c>
      <c r="I74">
        <v>15</v>
      </c>
      <c r="J74" t="s">
        <v>73</v>
      </c>
      <c r="K74" t="s">
        <v>77</v>
      </c>
      <c r="L74">
        <v>206.64</v>
      </c>
      <c r="M74">
        <v>30.995999999999999</v>
      </c>
      <c r="N74">
        <v>175.64400000000001</v>
      </c>
      <c r="O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 s="9" t="str">
        <f ca="1">IF(OR(ISNUMBER(Table1[[#This Row],[Order_Date]])=FALSE,Table1[[#This Row],[Order_Date]]&lt;DATE(2000,1,1),Table1[[#This Row],[Order_Date]]&gt;TODAY()),"YES","NO")</f>
        <v>NO</v>
      </c>
    </row>
    <row r="75" spans="1:16" x14ac:dyDescent="0.3">
      <c r="A75">
        <v>100070</v>
      </c>
      <c r="B75" s="8">
        <v>45294.875</v>
      </c>
      <c r="C75" t="s">
        <v>15</v>
      </c>
      <c r="D75" t="s">
        <v>37</v>
      </c>
      <c r="E75" t="s">
        <v>68</v>
      </c>
      <c r="F75" t="s">
        <v>72</v>
      </c>
      <c r="G75">
        <v>4</v>
      </c>
      <c r="H75">
        <v>106.49</v>
      </c>
      <c r="I75">
        <v>10</v>
      </c>
      <c r="J75" t="s">
        <v>76</v>
      </c>
      <c r="K75" t="s">
        <v>78</v>
      </c>
      <c r="L75">
        <v>425.96</v>
      </c>
      <c r="M75">
        <v>42.595999999999997</v>
      </c>
      <c r="N75">
        <v>383.36399999999998</v>
      </c>
      <c r="O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5" s="9" t="str">
        <f ca="1">IF(OR(ISNUMBER(Table1[[#This Row],[Order_Date]])=FALSE,Table1[[#This Row],[Order_Date]]&lt;DATE(2000,1,1),Table1[[#This Row],[Order_Date]]&gt;TODAY()),"YES","NO")</f>
        <v>NO</v>
      </c>
    </row>
    <row r="76" spans="1:16" x14ac:dyDescent="0.3">
      <c r="A76">
        <v>100071</v>
      </c>
      <c r="B76" s="8">
        <v>45294.916666666657</v>
      </c>
      <c r="C76" t="s">
        <v>15</v>
      </c>
      <c r="D76" t="s">
        <v>44</v>
      </c>
      <c r="E76" t="s">
        <v>68</v>
      </c>
      <c r="F76" t="s">
        <v>71</v>
      </c>
      <c r="G76">
        <v>4</v>
      </c>
      <c r="H76">
        <v>58.63</v>
      </c>
      <c r="I76">
        <v>10</v>
      </c>
      <c r="J76" t="s">
        <v>75</v>
      </c>
      <c r="K76" t="s">
        <v>77</v>
      </c>
      <c r="L76">
        <v>234.52</v>
      </c>
      <c r="M76">
        <v>23.452000000000002</v>
      </c>
      <c r="N76">
        <v>211.06800000000001</v>
      </c>
      <c r="O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 s="9" t="str">
        <f ca="1">IF(OR(ISNUMBER(Table1[[#This Row],[Order_Date]])=FALSE,Table1[[#This Row],[Order_Date]]&lt;DATE(2000,1,1),Table1[[#This Row],[Order_Date]]&gt;TODAY()),"YES","NO")</f>
        <v>NO</v>
      </c>
    </row>
    <row r="77" spans="1:16" x14ac:dyDescent="0.3">
      <c r="A77">
        <v>100072</v>
      </c>
      <c r="B77" s="8">
        <v>45294.958333333343</v>
      </c>
      <c r="C77" t="s">
        <v>15</v>
      </c>
      <c r="D77" t="s">
        <v>21</v>
      </c>
      <c r="E77" t="s">
        <v>69</v>
      </c>
      <c r="F77" t="s">
        <v>71</v>
      </c>
      <c r="G77">
        <v>4</v>
      </c>
      <c r="H77">
        <v>13.71</v>
      </c>
      <c r="I77">
        <v>0</v>
      </c>
      <c r="J77" t="s">
        <v>75</v>
      </c>
      <c r="K77" t="s">
        <v>77</v>
      </c>
      <c r="L77">
        <v>54.84</v>
      </c>
      <c r="M77">
        <v>0</v>
      </c>
      <c r="N77">
        <v>54.84</v>
      </c>
      <c r="O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 s="9" t="str">
        <f ca="1">IF(OR(ISNUMBER(Table1[[#This Row],[Order_Date]])=FALSE,Table1[[#This Row],[Order_Date]]&lt;DATE(2000,1,1),Table1[[#This Row],[Order_Date]]&gt;TODAY()),"YES","NO")</f>
        <v>NO</v>
      </c>
    </row>
    <row r="78" spans="1:16" x14ac:dyDescent="0.3">
      <c r="A78">
        <v>100073</v>
      </c>
      <c r="B78" s="8">
        <v>45295</v>
      </c>
      <c r="C78" t="s">
        <v>14</v>
      </c>
      <c r="D78" t="s">
        <v>46</v>
      </c>
      <c r="E78" t="s">
        <v>66</v>
      </c>
      <c r="F78" t="s">
        <v>71</v>
      </c>
      <c r="G78">
        <v>2</v>
      </c>
      <c r="H78">
        <v>49.6</v>
      </c>
      <c r="I78">
        <v>5</v>
      </c>
      <c r="J78" t="s">
        <v>73</v>
      </c>
      <c r="K78" t="s">
        <v>79</v>
      </c>
      <c r="L78">
        <v>99.2</v>
      </c>
      <c r="M78">
        <v>4.9600000000000009</v>
      </c>
      <c r="N78">
        <v>94.240000000000009</v>
      </c>
      <c r="O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8" s="9" t="str">
        <f ca="1">IF(OR(ISNUMBER(Table1[[#This Row],[Order_Date]])=FALSE,Table1[[#This Row],[Order_Date]]&lt;DATE(2000,1,1),Table1[[#This Row],[Order_Date]]&gt;TODAY()),"YES","NO")</f>
        <v>NO</v>
      </c>
    </row>
    <row r="79" spans="1:16" x14ac:dyDescent="0.3">
      <c r="A79">
        <v>100074</v>
      </c>
      <c r="B79" s="8">
        <v>45295.041666666657</v>
      </c>
      <c r="C79" t="s">
        <v>15</v>
      </c>
      <c r="D79" t="s">
        <v>55</v>
      </c>
      <c r="E79" t="s">
        <v>69</v>
      </c>
      <c r="F79" t="s">
        <v>71</v>
      </c>
      <c r="G79">
        <v>4</v>
      </c>
      <c r="H79">
        <v>97.41</v>
      </c>
      <c r="I79">
        <v>0</v>
      </c>
      <c r="J79" t="s">
        <v>73</v>
      </c>
      <c r="K79" t="s">
        <v>77</v>
      </c>
      <c r="L79">
        <v>389.64</v>
      </c>
      <c r="M79">
        <v>0</v>
      </c>
      <c r="N79">
        <v>389.64</v>
      </c>
      <c r="O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 s="9" t="str">
        <f ca="1">IF(OR(ISNUMBER(Table1[[#This Row],[Order_Date]])=FALSE,Table1[[#This Row],[Order_Date]]&lt;DATE(2000,1,1),Table1[[#This Row],[Order_Date]]&gt;TODAY()),"YES","NO")</f>
        <v>NO</v>
      </c>
    </row>
    <row r="80" spans="1:16" x14ac:dyDescent="0.3">
      <c r="A80">
        <v>100075</v>
      </c>
      <c r="B80" s="8">
        <v>45295.083333333343</v>
      </c>
      <c r="C80" t="s">
        <v>14</v>
      </c>
      <c r="D80" t="s">
        <v>56</v>
      </c>
      <c r="E80" t="s">
        <v>66</v>
      </c>
      <c r="F80" t="s">
        <v>71</v>
      </c>
      <c r="G80">
        <v>3</v>
      </c>
      <c r="H80">
        <v>108.7</v>
      </c>
      <c r="I80">
        <v>5</v>
      </c>
      <c r="J80" t="s">
        <v>73</v>
      </c>
      <c r="K80" t="s">
        <v>77</v>
      </c>
      <c r="L80">
        <v>326.10000000000002</v>
      </c>
      <c r="M80">
        <v>16.305</v>
      </c>
      <c r="N80">
        <v>309.79500000000002</v>
      </c>
      <c r="O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 s="9" t="str">
        <f ca="1">IF(OR(ISNUMBER(Table1[[#This Row],[Order_Date]])=FALSE,Table1[[#This Row],[Order_Date]]&lt;DATE(2000,1,1),Table1[[#This Row],[Order_Date]]&gt;TODAY()),"YES","NO")</f>
        <v>NO</v>
      </c>
    </row>
    <row r="81" spans="1:16" x14ac:dyDescent="0.3">
      <c r="A81">
        <v>100076</v>
      </c>
      <c r="B81" s="8">
        <v>45295.125</v>
      </c>
      <c r="C81" t="s">
        <v>15</v>
      </c>
      <c r="D81" t="s">
        <v>41</v>
      </c>
      <c r="E81" t="s">
        <v>68</v>
      </c>
      <c r="F81" t="s">
        <v>71</v>
      </c>
      <c r="G81">
        <v>1</v>
      </c>
      <c r="H81">
        <v>28.4</v>
      </c>
      <c r="I81">
        <v>0</v>
      </c>
      <c r="J81" t="s">
        <v>74</v>
      </c>
      <c r="K81" t="s">
        <v>77</v>
      </c>
      <c r="L81">
        <v>28.4</v>
      </c>
      <c r="M81">
        <v>0</v>
      </c>
      <c r="N81">
        <v>28.4</v>
      </c>
      <c r="O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 s="9" t="str">
        <f ca="1">IF(OR(ISNUMBER(Table1[[#This Row],[Order_Date]])=FALSE,Table1[[#This Row],[Order_Date]]&lt;DATE(2000,1,1),Table1[[#This Row],[Order_Date]]&gt;TODAY()),"YES","NO")</f>
        <v>NO</v>
      </c>
    </row>
    <row r="82" spans="1:16" x14ac:dyDescent="0.3">
      <c r="A82">
        <v>100077</v>
      </c>
      <c r="B82" s="8">
        <v>45295.166666666657</v>
      </c>
      <c r="C82" t="s">
        <v>15</v>
      </c>
      <c r="D82" t="s">
        <v>44</v>
      </c>
      <c r="E82" t="s">
        <v>67</v>
      </c>
      <c r="F82" t="s">
        <v>72</v>
      </c>
      <c r="G82">
        <v>3</v>
      </c>
      <c r="H82">
        <v>12.7</v>
      </c>
      <c r="I82">
        <v>10</v>
      </c>
      <c r="J82" t="s">
        <v>74</v>
      </c>
      <c r="K82" t="s">
        <v>77</v>
      </c>
      <c r="L82">
        <v>38.099999999999987</v>
      </c>
      <c r="M82">
        <v>3.81</v>
      </c>
      <c r="N82">
        <v>34.289999999999992</v>
      </c>
      <c r="O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 s="9" t="str">
        <f ca="1">IF(OR(ISNUMBER(Table1[[#This Row],[Order_Date]])=FALSE,Table1[[#This Row],[Order_Date]]&lt;DATE(2000,1,1),Table1[[#This Row],[Order_Date]]&gt;TODAY()),"YES","NO")</f>
        <v>NO</v>
      </c>
    </row>
    <row r="83" spans="1:16" x14ac:dyDescent="0.3">
      <c r="A83">
        <v>100078</v>
      </c>
      <c r="B83" s="8">
        <v>45295.208333333343</v>
      </c>
      <c r="C83" t="s">
        <v>15</v>
      </c>
      <c r="D83" t="s">
        <v>48</v>
      </c>
      <c r="E83" t="s">
        <v>68</v>
      </c>
      <c r="F83" t="s">
        <v>71</v>
      </c>
      <c r="G83">
        <v>3</v>
      </c>
      <c r="H83">
        <v>105.9</v>
      </c>
      <c r="I83">
        <v>0</v>
      </c>
      <c r="J83" t="s">
        <v>73</v>
      </c>
      <c r="K83" t="s">
        <v>77</v>
      </c>
      <c r="L83">
        <v>317.7</v>
      </c>
      <c r="M83">
        <v>0</v>
      </c>
      <c r="N83">
        <v>317.7</v>
      </c>
      <c r="O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 s="9" t="str">
        <f ca="1">IF(OR(ISNUMBER(Table1[[#This Row],[Order_Date]])=FALSE,Table1[[#This Row],[Order_Date]]&lt;DATE(2000,1,1),Table1[[#This Row],[Order_Date]]&gt;TODAY()),"YES","NO")</f>
        <v>NO</v>
      </c>
    </row>
    <row r="84" spans="1:16" x14ac:dyDescent="0.3">
      <c r="A84">
        <v>100079</v>
      </c>
      <c r="B84" s="8">
        <v>45295.25</v>
      </c>
      <c r="C84" t="s">
        <v>14</v>
      </c>
      <c r="D84" t="s">
        <v>34</v>
      </c>
      <c r="E84" t="s">
        <v>68</v>
      </c>
      <c r="F84" t="s">
        <v>72</v>
      </c>
      <c r="G84">
        <v>1</v>
      </c>
      <c r="H84">
        <v>49.78</v>
      </c>
      <c r="I84">
        <v>15</v>
      </c>
      <c r="J84" t="s">
        <v>75</v>
      </c>
      <c r="K84" t="s">
        <v>77</v>
      </c>
      <c r="L84">
        <v>49.78</v>
      </c>
      <c r="M84">
        <v>7.4669999999999996</v>
      </c>
      <c r="N84">
        <v>42.313000000000002</v>
      </c>
      <c r="O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 s="9" t="str">
        <f ca="1">IF(OR(ISNUMBER(Table1[[#This Row],[Order_Date]])=FALSE,Table1[[#This Row],[Order_Date]]&lt;DATE(2000,1,1),Table1[[#This Row],[Order_Date]]&gt;TODAY()),"YES","NO")</f>
        <v>NO</v>
      </c>
    </row>
    <row r="85" spans="1:16" x14ac:dyDescent="0.3">
      <c r="A85">
        <v>100080</v>
      </c>
      <c r="B85" s="8">
        <v>45295.291666666657</v>
      </c>
      <c r="C85" t="s">
        <v>15</v>
      </c>
      <c r="D85" t="s">
        <v>57</v>
      </c>
      <c r="E85" t="s">
        <v>70</v>
      </c>
      <c r="F85" t="s">
        <v>72</v>
      </c>
      <c r="G85">
        <v>3</v>
      </c>
      <c r="H85">
        <v>67.3</v>
      </c>
      <c r="I85">
        <v>5</v>
      </c>
      <c r="J85" t="s">
        <v>73</v>
      </c>
      <c r="K85" t="s">
        <v>77</v>
      </c>
      <c r="L85">
        <v>201.9</v>
      </c>
      <c r="M85">
        <v>10.095000000000001</v>
      </c>
      <c r="N85">
        <v>191.80500000000001</v>
      </c>
      <c r="O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 s="9" t="str">
        <f ca="1">IF(OR(ISNUMBER(Table1[[#This Row],[Order_Date]])=FALSE,Table1[[#This Row],[Order_Date]]&lt;DATE(2000,1,1),Table1[[#This Row],[Order_Date]]&gt;TODAY()),"YES","NO")</f>
        <v>NO</v>
      </c>
    </row>
    <row r="86" spans="1:16" x14ac:dyDescent="0.3">
      <c r="A86">
        <v>100081</v>
      </c>
      <c r="B86" s="8">
        <v>45295.333333333343</v>
      </c>
      <c r="C86" t="s">
        <v>14</v>
      </c>
      <c r="D86" t="s">
        <v>36</v>
      </c>
      <c r="E86" t="s">
        <v>70</v>
      </c>
      <c r="F86" t="s">
        <v>71</v>
      </c>
      <c r="G86">
        <v>2</v>
      </c>
      <c r="H86">
        <v>116.33</v>
      </c>
      <c r="I86">
        <v>5</v>
      </c>
      <c r="J86" t="s">
        <v>74</v>
      </c>
      <c r="K86" t="s">
        <v>77</v>
      </c>
      <c r="L86">
        <v>232.66</v>
      </c>
      <c r="M86">
        <v>11.632999999999999</v>
      </c>
      <c r="N86">
        <v>221.02699999999999</v>
      </c>
      <c r="O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 s="9" t="str">
        <f ca="1">IF(OR(ISNUMBER(Table1[[#This Row],[Order_Date]])=FALSE,Table1[[#This Row],[Order_Date]]&lt;DATE(2000,1,1),Table1[[#This Row],[Order_Date]]&gt;TODAY()),"YES","NO")</f>
        <v>NO</v>
      </c>
    </row>
    <row r="87" spans="1:16" x14ac:dyDescent="0.3">
      <c r="A87">
        <v>100082</v>
      </c>
      <c r="B87" s="8">
        <v>45295.375</v>
      </c>
      <c r="C87" t="s">
        <v>15</v>
      </c>
      <c r="D87" t="s">
        <v>58</v>
      </c>
      <c r="E87" t="s">
        <v>70</v>
      </c>
      <c r="F87" t="s">
        <v>71</v>
      </c>
      <c r="G87">
        <v>1</v>
      </c>
      <c r="H87">
        <v>12.65</v>
      </c>
      <c r="I87">
        <v>10</v>
      </c>
      <c r="J87" t="s">
        <v>75</v>
      </c>
      <c r="K87" t="s">
        <v>77</v>
      </c>
      <c r="L87">
        <v>12.65</v>
      </c>
      <c r="M87">
        <v>1.2649999999999999</v>
      </c>
      <c r="N87">
        <v>11.385</v>
      </c>
      <c r="O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 s="9" t="str">
        <f ca="1">IF(OR(ISNUMBER(Table1[[#This Row],[Order_Date]])=FALSE,Table1[[#This Row],[Order_Date]]&lt;DATE(2000,1,1),Table1[[#This Row],[Order_Date]]&gt;TODAY()),"YES","NO")</f>
        <v>NO</v>
      </c>
    </row>
    <row r="88" spans="1:16" x14ac:dyDescent="0.3">
      <c r="A88">
        <v>100083</v>
      </c>
      <c r="B88" s="8">
        <v>45295.416666666657</v>
      </c>
      <c r="C88" t="s">
        <v>14</v>
      </c>
      <c r="D88" t="s">
        <v>28</v>
      </c>
      <c r="E88" t="s">
        <v>70</v>
      </c>
      <c r="F88" t="s">
        <v>71</v>
      </c>
      <c r="G88">
        <v>3</v>
      </c>
      <c r="H88">
        <v>79.56</v>
      </c>
      <c r="I88">
        <v>5</v>
      </c>
      <c r="J88" t="s">
        <v>74</v>
      </c>
      <c r="K88" t="s">
        <v>77</v>
      </c>
      <c r="L88">
        <v>238.68</v>
      </c>
      <c r="M88">
        <v>11.933999999999999</v>
      </c>
      <c r="N88">
        <v>226.74600000000001</v>
      </c>
      <c r="O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 s="9" t="str">
        <f ca="1">IF(OR(ISNUMBER(Table1[[#This Row],[Order_Date]])=FALSE,Table1[[#This Row],[Order_Date]]&lt;DATE(2000,1,1),Table1[[#This Row],[Order_Date]]&gt;TODAY()),"YES","NO")</f>
        <v>NO</v>
      </c>
    </row>
    <row r="89" spans="1:16" x14ac:dyDescent="0.3">
      <c r="A89">
        <v>100084</v>
      </c>
      <c r="B89" s="8">
        <v>45295.458333333343</v>
      </c>
      <c r="C89" t="s">
        <v>15</v>
      </c>
      <c r="D89" t="s">
        <v>33</v>
      </c>
      <c r="E89" t="s">
        <v>66</v>
      </c>
      <c r="F89" t="s">
        <v>72</v>
      </c>
      <c r="G89">
        <v>5</v>
      </c>
      <c r="H89">
        <v>13.52</v>
      </c>
      <c r="I89">
        <v>15</v>
      </c>
      <c r="J89" t="s">
        <v>75</v>
      </c>
      <c r="K89" t="s">
        <v>77</v>
      </c>
      <c r="L89">
        <v>67.599999999999994</v>
      </c>
      <c r="M89">
        <v>10.14</v>
      </c>
      <c r="N89">
        <v>57.459999999999987</v>
      </c>
      <c r="O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 s="9" t="str">
        <f ca="1">IF(OR(ISNUMBER(Table1[[#This Row],[Order_Date]])=FALSE,Table1[[#This Row],[Order_Date]]&lt;DATE(2000,1,1),Table1[[#This Row],[Order_Date]]&gt;TODAY()),"YES","NO")</f>
        <v>NO</v>
      </c>
    </row>
    <row r="90" spans="1:16" x14ac:dyDescent="0.3">
      <c r="A90">
        <v>100085</v>
      </c>
      <c r="B90" s="8">
        <v>45295.5</v>
      </c>
      <c r="C90" t="s">
        <v>14</v>
      </c>
      <c r="D90" t="s">
        <v>33</v>
      </c>
      <c r="E90" t="s">
        <v>69</v>
      </c>
      <c r="F90" t="s">
        <v>71</v>
      </c>
      <c r="G90">
        <v>3</v>
      </c>
      <c r="H90">
        <v>48.18</v>
      </c>
      <c r="I90">
        <v>0</v>
      </c>
      <c r="J90" t="s">
        <v>74</v>
      </c>
      <c r="K90" t="s">
        <v>77</v>
      </c>
      <c r="L90">
        <v>144.54</v>
      </c>
      <c r="M90">
        <v>0</v>
      </c>
      <c r="N90">
        <v>144.54</v>
      </c>
      <c r="O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 s="9" t="str">
        <f ca="1">IF(OR(ISNUMBER(Table1[[#This Row],[Order_Date]])=FALSE,Table1[[#This Row],[Order_Date]]&lt;DATE(2000,1,1),Table1[[#This Row],[Order_Date]]&gt;TODAY()),"YES","NO")</f>
        <v>NO</v>
      </c>
    </row>
    <row r="91" spans="1:16" x14ac:dyDescent="0.3">
      <c r="A91">
        <v>100086</v>
      </c>
      <c r="B91" s="8">
        <v>45295.541666666657</v>
      </c>
      <c r="C91" t="s">
        <v>14</v>
      </c>
      <c r="D91" t="s">
        <v>16</v>
      </c>
      <c r="E91" t="s">
        <v>67</v>
      </c>
      <c r="F91" t="s">
        <v>72</v>
      </c>
      <c r="G91">
        <v>2</v>
      </c>
      <c r="H91">
        <v>97.44</v>
      </c>
      <c r="I91">
        <v>10</v>
      </c>
      <c r="J91" t="s">
        <v>75</v>
      </c>
      <c r="K91" t="s">
        <v>77</v>
      </c>
      <c r="L91">
        <v>194.88</v>
      </c>
      <c r="M91">
        <v>19.488</v>
      </c>
      <c r="N91">
        <v>175.392</v>
      </c>
      <c r="O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 s="9" t="str">
        <f ca="1">IF(OR(ISNUMBER(Table1[[#This Row],[Order_Date]])=FALSE,Table1[[#This Row],[Order_Date]]&lt;DATE(2000,1,1),Table1[[#This Row],[Order_Date]]&gt;TODAY()),"YES","NO")</f>
        <v>NO</v>
      </c>
    </row>
    <row r="92" spans="1:16" x14ac:dyDescent="0.3">
      <c r="A92">
        <v>100087</v>
      </c>
      <c r="B92" s="8">
        <v>45295.583333333343</v>
      </c>
      <c r="C92" t="s">
        <v>15</v>
      </c>
      <c r="D92" t="s">
        <v>22</v>
      </c>
      <c r="E92" t="s">
        <v>68</v>
      </c>
      <c r="F92" t="s">
        <v>71</v>
      </c>
      <c r="G92">
        <v>4</v>
      </c>
      <c r="H92">
        <v>54.85</v>
      </c>
      <c r="I92">
        <v>15</v>
      </c>
      <c r="J92" t="s">
        <v>75</v>
      </c>
      <c r="K92" t="s">
        <v>77</v>
      </c>
      <c r="L92">
        <v>219.4</v>
      </c>
      <c r="M92">
        <v>32.909999999999997</v>
      </c>
      <c r="N92">
        <v>186.49</v>
      </c>
      <c r="O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 s="9" t="str">
        <f ca="1">IF(OR(ISNUMBER(Table1[[#This Row],[Order_Date]])=FALSE,Table1[[#This Row],[Order_Date]]&lt;DATE(2000,1,1),Table1[[#This Row],[Order_Date]]&gt;TODAY()),"YES","NO")</f>
        <v>NO</v>
      </c>
    </row>
    <row r="93" spans="1:16" x14ac:dyDescent="0.3">
      <c r="A93">
        <v>100088</v>
      </c>
      <c r="B93" s="8">
        <v>45295.625</v>
      </c>
      <c r="C93" t="s">
        <v>14</v>
      </c>
      <c r="D93" t="s">
        <v>29</v>
      </c>
      <c r="E93" t="s">
        <v>66</v>
      </c>
      <c r="F93" t="s">
        <v>71</v>
      </c>
      <c r="G93">
        <v>3</v>
      </c>
      <c r="H93">
        <v>119.68</v>
      </c>
      <c r="I93">
        <v>5</v>
      </c>
      <c r="J93" t="s">
        <v>75</v>
      </c>
      <c r="K93" t="s">
        <v>77</v>
      </c>
      <c r="L93">
        <v>359.04</v>
      </c>
      <c r="M93">
        <v>17.952000000000002</v>
      </c>
      <c r="N93">
        <v>341.08800000000002</v>
      </c>
      <c r="O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 s="9" t="str">
        <f ca="1">IF(OR(ISNUMBER(Table1[[#This Row],[Order_Date]])=FALSE,Table1[[#This Row],[Order_Date]]&lt;DATE(2000,1,1),Table1[[#This Row],[Order_Date]]&gt;TODAY()),"YES","NO")</f>
        <v>NO</v>
      </c>
    </row>
    <row r="94" spans="1:16" x14ac:dyDescent="0.3">
      <c r="A94">
        <v>100089</v>
      </c>
      <c r="B94" s="8">
        <v>45295.666666666657</v>
      </c>
      <c r="C94" t="s">
        <v>15</v>
      </c>
      <c r="D94" t="s">
        <v>49</v>
      </c>
      <c r="E94" t="s">
        <v>67</v>
      </c>
      <c r="F94" t="s">
        <v>72</v>
      </c>
      <c r="G94">
        <v>4</v>
      </c>
      <c r="H94">
        <v>69.290000000000006</v>
      </c>
      <c r="I94">
        <v>5</v>
      </c>
      <c r="J94" t="s">
        <v>75</v>
      </c>
      <c r="K94" t="s">
        <v>77</v>
      </c>
      <c r="L94">
        <v>277.16000000000003</v>
      </c>
      <c r="M94">
        <v>13.858000000000001</v>
      </c>
      <c r="N94">
        <v>263.30200000000002</v>
      </c>
      <c r="O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 s="9" t="str">
        <f ca="1">IF(OR(ISNUMBER(Table1[[#This Row],[Order_Date]])=FALSE,Table1[[#This Row],[Order_Date]]&lt;DATE(2000,1,1),Table1[[#This Row],[Order_Date]]&gt;TODAY()),"YES","NO")</f>
        <v>NO</v>
      </c>
    </row>
    <row r="95" spans="1:16" x14ac:dyDescent="0.3">
      <c r="A95">
        <v>100090</v>
      </c>
      <c r="B95" s="8">
        <v>45295.708333333343</v>
      </c>
      <c r="C95" t="s">
        <v>15</v>
      </c>
      <c r="D95" t="s">
        <v>59</v>
      </c>
      <c r="E95" t="s">
        <v>66</v>
      </c>
      <c r="F95" t="s">
        <v>72</v>
      </c>
      <c r="G95">
        <v>5</v>
      </c>
      <c r="H95">
        <v>41.93</v>
      </c>
      <c r="I95">
        <v>15</v>
      </c>
      <c r="J95" t="s">
        <v>76</v>
      </c>
      <c r="K95" t="s">
        <v>78</v>
      </c>
      <c r="L95">
        <v>209.65</v>
      </c>
      <c r="M95">
        <v>31.447500000000002</v>
      </c>
      <c r="N95">
        <v>178.20249999999999</v>
      </c>
      <c r="O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5" s="9" t="str">
        <f ca="1">IF(OR(ISNUMBER(Table1[[#This Row],[Order_Date]])=FALSE,Table1[[#This Row],[Order_Date]]&lt;DATE(2000,1,1),Table1[[#This Row],[Order_Date]]&gt;TODAY()),"YES","NO")</f>
        <v>NO</v>
      </c>
    </row>
    <row r="96" spans="1:16" x14ac:dyDescent="0.3">
      <c r="A96">
        <v>100091</v>
      </c>
      <c r="B96" s="8">
        <v>45295.75</v>
      </c>
      <c r="C96" t="s">
        <v>15</v>
      </c>
      <c r="D96" t="s">
        <v>50</v>
      </c>
      <c r="E96" t="s">
        <v>66</v>
      </c>
      <c r="F96" t="s">
        <v>71</v>
      </c>
      <c r="G96">
        <v>3</v>
      </c>
      <c r="H96">
        <v>30.31</v>
      </c>
      <c r="I96">
        <v>0</v>
      </c>
      <c r="J96" t="s">
        <v>74</v>
      </c>
      <c r="K96" t="s">
        <v>77</v>
      </c>
      <c r="L96">
        <v>90.929999999999993</v>
      </c>
      <c r="M96">
        <v>0</v>
      </c>
      <c r="N96">
        <v>90.929999999999993</v>
      </c>
      <c r="O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 s="9" t="str">
        <f ca="1">IF(OR(ISNUMBER(Table1[[#This Row],[Order_Date]])=FALSE,Table1[[#This Row],[Order_Date]]&lt;DATE(2000,1,1),Table1[[#This Row],[Order_Date]]&gt;TODAY()),"YES","NO")</f>
        <v>NO</v>
      </c>
    </row>
    <row r="97" spans="1:16" x14ac:dyDescent="0.3">
      <c r="A97">
        <v>100092</v>
      </c>
      <c r="B97" s="8">
        <v>45295.791666666657</v>
      </c>
      <c r="C97" t="s">
        <v>15</v>
      </c>
      <c r="D97" t="s">
        <v>40</v>
      </c>
      <c r="E97" t="s">
        <v>68</v>
      </c>
      <c r="F97" t="s">
        <v>72</v>
      </c>
      <c r="G97">
        <v>1</v>
      </c>
      <c r="H97">
        <v>45.31</v>
      </c>
      <c r="I97">
        <v>0</v>
      </c>
      <c r="J97" t="s">
        <v>74</v>
      </c>
      <c r="K97" t="s">
        <v>77</v>
      </c>
      <c r="L97">
        <v>45.31</v>
      </c>
      <c r="M97">
        <v>0</v>
      </c>
      <c r="N97">
        <v>45.31</v>
      </c>
      <c r="O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 s="9" t="str">
        <f ca="1">IF(OR(ISNUMBER(Table1[[#This Row],[Order_Date]])=FALSE,Table1[[#This Row],[Order_Date]]&lt;DATE(2000,1,1),Table1[[#This Row],[Order_Date]]&gt;TODAY()),"YES","NO")</f>
        <v>NO</v>
      </c>
    </row>
    <row r="98" spans="1:16" x14ac:dyDescent="0.3">
      <c r="A98">
        <v>100093</v>
      </c>
      <c r="B98" s="8">
        <v>45295.833333333343</v>
      </c>
      <c r="C98" t="s">
        <v>15</v>
      </c>
      <c r="D98" t="s">
        <v>52</v>
      </c>
      <c r="E98" t="s">
        <v>69</v>
      </c>
      <c r="F98" t="s">
        <v>72</v>
      </c>
      <c r="G98">
        <v>4</v>
      </c>
      <c r="H98">
        <v>47.84</v>
      </c>
      <c r="I98">
        <v>10</v>
      </c>
      <c r="J98" t="s">
        <v>76</v>
      </c>
      <c r="K98" t="s">
        <v>77</v>
      </c>
      <c r="L98">
        <v>191.36</v>
      </c>
      <c r="M98">
        <v>19.135999999999999</v>
      </c>
      <c r="N98">
        <v>172.22399999999999</v>
      </c>
      <c r="O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 s="9" t="str">
        <f ca="1">IF(OR(ISNUMBER(Table1[[#This Row],[Order_Date]])=FALSE,Table1[[#This Row],[Order_Date]]&lt;DATE(2000,1,1),Table1[[#This Row],[Order_Date]]&gt;TODAY()),"YES","NO")</f>
        <v>NO</v>
      </c>
    </row>
    <row r="99" spans="1:16" x14ac:dyDescent="0.3">
      <c r="A99">
        <v>100094</v>
      </c>
      <c r="B99" s="8">
        <v>45295.875</v>
      </c>
      <c r="C99" t="s">
        <v>15</v>
      </c>
      <c r="D99" t="s">
        <v>31</v>
      </c>
      <c r="E99" t="s">
        <v>70</v>
      </c>
      <c r="F99" t="s">
        <v>72</v>
      </c>
      <c r="G99">
        <v>5</v>
      </c>
      <c r="H99">
        <v>12.9</v>
      </c>
      <c r="I99">
        <v>5</v>
      </c>
      <c r="J99" t="s">
        <v>75</v>
      </c>
      <c r="K99" t="s">
        <v>77</v>
      </c>
      <c r="L99">
        <v>64.5</v>
      </c>
      <c r="M99">
        <v>3.2250000000000001</v>
      </c>
      <c r="N99">
        <v>61.274999999999999</v>
      </c>
      <c r="O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 s="9" t="str">
        <f ca="1">IF(OR(ISNUMBER(Table1[[#This Row],[Order_Date]])=FALSE,Table1[[#This Row],[Order_Date]]&lt;DATE(2000,1,1),Table1[[#This Row],[Order_Date]]&gt;TODAY()),"YES","NO")</f>
        <v>NO</v>
      </c>
    </row>
    <row r="100" spans="1:16" x14ac:dyDescent="0.3">
      <c r="A100">
        <v>100095</v>
      </c>
      <c r="B100" s="8">
        <v>45295.916666666657</v>
      </c>
      <c r="C100" t="s">
        <v>15</v>
      </c>
      <c r="D100" t="s">
        <v>39</v>
      </c>
      <c r="E100" t="s">
        <v>69</v>
      </c>
      <c r="F100" t="s">
        <v>72</v>
      </c>
      <c r="G100">
        <v>1</v>
      </c>
      <c r="H100">
        <v>47.5</v>
      </c>
      <c r="I100">
        <v>15</v>
      </c>
      <c r="J100" t="s">
        <v>75</v>
      </c>
      <c r="K100" t="s">
        <v>78</v>
      </c>
      <c r="L100">
        <v>47.5</v>
      </c>
      <c r="M100">
        <v>7.125</v>
      </c>
      <c r="N100">
        <v>40.375</v>
      </c>
      <c r="O1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00" s="9" t="str">
        <f ca="1">IF(OR(ISNUMBER(Table1[[#This Row],[Order_Date]])=FALSE,Table1[[#This Row],[Order_Date]]&lt;DATE(2000,1,1),Table1[[#This Row],[Order_Date]]&gt;TODAY()),"YES","NO")</f>
        <v>NO</v>
      </c>
    </row>
    <row r="101" spans="1:16" x14ac:dyDescent="0.3">
      <c r="A101">
        <v>100096</v>
      </c>
      <c r="B101" s="8">
        <v>45295.958333333343</v>
      </c>
      <c r="C101" t="s">
        <v>15</v>
      </c>
      <c r="D101" t="s">
        <v>56</v>
      </c>
      <c r="E101" t="s">
        <v>68</v>
      </c>
      <c r="F101" t="s">
        <v>72</v>
      </c>
      <c r="G101">
        <v>1</v>
      </c>
      <c r="H101">
        <v>58.39</v>
      </c>
      <c r="I101">
        <v>0</v>
      </c>
      <c r="J101" t="s">
        <v>74</v>
      </c>
      <c r="K101" t="s">
        <v>78</v>
      </c>
      <c r="L101">
        <v>58.39</v>
      </c>
      <c r="M101">
        <v>0</v>
      </c>
      <c r="N101">
        <v>58.39</v>
      </c>
      <c r="O1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01" s="9" t="str">
        <f ca="1">IF(OR(ISNUMBER(Table1[[#This Row],[Order_Date]])=FALSE,Table1[[#This Row],[Order_Date]]&lt;DATE(2000,1,1),Table1[[#This Row],[Order_Date]]&gt;TODAY()),"YES","NO")</f>
        <v>NO</v>
      </c>
    </row>
    <row r="102" spans="1:16" x14ac:dyDescent="0.3">
      <c r="A102">
        <v>100097</v>
      </c>
      <c r="B102" s="8">
        <v>45296</v>
      </c>
      <c r="C102" t="s">
        <v>15</v>
      </c>
      <c r="D102" t="s">
        <v>47</v>
      </c>
      <c r="E102" t="s">
        <v>68</v>
      </c>
      <c r="F102" t="s">
        <v>71</v>
      </c>
      <c r="G102">
        <v>1</v>
      </c>
      <c r="H102">
        <v>88.11</v>
      </c>
      <c r="I102">
        <v>10</v>
      </c>
      <c r="J102" t="s">
        <v>76</v>
      </c>
      <c r="K102" t="s">
        <v>77</v>
      </c>
      <c r="L102">
        <v>88.11</v>
      </c>
      <c r="M102">
        <v>8.8109999999999999</v>
      </c>
      <c r="N102">
        <v>79.299000000000007</v>
      </c>
      <c r="O1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2" s="9" t="str">
        <f ca="1">IF(OR(ISNUMBER(Table1[[#This Row],[Order_Date]])=FALSE,Table1[[#This Row],[Order_Date]]&lt;DATE(2000,1,1),Table1[[#This Row],[Order_Date]]&gt;TODAY()),"YES","NO")</f>
        <v>NO</v>
      </c>
    </row>
    <row r="103" spans="1:16" x14ac:dyDescent="0.3">
      <c r="A103">
        <v>100098</v>
      </c>
      <c r="B103" s="8">
        <v>45296.041666666657</v>
      </c>
      <c r="C103" t="s">
        <v>15</v>
      </c>
      <c r="D103" t="s">
        <v>44</v>
      </c>
      <c r="E103" t="s">
        <v>68</v>
      </c>
      <c r="F103" t="s">
        <v>71</v>
      </c>
      <c r="G103">
        <v>1</v>
      </c>
      <c r="H103">
        <v>80.52</v>
      </c>
      <c r="I103">
        <v>5</v>
      </c>
      <c r="J103" t="s">
        <v>75</v>
      </c>
      <c r="K103" t="s">
        <v>77</v>
      </c>
      <c r="L103">
        <v>80.52</v>
      </c>
      <c r="M103">
        <v>4.0259999999999998</v>
      </c>
      <c r="N103">
        <v>76.494</v>
      </c>
      <c r="O1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3" s="9" t="str">
        <f ca="1">IF(OR(ISNUMBER(Table1[[#This Row],[Order_Date]])=FALSE,Table1[[#This Row],[Order_Date]]&lt;DATE(2000,1,1),Table1[[#This Row],[Order_Date]]&gt;TODAY()),"YES","NO")</f>
        <v>NO</v>
      </c>
    </row>
    <row r="104" spans="1:16" x14ac:dyDescent="0.3">
      <c r="A104">
        <v>100099</v>
      </c>
      <c r="B104" s="8">
        <v>45296.083333333343</v>
      </c>
      <c r="C104" t="s">
        <v>15</v>
      </c>
      <c r="D104" t="s">
        <v>47</v>
      </c>
      <c r="E104" t="s">
        <v>67</v>
      </c>
      <c r="F104" t="s">
        <v>72</v>
      </c>
      <c r="G104">
        <v>3</v>
      </c>
      <c r="H104">
        <v>86.51</v>
      </c>
      <c r="I104">
        <v>5</v>
      </c>
      <c r="J104" t="s">
        <v>75</v>
      </c>
      <c r="K104" t="s">
        <v>78</v>
      </c>
      <c r="L104">
        <v>259.52999999999997</v>
      </c>
      <c r="M104">
        <v>12.9765</v>
      </c>
      <c r="N104">
        <v>246.55350000000001</v>
      </c>
      <c r="O1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04" s="9" t="str">
        <f ca="1">IF(OR(ISNUMBER(Table1[[#This Row],[Order_Date]])=FALSE,Table1[[#This Row],[Order_Date]]&lt;DATE(2000,1,1),Table1[[#This Row],[Order_Date]]&gt;TODAY()),"YES","NO")</f>
        <v>NO</v>
      </c>
    </row>
    <row r="105" spans="1:16" x14ac:dyDescent="0.3">
      <c r="A105">
        <v>100100</v>
      </c>
      <c r="B105" s="8">
        <v>45296.125</v>
      </c>
      <c r="C105" t="s">
        <v>14</v>
      </c>
      <c r="D105" t="s">
        <v>34</v>
      </c>
      <c r="E105" t="s">
        <v>69</v>
      </c>
      <c r="F105" t="s">
        <v>71</v>
      </c>
      <c r="G105">
        <v>3</v>
      </c>
      <c r="H105">
        <v>5.96</v>
      </c>
      <c r="I105">
        <v>10</v>
      </c>
      <c r="J105" t="s">
        <v>75</v>
      </c>
      <c r="K105" t="s">
        <v>79</v>
      </c>
      <c r="L105">
        <v>17.88</v>
      </c>
      <c r="M105">
        <v>1.788</v>
      </c>
      <c r="N105">
        <v>16.091999999999999</v>
      </c>
      <c r="O1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05" s="9" t="str">
        <f ca="1">IF(OR(ISNUMBER(Table1[[#This Row],[Order_Date]])=FALSE,Table1[[#This Row],[Order_Date]]&lt;DATE(2000,1,1),Table1[[#This Row],[Order_Date]]&gt;TODAY()),"YES","NO")</f>
        <v>NO</v>
      </c>
    </row>
    <row r="106" spans="1:16" x14ac:dyDescent="0.3">
      <c r="A106">
        <v>100101</v>
      </c>
      <c r="B106" s="8">
        <v>45296.166666666657</v>
      </c>
      <c r="C106" t="s">
        <v>14</v>
      </c>
      <c r="D106" t="s">
        <v>44</v>
      </c>
      <c r="E106" t="s">
        <v>69</v>
      </c>
      <c r="F106" t="s">
        <v>71</v>
      </c>
      <c r="G106">
        <v>3</v>
      </c>
      <c r="H106">
        <v>30.03</v>
      </c>
      <c r="I106">
        <v>10</v>
      </c>
      <c r="J106" t="s">
        <v>73</v>
      </c>
      <c r="K106" t="s">
        <v>77</v>
      </c>
      <c r="L106">
        <v>90.09</v>
      </c>
      <c r="M106">
        <v>9.0090000000000003</v>
      </c>
      <c r="N106">
        <v>81.081000000000003</v>
      </c>
      <c r="O1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6" s="9" t="str">
        <f ca="1">IF(OR(ISNUMBER(Table1[[#This Row],[Order_Date]])=FALSE,Table1[[#This Row],[Order_Date]]&lt;DATE(2000,1,1),Table1[[#This Row],[Order_Date]]&gt;TODAY()),"YES","NO")</f>
        <v>NO</v>
      </c>
    </row>
    <row r="107" spans="1:16" x14ac:dyDescent="0.3">
      <c r="A107">
        <v>100102</v>
      </c>
      <c r="B107" s="8">
        <v>45296.208333333343</v>
      </c>
      <c r="C107" t="s">
        <v>15</v>
      </c>
      <c r="D107" t="s">
        <v>27</v>
      </c>
      <c r="E107" t="s">
        <v>66</v>
      </c>
      <c r="F107" t="s">
        <v>72</v>
      </c>
      <c r="G107">
        <v>5</v>
      </c>
      <c r="H107">
        <v>81.09</v>
      </c>
      <c r="I107">
        <v>0</v>
      </c>
      <c r="J107" t="s">
        <v>76</v>
      </c>
      <c r="K107" t="s">
        <v>77</v>
      </c>
      <c r="L107">
        <v>405.45</v>
      </c>
      <c r="M107">
        <v>0</v>
      </c>
      <c r="N107">
        <v>405.45</v>
      </c>
      <c r="O1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7" s="9" t="str">
        <f ca="1">IF(OR(ISNUMBER(Table1[[#This Row],[Order_Date]])=FALSE,Table1[[#This Row],[Order_Date]]&lt;DATE(2000,1,1),Table1[[#This Row],[Order_Date]]&gt;TODAY()),"YES","NO")</f>
        <v>NO</v>
      </c>
    </row>
    <row r="108" spans="1:16" x14ac:dyDescent="0.3">
      <c r="A108">
        <v>100103</v>
      </c>
      <c r="B108" s="8">
        <v>45296.25</v>
      </c>
      <c r="C108" t="s">
        <v>15</v>
      </c>
      <c r="D108" t="s">
        <v>33</v>
      </c>
      <c r="E108" t="s">
        <v>66</v>
      </c>
      <c r="F108" t="s">
        <v>71</v>
      </c>
      <c r="G108">
        <v>5</v>
      </c>
      <c r="H108">
        <v>60.66</v>
      </c>
      <c r="I108">
        <v>15</v>
      </c>
      <c r="J108" t="s">
        <v>75</v>
      </c>
      <c r="K108" t="s">
        <v>77</v>
      </c>
      <c r="L108">
        <v>303.3</v>
      </c>
      <c r="M108">
        <v>45.49499999999999</v>
      </c>
      <c r="N108">
        <v>257.80499999999989</v>
      </c>
      <c r="O1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8" s="9" t="str">
        <f ca="1">IF(OR(ISNUMBER(Table1[[#This Row],[Order_Date]])=FALSE,Table1[[#This Row],[Order_Date]]&lt;DATE(2000,1,1),Table1[[#This Row],[Order_Date]]&gt;TODAY()),"YES","NO")</f>
        <v>NO</v>
      </c>
    </row>
    <row r="109" spans="1:16" x14ac:dyDescent="0.3">
      <c r="A109">
        <v>100104</v>
      </c>
      <c r="B109" s="8">
        <v>45296.291666666657</v>
      </c>
      <c r="C109" t="s">
        <v>15</v>
      </c>
      <c r="D109" t="s">
        <v>59</v>
      </c>
      <c r="E109" t="s">
        <v>66</v>
      </c>
      <c r="F109" t="s">
        <v>72</v>
      </c>
      <c r="G109">
        <v>5</v>
      </c>
      <c r="H109">
        <v>5.61</v>
      </c>
      <c r="I109">
        <v>5</v>
      </c>
      <c r="J109" t="s">
        <v>73</v>
      </c>
      <c r="K109" t="s">
        <v>79</v>
      </c>
      <c r="L109">
        <v>28.05</v>
      </c>
      <c r="M109">
        <v>1.4025000000000001</v>
      </c>
      <c r="N109">
        <v>26.647500000000001</v>
      </c>
      <c r="O1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09" s="9" t="str">
        <f ca="1">IF(OR(ISNUMBER(Table1[[#This Row],[Order_Date]])=FALSE,Table1[[#This Row],[Order_Date]]&lt;DATE(2000,1,1),Table1[[#This Row],[Order_Date]]&gt;TODAY()),"YES","NO")</f>
        <v>NO</v>
      </c>
    </row>
    <row r="110" spans="1:16" x14ac:dyDescent="0.3">
      <c r="A110">
        <v>100105</v>
      </c>
      <c r="B110" s="8">
        <v>45296.333333333343</v>
      </c>
      <c r="C110" t="s">
        <v>15</v>
      </c>
      <c r="D110" t="s">
        <v>43</v>
      </c>
      <c r="E110" t="s">
        <v>68</v>
      </c>
      <c r="F110" t="s">
        <v>72</v>
      </c>
      <c r="G110">
        <v>2</v>
      </c>
      <c r="H110">
        <v>97.52</v>
      </c>
      <c r="I110">
        <v>15</v>
      </c>
      <c r="J110" t="s">
        <v>76</v>
      </c>
      <c r="K110" t="s">
        <v>77</v>
      </c>
      <c r="L110">
        <v>195.04</v>
      </c>
      <c r="M110">
        <v>29.256</v>
      </c>
      <c r="N110">
        <v>165.78399999999999</v>
      </c>
      <c r="O1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0" s="9" t="str">
        <f ca="1">IF(OR(ISNUMBER(Table1[[#This Row],[Order_Date]])=FALSE,Table1[[#This Row],[Order_Date]]&lt;DATE(2000,1,1),Table1[[#This Row],[Order_Date]]&gt;TODAY()),"YES","NO")</f>
        <v>NO</v>
      </c>
    </row>
    <row r="111" spans="1:16" x14ac:dyDescent="0.3">
      <c r="A111">
        <v>100106</v>
      </c>
      <c r="B111" s="8">
        <v>45296.375</v>
      </c>
      <c r="C111" t="s">
        <v>15</v>
      </c>
      <c r="D111" t="s">
        <v>44</v>
      </c>
      <c r="E111" t="s">
        <v>69</v>
      </c>
      <c r="F111" t="s">
        <v>71</v>
      </c>
      <c r="G111">
        <v>5</v>
      </c>
      <c r="H111">
        <v>93.87</v>
      </c>
      <c r="I111">
        <v>5</v>
      </c>
      <c r="J111" t="s">
        <v>75</v>
      </c>
      <c r="K111" t="s">
        <v>77</v>
      </c>
      <c r="L111">
        <v>469.35</v>
      </c>
      <c r="M111">
        <v>23.467500000000001</v>
      </c>
      <c r="N111">
        <v>445.88250000000011</v>
      </c>
      <c r="O1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1" s="9" t="str">
        <f ca="1">IF(OR(ISNUMBER(Table1[[#This Row],[Order_Date]])=FALSE,Table1[[#This Row],[Order_Date]]&lt;DATE(2000,1,1),Table1[[#This Row],[Order_Date]]&gt;TODAY()),"YES","NO")</f>
        <v>NO</v>
      </c>
    </row>
    <row r="112" spans="1:16" x14ac:dyDescent="0.3">
      <c r="A112">
        <v>100107</v>
      </c>
      <c r="B112" s="8">
        <v>45296.416666666657</v>
      </c>
      <c r="C112" t="s">
        <v>15</v>
      </c>
      <c r="D112" t="s">
        <v>47</v>
      </c>
      <c r="E112" t="s">
        <v>68</v>
      </c>
      <c r="F112" t="s">
        <v>72</v>
      </c>
      <c r="G112">
        <v>3</v>
      </c>
      <c r="H112">
        <v>68.069999999999993</v>
      </c>
      <c r="I112">
        <v>5</v>
      </c>
      <c r="J112" t="s">
        <v>74</v>
      </c>
      <c r="K112" t="s">
        <v>77</v>
      </c>
      <c r="L112">
        <v>204.21</v>
      </c>
      <c r="M112">
        <v>10.2105</v>
      </c>
      <c r="N112">
        <v>193.99950000000001</v>
      </c>
      <c r="O1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2" s="9" t="str">
        <f ca="1">IF(OR(ISNUMBER(Table1[[#This Row],[Order_Date]])=FALSE,Table1[[#This Row],[Order_Date]]&lt;DATE(2000,1,1),Table1[[#This Row],[Order_Date]]&gt;TODAY()),"YES","NO")</f>
        <v>NO</v>
      </c>
    </row>
    <row r="113" spans="1:16" x14ac:dyDescent="0.3">
      <c r="A113">
        <v>100108</v>
      </c>
      <c r="B113" s="8">
        <v>45296.458333333343</v>
      </c>
      <c r="C113" t="s">
        <v>15</v>
      </c>
      <c r="D113" t="s">
        <v>18</v>
      </c>
      <c r="E113" t="s">
        <v>67</v>
      </c>
      <c r="F113" t="s">
        <v>72</v>
      </c>
      <c r="G113">
        <v>3</v>
      </c>
      <c r="H113">
        <v>12.64</v>
      </c>
      <c r="I113">
        <v>15</v>
      </c>
      <c r="J113" t="s">
        <v>73</v>
      </c>
      <c r="K113" t="s">
        <v>77</v>
      </c>
      <c r="L113">
        <v>37.92</v>
      </c>
      <c r="M113">
        <v>5.6879999999999997</v>
      </c>
      <c r="N113">
        <v>32.231999999999999</v>
      </c>
      <c r="O1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3" s="9" t="str">
        <f ca="1">IF(OR(ISNUMBER(Table1[[#This Row],[Order_Date]])=FALSE,Table1[[#This Row],[Order_Date]]&lt;DATE(2000,1,1),Table1[[#This Row],[Order_Date]]&gt;TODAY()),"YES","NO")</f>
        <v>NO</v>
      </c>
    </row>
    <row r="114" spans="1:16" x14ac:dyDescent="0.3">
      <c r="A114">
        <v>100109</v>
      </c>
      <c r="B114" s="8">
        <v>45296.5</v>
      </c>
      <c r="C114" t="s">
        <v>15</v>
      </c>
      <c r="D114" t="s">
        <v>60</v>
      </c>
      <c r="E114" t="s">
        <v>66</v>
      </c>
      <c r="F114" t="s">
        <v>72</v>
      </c>
      <c r="G114">
        <v>2</v>
      </c>
      <c r="H114">
        <v>93.15</v>
      </c>
      <c r="I114">
        <v>10</v>
      </c>
      <c r="J114" t="s">
        <v>73</v>
      </c>
      <c r="K114" t="s">
        <v>77</v>
      </c>
      <c r="L114">
        <v>186.3</v>
      </c>
      <c r="M114">
        <v>18.63</v>
      </c>
      <c r="N114">
        <v>167.67</v>
      </c>
      <c r="O1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4" s="9" t="str">
        <f ca="1">IF(OR(ISNUMBER(Table1[[#This Row],[Order_Date]])=FALSE,Table1[[#This Row],[Order_Date]]&lt;DATE(2000,1,1),Table1[[#This Row],[Order_Date]]&gt;TODAY()),"YES","NO")</f>
        <v>NO</v>
      </c>
    </row>
    <row r="115" spans="1:16" x14ac:dyDescent="0.3">
      <c r="A115">
        <v>100110</v>
      </c>
      <c r="B115" s="8">
        <v>45296.541666666657</v>
      </c>
      <c r="C115" t="s">
        <v>14</v>
      </c>
      <c r="D115" t="s">
        <v>59</v>
      </c>
      <c r="E115" t="s">
        <v>68</v>
      </c>
      <c r="F115" t="s">
        <v>72</v>
      </c>
      <c r="G115">
        <v>2</v>
      </c>
      <c r="H115">
        <v>72.13</v>
      </c>
      <c r="I115">
        <v>0</v>
      </c>
      <c r="J115" t="s">
        <v>75</v>
      </c>
      <c r="K115" t="s">
        <v>79</v>
      </c>
      <c r="L115">
        <v>144.26</v>
      </c>
      <c r="M115">
        <v>0</v>
      </c>
      <c r="N115">
        <v>144.26</v>
      </c>
      <c r="O1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15" s="9" t="str">
        <f ca="1">IF(OR(ISNUMBER(Table1[[#This Row],[Order_Date]])=FALSE,Table1[[#This Row],[Order_Date]]&lt;DATE(2000,1,1),Table1[[#This Row],[Order_Date]]&gt;TODAY()),"YES","NO")</f>
        <v>NO</v>
      </c>
    </row>
    <row r="116" spans="1:16" x14ac:dyDescent="0.3">
      <c r="A116">
        <v>100111</v>
      </c>
      <c r="B116" s="8">
        <v>45296.583333333343</v>
      </c>
      <c r="C116" t="s">
        <v>15</v>
      </c>
      <c r="D116" t="s">
        <v>33</v>
      </c>
      <c r="E116" t="s">
        <v>68</v>
      </c>
      <c r="F116" t="s">
        <v>72</v>
      </c>
      <c r="G116">
        <v>5</v>
      </c>
      <c r="H116">
        <v>94.93</v>
      </c>
      <c r="I116">
        <v>5</v>
      </c>
      <c r="J116" t="s">
        <v>75</v>
      </c>
      <c r="K116" t="s">
        <v>77</v>
      </c>
      <c r="L116">
        <v>474.65</v>
      </c>
      <c r="M116">
        <v>23.732500000000002</v>
      </c>
      <c r="N116">
        <v>450.91750000000002</v>
      </c>
      <c r="O1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6" s="9" t="str">
        <f ca="1">IF(OR(ISNUMBER(Table1[[#This Row],[Order_Date]])=FALSE,Table1[[#This Row],[Order_Date]]&lt;DATE(2000,1,1),Table1[[#This Row],[Order_Date]]&gt;TODAY()),"YES","NO")</f>
        <v>NO</v>
      </c>
    </row>
    <row r="117" spans="1:16" x14ac:dyDescent="0.3">
      <c r="A117">
        <v>100112</v>
      </c>
      <c r="B117" s="8">
        <v>45296.625</v>
      </c>
      <c r="C117" t="s">
        <v>14</v>
      </c>
      <c r="D117" t="s">
        <v>61</v>
      </c>
      <c r="E117" t="s">
        <v>67</v>
      </c>
      <c r="F117" t="s">
        <v>71</v>
      </c>
      <c r="G117">
        <v>4</v>
      </c>
      <c r="H117">
        <v>91.45</v>
      </c>
      <c r="I117">
        <v>10</v>
      </c>
      <c r="J117" t="s">
        <v>73</v>
      </c>
      <c r="K117" t="s">
        <v>77</v>
      </c>
      <c r="L117">
        <v>365.8</v>
      </c>
      <c r="M117">
        <v>36.580000000000013</v>
      </c>
      <c r="N117">
        <v>329.22</v>
      </c>
      <c r="O1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7" s="9" t="str">
        <f ca="1">IF(OR(ISNUMBER(Table1[[#This Row],[Order_Date]])=FALSE,Table1[[#This Row],[Order_Date]]&lt;DATE(2000,1,1),Table1[[#This Row],[Order_Date]]&gt;TODAY()),"YES","NO")</f>
        <v>NO</v>
      </c>
    </row>
    <row r="118" spans="1:16" x14ac:dyDescent="0.3">
      <c r="A118">
        <v>100113</v>
      </c>
      <c r="B118" s="8">
        <v>45296.666666666657</v>
      </c>
      <c r="C118" t="s">
        <v>15</v>
      </c>
      <c r="D118" t="s">
        <v>16</v>
      </c>
      <c r="E118" t="s">
        <v>70</v>
      </c>
      <c r="F118" t="s">
        <v>71</v>
      </c>
      <c r="G118">
        <v>2</v>
      </c>
      <c r="H118">
        <v>97.35</v>
      </c>
      <c r="I118">
        <v>5</v>
      </c>
      <c r="J118" t="s">
        <v>74</v>
      </c>
      <c r="K118" t="s">
        <v>77</v>
      </c>
      <c r="L118">
        <v>194.7</v>
      </c>
      <c r="M118">
        <v>9.7349999999999994</v>
      </c>
      <c r="N118">
        <v>184.965</v>
      </c>
      <c r="O1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8" s="9" t="str">
        <f ca="1">IF(OR(ISNUMBER(Table1[[#This Row],[Order_Date]])=FALSE,Table1[[#This Row],[Order_Date]]&lt;DATE(2000,1,1),Table1[[#This Row],[Order_Date]]&gt;TODAY()),"YES","NO")</f>
        <v>NO</v>
      </c>
    </row>
    <row r="119" spans="1:16" x14ac:dyDescent="0.3">
      <c r="A119">
        <v>100114</v>
      </c>
      <c r="B119" s="8">
        <v>45296.708333333343</v>
      </c>
      <c r="C119" t="s">
        <v>15</v>
      </c>
      <c r="D119" t="s">
        <v>28</v>
      </c>
      <c r="E119" t="s">
        <v>69</v>
      </c>
      <c r="F119" t="s">
        <v>72</v>
      </c>
      <c r="G119">
        <v>1</v>
      </c>
      <c r="H119">
        <v>64.569999999999993</v>
      </c>
      <c r="I119">
        <v>0</v>
      </c>
      <c r="J119" t="s">
        <v>74</v>
      </c>
      <c r="K119" t="s">
        <v>77</v>
      </c>
      <c r="L119">
        <v>64.569999999999993</v>
      </c>
      <c r="M119">
        <v>0</v>
      </c>
      <c r="N119">
        <v>64.569999999999993</v>
      </c>
      <c r="O1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19" s="9" t="str">
        <f ca="1">IF(OR(ISNUMBER(Table1[[#This Row],[Order_Date]])=FALSE,Table1[[#This Row],[Order_Date]]&lt;DATE(2000,1,1),Table1[[#This Row],[Order_Date]]&gt;TODAY()),"YES","NO")</f>
        <v>NO</v>
      </c>
    </row>
    <row r="120" spans="1:16" x14ac:dyDescent="0.3">
      <c r="A120">
        <v>100115</v>
      </c>
      <c r="B120" s="8">
        <v>45296.75</v>
      </c>
      <c r="C120" t="s">
        <v>14</v>
      </c>
      <c r="D120" t="s">
        <v>23</v>
      </c>
      <c r="E120" t="s">
        <v>70</v>
      </c>
      <c r="F120" t="s">
        <v>72</v>
      </c>
      <c r="G120">
        <v>3</v>
      </c>
      <c r="H120">
        <v>21.14</v>
      </c>
      <c r="I120">
        <v>5</v>
      </c>
      <c r="J120" t="s">
        <v>76</v>
      </c>
      <c r="K120" t="s">
        <v>77</v>
      </c>
      <c r="L120">
        <v>63.42</v>
      </c>
      <c r="M120">
        <v>3.1709999999999998</v>
      </c>
      <c r="N120">
        <v>60.249000000000002</v>
      </c>
      <c r="O1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0" s="9" t="str">
        <f ca="1">IF(OR(ISNUMBER(Table1[[#This Row],[Order_Date]])=FALSE,Table1[[#This Row],[Order_Date]]&lt;DATE(2000,1,1),Table1[[#This Row],[Order_Date]]&gt;TODAY()),"YES","NO")</f>
        <v>NO</v>
      </c>
    </row>
    <row r="121" spans="1:16" x14ac:dyDescent="0.3">
      <c r="A121">
        <v>100116</v>
      </c>
      <c r="B121" s="8">
        <v>45296.791666666657</v>
      </c>
      <c r="C121" t="s">
        <v>15</v>
      </c>
      <c r="D121" t="s">
        <v>53</v>
      </c>
      <c r="E121" t="s">
        <v>66</v>
      </c>
      <c r="F121" t="s">
        <v>71</v>
      </c>
      <c r="G121">
        <v>1</v>
      </c>
      <c r="H121">
        <v>82.18</v>
      </c>
      <c r="I121">
        <v>0</v>
      </c>
      <c r="J121" t="s">
        <v>75</v>
      </c>
      <c r="K121" t="s">
        <v>77</v>
      </c>
      <c r="L121">
        <v>82.18</v>
      </c>
      <c r="M121">
        <v>0</v>
      </c>
      <c r="N121">
        <v>82.18</v>
      </c>
      <c r="O1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1" s="9" t="str">
        <f ca="1">IF(OR(ISNUMBER(Table1[[#This Row],[Order_Date]])=FALSE,Table1[[#This Row],[Order_Date]]&lt;DATE(2000,1,1),Table1[[#This Row],[Order_Date]]&gt;TODAY()),"YES","NO")</f>
        <v>NO</v>
      </c>
    </row>
    <row r="122" spans="1:16" x14ac:dyDescent="0.3">
      <c r="A122">
        <v>100117</v>
      </c>
      <c r="B122" s="8">
        <v>45296.833333333343</v>
      </c>
      <c r="C122" t="s">
        <v>14</v>
      </c>
      <c r="D122" t="s">
        <v>32</v>
      </c>
      <c r="E122" t="s">
        <v>68</v>
      </c>
      <c r="F122" t="s">
        <v>72</v>
      </c>
      <c r="G122">
        <v>3</v>
      </c>
      <c r="H122">
        <v>76.349999999999994</v>
      </c>
      <c r="I122">
        <v>0</v>
      </c>
      <c r="J122" t="s">
        <v>74</v>
      </c>
      <c r="K122" t="s">
        <v>77</v>
      </c>
      <c r="L122">
        <v>229.05</v>
      </c>
      <c r="M122">
        <v>0</v>
      </c>
      <c r="N122">
        <v>229.05</v>
      </c>
      <c r="O1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2" s="9" t="str">
        <f ca="1">IF(OR(ISNUMBER(Table1[[#This Row],[Order_Date]])=FALSE,Table1[[#This Row],[Order_Date]]&lt;DATE(2000,1,1),Table1[[#This Row],[Order_Date]]&gt;TODAY()),"YES","NO")</f>
        <v>NO</v>
      </c>
    </row>
    <row r="123" spans="1:16" x14ac:dyDescent="0.3">
      <c r="A123">
        <v>100118</v>
      </c>
      <c r="B123" s="8">
        <v>45296.875</v>
      </c>
      <c r="C123" t="s">
        <v>15</v>
      </c>
      <c r="D123" t="s">
        <v>16</v>
      </c>
      <c r="E123" t="s">
        <v>67</v>
      </c>
      <c r="F123" t="s">
        <v>71</v>
      </c>
      <c r="G123">
        <v>3</v>
      </c>
      <c r="H123">
        <v>90.36</v>
      </c>
      <c r="I123">
        <v>5</v>
      </c>
      <c r="J123" t="s">
        <v>76</v>
      </c>
      <c r="K123" t="s">
        <v>77</v>
      </c>
      <c r="L123">
        <v>271.08</v>
      </c>
      <c r="M123">
        <v>13.554</v>
      </c>
      <c r="N123">
        <v>257.52600000000001</v>
      </c>
      <c r="O1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3" s="9" t="str">
        <f ca="1">IF(OR(ISNUMBER(Table1[[#This Row],[Order_Date]])=FALSE,Table1[[#This Row],[Order_Date]]&lt;DATE(2000,1,1),Table1[[#This Row],[Order_Date]]&gt;TODAY()),"YES","NO")</f>
        <v>NO</v>
      </c>
    </row>
    <row r="124" spans="1:16" x14ac:dyDescent="0.3">
      <c r="A124">
        <v>100119</v>
      </c>
      <c r="B124" s="8">
        <v>45296.916666666657</v>
      </c>
      <c r="C124" t="s">
        <v>15</v>
      </c>
      <c r="D124" t="s">
        <v>32</v>
      </c>
      <c r="E124" t="s">
        <v>67</v>
      </c>
      <c r="F124" t="s">
        <v>72</v>
      </c>
      <c r="G124">
        <v>2</v>
      </c>
      <c r="H124">
        <v>24.54</v>
      </c>
      <c r="I124">
        <v>5</v>
      </c>
      <c r="J124" t="s">
        <v>74</v>
      </c>
      <c r="K124" t="s">
        <v>77</v>
      </c>
      <c r="L124">
        <v>49.08</v>
      </c>
      <c r="M124">
        <v>2.4540000000000002</v>
      </c>
      <c r="N124">
        <v>46.625999999999998</v>
      </c>
      <c r="O1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4" s="9" t="str">
        <f ca="1">IF(OR(ISNUMBER(Table1[[#This Row],[Order_Date]])=FALSE,Table1[[#This Row],[Order_Date]]&lt;DATE(2000,1,1),Table1[[#This Row],[Order_Date]]&gt;TODAY()),"YES","NO")</f>
        <v>NO</v>
      </c>
    </row>
    <row r="125" spans="1:16" x14ac:dyDescent="0.3">
      <c r="A125">
        <v>100120</v>
      </c>
      <c r="B125" s="8">
        <v>45296.958333333343</v>
      </c>
      <c r="C125" t="s">
        <v>14</v>
      </c>
      <c r="D125" t="s">
        <v>16</v>
      </c>
      <c r="E125" t="s">
        <v>69</v>
      </c>
      <c r="F125" t="s">
        <v>72</v>
      </c>
      <c r="G125">
        <v>2</v>
      </c>
      <c r="H125">
        <v>27.42</v>
      </c>
      <c r="I125">
        <v>0</v>
      </c>
      <c r="J125" t="s">
        <v>75</v>
      </c>
      <c r="K125" t="s">
        <v>77</v>
      </c>
      <c r="L125">
        <v>54.84</v>
      </c>
      <c r="M125">
        <v>0</v>
      </c>
      <c r="N125">
        <v>54.84</v>
      </c>
      <c r="O1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5" s="9" t="str">
        <f ca="1">IF(OR(ISNUMBER(Table1[[#This Row],[Order_Date]])=FALSE,Table1[[#This Row],[Order_Date]]&lt;DATE(2000,1,1),Table1[[#This Row],[Order_Date]]&gt;TODAY()),"YES","NO")</f>
        <v>NO</v>
      </c>
    </row>
    <row r="126" spans="1:16" x14ac:dyDescent="0.3">
      <c r="A126">
        <v>100121</v>
      </c>
      <c r="B126" s="8">
        <v>45297</v>
      </c>
      <c r="C126" t="s">
        <v>15</v>
      </c>
      <c r="D126" t="s">
        <v>19</v>
      </c>
      <c r="E126" t="s">
        <v>70</v>
      </c>
      <c r="F126" t="s">
        <v>72</v>
      </c>
      <c r="G126">
        <v>1</v>
      </c>
      <c r="H126">
        <v>107.4</v>
      </c>
      <c r="I126">
        <v>10</v>
      </c>
      <c r="J126" t="s">
        <v>76</v>
      </c>
      <c r="K126" t="s">
        <v>79</v>
      </c>
      <c r="L126">
        <v>107.4</v>
      </c>
      <c r="M126">
        <v>10.74</v>
      </c>
      <c r="N126">
        <v>96.66</v>
      </c>
      <c r="O1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26" s="9" t="str">
        <f ca="1">IF(OR(ISNUMBER(Table1[[#This Row],[Order_Date]])=FALSE,Table1[[#This Row],[Order_Date]]&lt;DATE(2000,1,1),Table1[[#This Row],[Order_Date]]&gt;TODAY()),"YES","NO")</f>
        <v>NO</v>
      </c>
    </row>
    <row r="127" spans="1:16" x14ac:dyDescent="0.3">
      <c r="A127">
        <v>100122</v>
      </c>
      <c r="B127" s="8">
        <v>45297.041666666657</v>
      </c>
      <c r="C127" t="s">
        <v>14</v>
      </c>
      <c r="D127" t="s">
        <v>60</v>
      </c>
      <c r="E127" t="s">
        <v>69</v>
      </c>
      <c r="F127" t="s">
        <v>72</v>
      </c>
      <c r="G127">
        <v>3</v>
      </c>
      <c r="H127">
        <v>91.25</v>
      </c>
      <c r="I127">
        <v>15</v>
      </c>
      <c r="J127" t="s">
        <v>76</v>
      </c>
      <c r="K127" t="s">
        <v>78</v>
      </c>
      <c r="L127">
        <v>273.75</v>
      </c>
      <c r="M127">
        <v>41.0625</v>
      </c>
      <c r="N127">
        <v>232.6875</v>
      </c>
      <c r="O1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27" s="9" t="str">
        <f ca="1">IF(OR(ISNUMBER(Table1[[#This Row],[Order_Date]])=FALSE,Table1[[#This Row],[Order_Date]]&lt;DATE(2000,1,1),Table1[[#This Row],[Order_Date]]&gt;TODAY()),"YES","NO")</f>
        <v>NO</v>
      </c>
    </row>
    <row r="128" spans="1:16" x14ac:dyDescent="0.3">
      <c r="A128">
        <v>100123</v>
      </c>
      <c r="B128" s="8">
        <v>45297.083333333343</v>
      </c>
      <c r="C128" t="s">
        <v>15</v>
      </c>
      <c r="D128" t="s">
        <v>28</v>
      </c>
      <c r="E128" t="s">
        <v>68</v>
      </c>
      <c r="F128" t="s">
        <v>72</v>
      </c>
      <c r="G128">
        <v>1</v>
      </c>
      <c r="H128">
        <v>109.45</v>
      </c>
      <c r="I128">
        <v>0</v>
      </c>
      <c r="J128" t="s">
        <v>76</v>
      </c>
      <c r="K128" t="s">
        <v>77</v>
      </c>
      <c r="L128">
        <v>109.45</v>
      </c>
      <c r="M128">
        <v>0</v>
      </c>
      <c r="N128">
        <v>109.45</v>
      </c>
      <c r="O1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8" s="9" t="str">
        <f ca="1">IF(OR(ISNUMBER(Table1[[#This Row],[Order_Date]])=FALSE,Table1[[#This Row],[Order_Date]]&lt;DATE(2000,1,1),Table1[[#This Row],[Order_Date]]&gt;TODAY()),"YES","NO")</f>
        <v>NO</v>
      </c>
    </row>
    <row r="129" spans="1:16" x14ac:dyDescent="0.3">
      <c r="A129">
        <v>100124</v>
      </c>
      <c r="B129" s="8">
        <v>45297.125</v>
      </c>
      <c r="C129" t="s">
        <v>14</v>
      </c>
      <c r="D129" t="s">
        <v>44</v>
      </c>
      <c r="E129" t="s">
        <v>69</v>
      </c>
      <c r="F129" t="s">
        <v>72</v>
      </c>
      <c r="G129">
        <v>4</v>
      </c>
      <c r="H129">
        <v>92.25</v>
      </c>
      <c r="I129">
        <v>5</v>
      </c>
      <c r="J129" t="s">
        <v>74</v>
      </c>
      <c r="K129" t="s">
        <v>77</v>
      </c>
      <c r="L129">
        <v>369</v>
      </c>
      <c r="M129">
        <v>18.45</v>
      </c>
      <c r="N129">
        <v>350.55</v>
      </c>
      <c r="O1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29" s="9" t="str">
        <f ca="1">IF(OR(ISNUMBER(Table1[[#This Row],[Order_Date]])=FALSE,Table1[[#This Row],[Order_Date]]&lt;DATE(2000,1,1),Table1[[#This Row],[Order_Date]]&gt;TODAY()),"YES","NO")</f>
        <v>NO</v>
      </c>
    </row>
    <row r="130" spans="1:16" x14ac:dyDescent="0.3">
      <c r="A130">
        <v>100125</v>
      </c>
      <c r="B130" s="8">
        <v>45297.166666666657</v>
      </c>
      <c r="C130" t="s">
        <v>14</v>
      </c>
      <c r="D130" t="s">
        <v>26</v>
      </c>
      <c r="E130" t="s">
        <v>67</v>
      </c>
      <c r="F130" t="s">
        <v>72</v>
      </c>
      <c r="G130">
        <v>1</v>
      </c>
      <c r="H130">
        <v>73.67</v>
      </c>
      <c r="I130">
        <v>5</v>
      </c>
      <c r="J130" t="s">
        <v>75</v>
      </c>
      <c r="K130" t="s">
        <v>78</v>
      </c>
      <c r="L130">
        <v>73.67</v>
      </c>
      <c r="M130">
        <v>3.6835</v>
      </c>
      <c r="N130">
        <v>69.986500000000007</v>
      </c>
      <c r="O1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30" s="9" t="str">
        <f ca="1">IF(OR(ISNUMBER(Table1[[#This Row],[Order_Date]])=FALSE,Table1[[#This Row],[Order_Date]]&lt;DATE(2000,1,1),Table1[[#This Row],[Order_Date]]&gt;TODAY()),"YES","NO")</f>
        <v>NO</v>
      </c>
    </row>
    <row r="131" spans="1:16" x14ac:dyDescent="0.3">
      <c r="A131">
        <v>100126</v>
      </c>
      <c r="B131" s="8">
        <v>45297.208333333343</v>
      </c>
      <c r="C131" t="s">
        <v>15</v>
      </c>
      <c r="D131" t="s">
        <v>31</v>
      </c>
      <c r="E131" t="s">
        <v>67</v>
      </c>
      <c r="F131" t="s">
        <v>71</v>
      </c>
      <c r="G131">
        <v>5</v>
      </c>
      <c r="H131">
        <v>80.23</v>
      </c>
      <c r="I131">
        <v>10</v>
      </c>
      <c r="J131" t="s">
        <v>76</v>
      </c>
      <c r="K131" t="s">
        <v>77</v>
      </c>
      <c r="L131">
        <v>401.15</v>
      </c>
      <c r="M131">
        <v>40.115000000000009</v>
      </c>
      <c r="N131">
        <v>361.03500000000003</v>
      </c>
      <c r="O1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1" s="9" t="str">
        <f ca="1">IF(OR(ISNUMBER(Table1[[#This Row],[Order_Date]])=FALSE,Table1[[#This Row],[Order_Date]]&lt;DATE(2000,1,1),Table1[[#This Row],[Order_Date]]&gt;TODAY()),"YES","NO")</f>
        <v>NO</v>
      </c>
    </row>
    <row r="132" spans="1:16" x14ac:dyDescent="0.3">
      <c r="A132">
        <v>100127</v>
      </c>
      <c r="B132" s="8">
        <v>45297.25</v>
      </c>
      <c r="C132" t="s">
        <v>15</v>
      </c>
      <c r="D132" t="s">
        <v>20</v>
      </c>
      <c r="E132" t="s">
        <v>66</v>
      </c>
      <c r="F132" t="s">
        <v>71</v>
      </c>
      <c r="G132">
        <v>1</v>
      </c>
      <c r="H132">
        <v>107.25</v>
      </c>
      <c r="I132">
        <v>15</v>
      </c>
      <c r="J132" t="s">
        <v>73</v>
      </c>
      <c r="K132" t="s">
        <v>77</v>
      </c>
      <c r="L132">
        <v>107.25</v>
      </c>
      <c r="M132">
        <v>16.087499999999999</v>
      </c>
      <c r="N132">
        <v>91.162499999999994</v>
      </c>
      <c r="O1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2" s="9" t="str">
        <f ca="1">IF(OR(ISNUMBER(Table1[[#This Row],[Order_Date]])=FALSE,Table1[[#This Row],[Order_Date]]&lt;DATE(2000,1,1),Table1[[#This Row],[Order_Date]]&gt;TODAY()),"YES","NO")</f>
        <v>NO</v>
      </c>
    </row>
    <row r="133" spans="1:16" x14ac:dyDescent="0.3">
      <c r="A133">
        <v>100128</v>
      </c>
      <c r="B133" s="8">
        <v>45297.291666666657</v>
      </c>
      <c r="C133" t="s">
        <v>14</v>
      </c>
      <c r="D133" t="s">
        <v>62</v>
      </c>
      <c r="E133" t="s">
        <v>66</v>
      </c>
      <c r="F133" t="s">
        <v>71</v>
      </c>
      <c r="G133">
        <v>5</v>
      </c>
      <c r="H133">
        <v>71.56</v>
      </c>
      <c r="I133">
        <v>0</v>
      </c>
      <c r="J133" t="s">
        <v>75</v>
      </c>
      <c r="K133" t="s">
        <v>78</v>
      </c>
      <c r="L133">
        <v>357.8</v>
      </c>
      <c r="M133">
        <v>0</v>
      </c>
      <c r="N133">
        <v>357.8</v>
      </c>
      <c r="O1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33" s="9" t="str">
        <f ca="1">IF(OR(ISNUMBER(Table1[[#This Row],[Order_Date]])=FALSE,Table1[[#This Row],[Order_Date]]&lt;DATE(2000,1,1),Table1[[#This Row],[Order_Date]]&gt;TODAY()),"YES","NO")</f>
        <v>NO</v>
      </c>
    </row>
    <row r="134" spans="1:16" x14ac:dyDescent="0.3">
      <c r="A134">
        <v>100129</v>
      </c>
      <c r="B134" s="8">
        <v>45297.333333333343</v>
      </c>
      <c r="C134" t="s">
        <v>15</v>
      </c>
      <c r="D134" t="s">
        <v>62</v>
      </c>
      <c r="E134" t="s">
        <v>68</v>
      </c>
      <c r="F134" t="s">
        <v>72</v>
      </c>
      <c r="G134">
        <v>5</v>
      </c>
      <c r="H134">
        <v>77.73</v>
      </c>
      <c r="I134">
        <v>0</v>
      </c>
      <c r="J134" t="s">
        <v>73</v>
      </c>
      <c r="K134" t="s">
        <v>77</v>
      </c>
      <c r="L134">
        <v>388.65</v>
      </c>
      <c r="M134">
        <v>0</v>
      </c>
      <c r="N134">
        <v>388.65</v>
      </c>
      <c r="O1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4" s="9" t="str">
        <f ca="1">IF(OR(ISNUMBER(Table1[[#This Row],[Order_Date]])=FALSE,Table1[[#This Row],[Order_Date]]&lt;DATE(2000,1,1),Table1[[#This Row],[Order_Date]]&gt;TODAY()),"YES","NO")</f>
        <v>NO</v>
      </c>
    </row>
    <row r="135" spans="1:16" x14ac:dyDescent="0.3">
      <c r="A135">
        <v>100130</v>
      </c>
      <c r="B135" s="8">
        <v>45297.375</v>
      </c>
      <c r="C135" t="s">
        <v>15</v>
      </c>
      <c r="D135" t="s">
        <v>22</v>
      </c>
      <c r="E135" t="s">
        <v>70</v>
      </c>
      <c r="F135" t="s">
        <v>72</v>
      </c>
      <c r="G135">
        <v>5</v>
      </c>
      <c r="H135">
        <v>22.99</v>
      </c>
      <c r="I135">
        <v>15</v>
      </c>
      <c r="J135" t="s">
        <v>73</v>
      </c>
      <c r="K135" t="s">
        <v>77</v>
      </c>
      <c r="L135">
        <v>114.95</v>
      </c>
      <c r="M135">
        <v>17.2425</v>
      </c>
      <c r="N135">
        <v>97.707499999999996</v>
      </c>
      <c r="O1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5" s="9" t="str">
        <f ca="1">IF(OR(ISNUMBER(Table1[[#This Row],[Order_Date]])=FALSE,Table1[[#This Row],[Order_Date]]&lt;DATE(2000,1,1),Table1[[#This Row],[Order_Date]]&gt;TODAY()),"YES","NO")</f>
        <v>NO</v>
      </c>
    </row>
    <row r="136" spans="1:16" x14ac:dyDescent="0.3">
      <c r="A136">
        <v>100131</v>
      </c>
      <c r="B136" s="8">
        <v>45297.416666666657</v>
      </c>
      <c r="C136" t="s">
        <v>15</v>
      </c>
      <c r="D136" t="s">
        <v>39</v>
      </c>
      <c r="E136" t="s">
        <v>69</v>
      </c>
      <c r="F136" t="s">
        <v>72</v>
      </c>
      <c r="G136">
        <v>4</v>
      </c>
      <c r="H136">
        <v>59.5</v>
      </c>
      <c r="I136">
        <v>0</v>
      </c>
      <c r="J136" t="s">
        <v>76</v>
      </c>
      <c r="K136" t="s">
        <v>79</v>
      </c>
      <c r="L136">
        <v>238</v>
      </c>
      <c r="M136">
        <v>0</v>
      </c>
      <c r="N136">
        <v>238</v>
      </c>
      <c r="O1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36" s="9" t="str">
        <f ca="1">IF(OR(ISNUMBER(Table1[[#This Row],[Order_Date]])=FALSE,Table1[[#This Row],[Order_Date]]&lt;DATE(2000,1,1),Table1[[#This Row],[Order_Date]]&gt;TODAY()),"YES","NO")</f>
        <v>NO</v>
      </c>
    </row>
    <row r="137" spans="1:16" x14ac:dyDescent="0.3">
      <c r="A137">
        <v>100132</v>
      </c>
      <c r="B137" s="8">
        <v>45297.458333333343</v>
      </c>
      <c r="C137" t="s">
        <v>14</v>
      </c>
      <c r="D137" t="s">
        <v>29</v>
      </c>
      <c r="E137" t="s">
        <v>68</v>
      </c>
      <c r="F137" t="s">
        <v>72</v>
      </c>
      <c r="G137">
        <v>1</v>
      </c>
      <c r="H137">
        <v>87.39</v>
      </c>
      <c r="I137">
        <v>15</v>
      </c>
      <c r="J137" t="s">
        <v>76</v>
      </c>
      <c r="K137" t="s">
        <v>77</v>
      </c>
      <c r="L137">
        <v>87.39</v>
      </c>
      <c r="M137">
        <v>13.108499999999999</v>
      </c>
      <c r="N137">
        <v>74.281499999999994</v>
      </c>
      <c r="O1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7" s="9" t="str">
        <f ca="1">IF(OR(ISNUMBER(Table1[[#This Row],[Order_Date]])=FALSE,Table1[[#This Row],[Order_Date]]&lt;DATE(2000,1,1),Table1[[#This Row],[Order_Date]]&gt;TODAY()),"YES","NO")</f>
        <v>NO</v>
      </c>
    </row>
    <row r="138" spans="1:16" x14ac:dyDescent="0.3">
      <c r="A138">
        <v>100133</v>
      </c>
      <c r="B138" s="8">
        <v>45297.5</v>
      </c>
      <c r="C138" t="s">
        <v>14</v>
      </c>
      <c r="D138" t="s">
        <v>49</v>
      </c>
      <c r="E138" t="s">
        <v>66</v>
      </c>
      <c r="F138" t="s">
        <v>72</v>
      </c>
      <c r="G138">
        <v>1</v>
      </c>
      <c r="H138">
        <v>36.159999999999997</v>
      </c>
      <c r="I138">
        <v>5</v>
      </c>
      <c r="J138" t="s">
        <v>74</v>
      </c>
      <c r="K138" t="s">
        <v>77</v>
      </c>
      <c r="L138">
        <v>36.159999999999997</v>
      </c>
      <c r="M138">
        <v>1.8080000000000001</v>
      </c>
      <c r="N138">
        <v>34.351999999999997</v>
      </c>
      <c r="O1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8" s="9" t="str">
        <f ca="1">IF(OR(ISNUMBER(Table1[[#This Row],[Order_Date]])=FALSE,Table1[[#This Row],[Order_Date]]&lt;DATE(2000,1,1),Table1[[#This Row],[Order_Date]]&gt;TODAY()),"YES","NO")</f>
        <v>NO</v>
      </c>
    </row>
    <row r="139" spans="1:16" x14ac:dyDescent="0.3">
      <c r="A139">
        <v>100134</v>
      </c>
      <c r="B139" s="8">
        <v>45297.541666666657</v>
      </c>
      <c r="C139" t="s">
        <v>14</v>
      </c>
      <c r="D139" t="s">
        <v>63</v>
      </c>
      <c r="E139" t="s">
        <v>69</v>
      </c>
      <c r="F139" t="s">
        <v>72</v>
      </c>
      <c r="G139">
        <v>4</v>
      </c>
      <c r="H139">
        <v>28.26</v>
      </c>
      <c r="I139">
        <v>15</v>
      </c>
      <c r="J139" t="s">
        <v>74</v>
      </c>
      <c r="K139" t="s">
        <v>77</v>
      </c>
      <c r="L139">
        <v>113.04</v>
      </c>
      <c r="M139">
        <v>16.956</v>
      </c>
      <c r="N139">
        <v>96.084000000000003</v>
      </c>
      <c r="O1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39" s="9" t="str">
        <f ca="1">IF(OR(ISNUMBER(Table1[[#This Row],[Order_Date]])=FALSE,Table1[[#This Row],[Order_Date]]&lt;DATE(2000,1,1),Table1[[#This Row],[Order_Date]]&gt;TODAY()),"YES","NO")</f>
        <v>NO</v>
      </c>
    </row>
    <row r="140" spans="1:16" x14ac:dyDescent="0.3">
      <c r="A140">
        <v>100135</v>
      </c>
      <c r="B140" s="8">
        <v>45297.583333333343</v>
      </c>
      <c r="C140" t="s">
        <v>14</v>
      </c>
      <c r="D140" t="s">
        <v>46</v>
      </c>
      <c r="E140" t="s">
        <v>66</v>
      </c>
      <c r="F140" t="s">
        <v>72</v>
      </c>
      <c r="G140">
        <v>3</v>
      </c>
      <c r="H140">
        <v>41.09</v>
      </c>
      <c r="I140">
        <v>0</v>
      </c>
      <c r="J140" t="s">
        <v>74</v>
      </c>
      <c r="K140" t="s">
        <v>77</v>
      </c>
      <c r="L140">
        <v>123.27</v>
      </c>
      <c r="M140">
        <v>0</v>
      </c>
      <c r="N140">
        <v>123.27</v>
      </c>
      <c r="O1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0" s="9" t="str">
        <f ca="1">IF(OR(ISNUMBER(Table1[[#This Row],[Order_Date]])=FALSE,Table1[[#This Row],[Order_Date]]&lt;DATE(2000,1,1),Table1[[#This Row],[Order_Date]]&gt;TODAY()),"YES","NO")</f>
        <v>NO</v>
      </c>
    </row>
    <row r="141" spans="1:16" x14ac:dyDescent="0.3">
      <c r="A141">
        <v>100136</v>
      </c>
      <c r="B141" s="8">
        <v>45297.625</v>
      </c>
      <c r="C141" t="s">
        <v>14</v>
      </c>
      <c r="D141" t="s">
        <v>39</v>
      </c>
      <c r="E141" t="s">
        <v>69</v>
      </c>
      <c r="F141" t="s">
        <v>71</v>
      </c>
      <c r="G141">
        <v>2</v>
      </c>
      <c r="H141">
        <v>32.770000000000003</v>
      </c>
      <c r="I141">
        <v>15</v>
      </c>
      <c r="J141" t="s">
        <v>75</v>
      </c>
      <c r="K141" t="s">
        <v>77</v>
      </c>
      <c r="L141">
        <v>65.540000000000006</v>
      </c>
      <c r="M141">
        <v>9.8310000000000013</v>
      </c>
      <c r="N141">
        <v>55.709000000000003</v>
      </c>
      <c r="O1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1" s="9" t="str">
        <f ca="1">IF(OR(ISNUMBER(Table1[[#This Row],[Order_Date]])=FALSE,Table1[[#This Row],[Order_Date]]&lt;DATE(2000,1,1),Table1[[#This Row],[Order_Date]]&gt;TODAY()),"YES","NO")</f>
        <v>NO</v>
      </c>
    </row>
    <row r="142" spans="1:16" x14ac:dyDescent="0.3">
      <c r="A142">
        <v>100137</v>
      </c>
      <c r="B142" s="8">
        <v>45297.666666666657</v>
      </c>
      <c r="C142" t="s">
        <v>14</v>
      </c>
      <c r="D142" t="s">
        <v>63</v>
      </c>
      <c r="E142" t="s">
        <v>70</v>
      </c>
      <c r="F142" t="s">
        <v>72</v>
      </c>
      <c r="G142">
        <v>1</v>
      </c>
      <c r="H142">
        <v>29.71</v>
      </c>
      <c r="I142">
        <v>10</v>
      </c>
      <c r="J142" t="s">
        <v>74</v>
      </c>
      <c r="K142" t="s">
        <v>77</v>
      </c>
      <c r="L142">
        <v>29.71</v>
      </c>
      <c r="M142">
        <v>2.9710000000000001</v>
      </c>
      <c r="N142">
        <v>26.739000000000001</v>
      </c>
      <c r="O1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2" s="9" t="str">
        <f ca="1">IF(OR(ISNUMBER(Table1[[#This Row],[Order_Date]])=FALSE,Table1[[#This Row],[Order_Date]]&lt;DATE(2000,1,1),Table1[[#This Row],[Order_Date]]&gt;TODAY()),"YES","NO")</f>
        <v>NO</v>
      </c>
    </row>
    <row r="143" spans="1:16" x14ac:dyDescent="0.3">
      <c r="A143">
        <v>100138</v>
      </c>
      <c r="B143" s="8">
        <v>45297.708333333343</v>
      </c>
      <c r="C143" t="s">
        <v>14</v>
      </c>
      <c r="D143" t="s">
        <v>55</v>
      </c>
      <c r="E143" t="s">
        <v>68</v>
      </c>
      <c r="F143" t="s">
        <v>71</v>
      </c>
      <c r="G143">
        <v>2</v>
      </c>
      <c r="H143">
        <v>53.86</v>
      </c>
      <c r="I143">
        <v>5</v>
      </c>
      <c r="J143" t="s">
        <v>73</v>
      </c>
      <c r="K143" t="s">
        <v>79</v>
      </c>
      <c r="L143">
        <v>107.72</v>
      </c>
      <c r="M143">
        <v>5.3860000000000001</v>
      </c>
      <c r="N143">
        <v>102.334</v>
      </c>
      <c r="O1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43" s="9" t="str">
        <f ca="1">IF(OR(ISNUMBER(Table1[[#This Row],[Order_Date]])=FALSE,Table1[[#This Row],[Order_Date]]&lt;DATE(2000,1,1),Table1[[#This Row],[Order_Date]]&gt;TODAY()),"YES","NO")</f>
        <v>NO</v>
      </c>
    </row>
    <row r="144" spans="1:16" x14ac:dyDescent="0.3">
      <c r="A144">
        <v>100139</v>
      </c>
      <c r="B144" s="8">
        <v>45297.75</v>
      </c>
      <c r="C144" t="s">
        <v>14</v>
      </c>
      <c r="D144" t="s">
        <v>53</v>
      </c>
      <c r="E144" t="s">
        <v>69</v>
      </c>
      <c r="F144" t="s">
        <v>71</v>
      </c>
      <c r="G144">
        <v>4</v>
      </c>
      <c r="H144">
        <v>109.4</v>
      </c>
      <c r="I144">
        <v>5</v>
      </c>
      <c r="J144" t="s">
        <v>74</v>
      </c>
      <c r="K144" t="s">
        <v>77</v>
      </c>
      <c r="L144">
        <v>437.6</v>
      </c>
      <c r="M144">
        <v>21.88</v>
      </c>
      <c r="N144">
        <v>415.72</v>
      </c>
      <c r="O1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4" s="9" t="str">
        <f ca="1">IF(OR(ISNUMBER(Table1[[#This Row],[Order_Date]])=FALSE,Table1[[#This Row],[Order_Date]]&lt;DATE(2000,1,1),Table1[[#This Row],[Order_Date]]&gt;TODAY()),"YES","NO")</f>
        <v>NO</v>
      </c>
    </row>
    <row r="145" spans="1:16" x14ac:dyDescent="0.3">
      <c r="A145">
        <v>100140</v>
      </c>
      <c r="B145" s="8">
        <v>45297.791666666657</v>
      </c>
      <c r="C145" t="s">
        <v>14</v>
      </c>
      <c r="D145" t="s">
        <v>54</v>
      </c>
      <c r="E145" t="s">
        <v>67</v>
      </c>
      <c r="F145" t="s">
        <v>72</v>
      </c>
      <c r="G145">
        <v>3</v>
      </c>
      <c r="H145">
        <v>63.31</v>
      </c>
      <c r="I145">
        <v>15</v>
      </c>
      <c r="J145" t="s">
        <v>76</v>
      </c>
      <c r="K145" t="s">
        <v>77</v>
      </c>
      <c r="L145">
        <v>189.93</v>
      </c>
      <c r="M145">
        <v>28.4895</v>
      </c>
      <c r="N145">
        <v>161.44049999999999</v>
      </c>
      <c r="O1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5" s="9" t="str">
        <f ca="1">IF(OR(ISNUMBER(Table1[[#This Row],[Order_Date]])=FALSE,Table1[[#This Row],[Order_Date]]&lt;DATE(2000,1,1),Table1[[#This Row],[Order_Date]]&gt;TODAY()),"YES","NO")</f>
        <v>NO</v>
      </c>
    </row>
    <row r="146" spans="1:16" x14ac:dyDescent="0.3">
      <c r="A146">
        <v>100141</v>
      </c>
      <c r="B146" s="8">
        <v>45297.833333333343</v>
      </c>
      <c r="C146" t="s">
        <v>15</v>
      </c>
      <c r="D146" t="s">
        <v>53</v>
      </c>
      <c r="E146" t="s">
        <v>67</v>
      </c>
      <c r="F146" t="s">
        <v>72</v>
      </c>
      <c r="G146">
        <v>3</v>
      </c>
      <c r="H146">
        <v>26.61</v>
      </c>
      <c r="I146">
        <v>0</v>
      </c>
      <c r="J146" t="s">
        <v>74</v>
      </c>
      <c r="K146" t="s">
        <v>77</v>
      </c>
      <c r="L146">
        <v>79.83</v>
      </c>
      <c r="M146">
        <v>0</v>
      </c>
      <c r="N146">
        <v>79.83</v>
      </c>
      <c r="O1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6" s="9" t="str">
        <f ca="1">IF(OR(ISNUMBER(Table1[[#This Row],[Order_Date]])=FALSE,Table1[[#This Row],[Order_Date]]&lt;DATE(2000,1,1),Table1[[#This Row],[Order_Date]]&gt;TODAY()),"YES","NO")</f>
        <v>NO</v>
      </c>
    </row>
    <row r="147" spans="1:16" x14ac:dyDescent="0.3">
      <c r="A147">
        <v>100142</v>
      </c>
      <c r="B147" s="8">
        <v>45297.875</v>
      </c>
      <c r="C147" t="s">
        <v>14</v>
      </c>
      <c r="D147" t="s">
        <v>30</v>
      </c>
      <c r="E147" t="s">
        <v>69</v>
      </c>
      <c r="F147" t="s">
        <v>71</v>
      </c>
      <c r="G147">
        <v>3</v>
      </c>
      <c r="H147">
        <v>13.85</v>
      </c>
      <c r="I147">
        <v>10</v>
      </c>
      <c r="J147" t="s">
        <v>75</v>
      </c>
      <c r="K147" t="s">
        <v>77</v>
      </c>
      <c r="L147">
        <v>41.55</v>
      </c>
      <c r="M147">
        <v>4.1550000000000002</v>
      </c>
      <c r="N147">
        <v>37.395000000000003</v>
      </c>
      <c r="O1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7" s="9" t="str">
        <f ca="1">IF(OR(ISNUMBER(Table1[[#This Row],[Order_Date]])=FALSE,Table1[[#This Row],[Order_Date]]&lt;DATE(2000,1,1),Table1[[#This Row],[Order_Date]]&gt;TODAY()),"YES","NO")</f>
        <v>NO</v>
      </c>
    </row>
    <row r="148" spans="1:16" x14ac:dyDescent="0.3">
      <c r="A148">
        <v>100143</v>
      </c>
      <c r="B148" s="8">
        <v>45297.916666666657</v>
      </c>
      <c r="C148" t="s">
        <v>15</v>
      </c>
      <c r="D148" t="s">
        <v>48</v>
      </c>
      <c r="E148" t="s">
        <v>69</v>
      </c>
      <c r="F148" t="s">
        <v>71</v>
      </c>
      <c r="G148">
        <v>4</v>
      </c>
      <c r="H148">
        <v>85.06</v>
      </c>
      <c r="I148">
        <v>5</v>
      </c>
      <c r="J148" t="s">
        <v>75</v>
      </c>
      <c r="K148" t="s">
        <v>77</v>
      </c>
      <c r="L148">
        <v>340.24</v>
      </c>
      <c r="M148">
        <v>17.012</v>
      </c>
      <c r="N148">
        <v>323.22800000000001</v>
      </c>
      <c r="O1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48" s="9" t="str">
        <f ca="1">IF(OR(ISNUMBER(Table1[[#This Row],[Order_Date]])=FALSE,Table1[[#This Row],[Order_Date]]&lt;DATE(2000,1,1),Table1[[#This Row],[Order_Date]]&gt;TODAY()),"YES","NO")</f>
        <v>NO</v>
      </c>
    </row>
    <row r="149" spans="1:16" x14ac:dyDescent="0.3">
      <c r="A149">
        <v>100144</v>
      </c>
      <c r="B149" s="8">
        <v>45297.958333333343</v>
      </c>
      <c r="C149" t="s">
        <v>15</v>
      </c>
      <c r="D149" t="s">
        <v>37</v>
      </c>
      <c r="E149" t="s">
        <v>69</v>
      </c>
      <c r="F149" t="s">
        <v>72</v>
      </c>
      <c r="G149">
        <v>5</v>
      </c>
      <c r="H149">
        <v>49.02</v>
      </c>
      <c r="I149">
        <v>5</v>
      </c>
      <c r="J149" t="s">
        <v>73</v>
      </c>
      <c r="K149" t="s">
        <v>79</v>
      </c>
      <c r="L149">
        <v>245.1</v>
      </c>
      <c r="M149">
        <v>12.255000000000001</v>
      </c>
      <c r="N149">
        <v>232.845</v>
      </c>
      <c r="O1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49" s="9" t="str">
        <f ca="1">IF(OR(ISNUMBER(Table1[[#This Row],[Order_Date]])=FALSE,Table1[[#This Row],[Order_Date]]&lt;DATE(2000,1,1),Table1[[#This Row],[Order_Date]]&gt;TODAY()),"YES","NO")</f>
        <v>NO</v>
      </c>
    </row>
    <row r="150" spans="1:16" x14ac:dyDescent="0.3">
      <c r="A150">
        <v>100145</v>
      </c>
      <c r="B150" s="8">
        <v>45298</v>
      </c>
      <c r="C150" t="s">
        <v>15</v>
      </c>
      <c r="D150" t="s">
        <v>48</v>
      </c>
      <c r="E150" t="s">
        <v>67</v>
      </c>
      <c r="F150" t="s">
        <v>72</v>
      </c>
      <c r="G150">
        <v>5</v>
      </c>
      <c r="H150">
        <v>99.51</v>
      </c>
      <c r="I150">
        <v>0</v>
      </c>
      <c r="J150" t="s">
        <v>75</v>
      </c>
      <c r="K150" t="s">
        <v>78</v>
      </c>
      <c r="L150">
        <v>497.55</v>
      </c>
      <c r="M150">
        <v>0</v>
      </c>
      <c r="N150">
        <v>497.55</v>
      </c>
      <c r="O1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50" s="9" t="str">
        <f ca="1">IF(OR(ISNUMBER(Table1[[#This Row],[Order_Date]])=FALSE,Table1[[#This Row],[Order_Date]]&lt;DATE(2000,1,1),Table1[[#This Row],[Order_Date]]&gt;TODAY()),"YES","NO")</f>
        <v>NO</v>
      </c>
    </row>
    <row r="151" spans="1:16" x14ac:dyDescent="0.3">
      <c r="A151">
        <v>100146</v>
      </c>
      <c r="B151" s="8">
        <v>45298.041666666657</v>
      </c>
      <c r="C151" t="s">
        <v>14</v>
      </c>
      <c r="D151" t="s">
        <v>43</v>
      </c>
      <c r="E151" t="s">
        <v>67</v>
      </c>
      <c r="F151" t="s">
        <v>71</v>
      </c>
      <c r="G151">
        <v>2</v>
      </c>
      <c r="H151">
        <v>80.84</v>
      </c>
      <c r="I151">
        <v>0</v>
      </c>
      <c r="J151" t="s">
        <v>74</v>
      </c>
      <c r="K151" t="s">
        <v>77</v>
      </c>
      <c r="L151">
        <v>161.68</v>
      </c>
      <c r="M151">
        <v>0</v>
      </c>
      <c r="N151">
        <v>161.68</v>
      </c>
      <c r="O1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1" s="9" t="str">
        <f ca="1">IF(OR(ISNUMBER(Table1[[#This Row],[Order_Date]])=FALSE,Table1[[#This Row],[Order_Date]]&lt;DATE(2000,1,1),Table1[[#This Row],[Order_Date]]&gt;TODAY()),"YES","NO")</f>
        <v>NO</v>
      </c>
    </row>
    <row r="152" spans="1:16" x14ac:dyDescent="0.3">
      <c r="A152">
        <v>100147</v>
      </c>
      <c r="B152" s="8">
        <v>45298.083333333343</v>
      </c>
      <c r="C152" t="s">
        <v>14</v>
      </c>
      <c r="D152" t="s">
        <v>23</v>
      </c>
      <c r="E152" t="s">
        <v>69</v>
      </c>
      <c r="F152" t="s">
        <v>72</v>
      </c>
      <c r="G152">
        <v>5</v>
      </c>
      <c r="H152">
        <v>96.57</v>
      </c>
      <c r="I152">
        <v>10</v>
      </c>
      <c r="J152" t="s">
        <v>76</v>
      </c>
      <c r="K152" t="s">
        <v>77</v>
      </c>
      <c r="L152">
        <v>482.85</v>
      </c>
      <c r="M152">
        <v>48.284999999999997</v>
      </c>
      <c r="N152">
        <v>434.56499999999988</v>
      </c>
      <c r="O1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2" s="9" t="str">
        <f ca="1">IF(OR(ISNUMBER(Table1[[#This Row],[Order_Date]])=FALSE,Table1[[#This Row],[Order_Date]]&lt;DATE(2000,1,1),Table1[[#This Row],[Order_Date]]&gt;TODAY()),"YES","NO")</f>
        <v>NO</v>
      </c>
    </row>
    <row r="153" spans="1:16" x14ac:dyDescent="0.3">
      <c r="A153">
        <v>100148</v>
      </c>
      <c r="B153" s="8">
        <v>45298.125</v>
      </c>
      <c r="C153" t="s">
        <v>14</v>
      </c>
      <c r="D153" t="s">
        <v>37</v>
      </c>
      <c r="E153" t="s">
        <v>66</v>
      </c>
      <c r="F153" t="s">
        <v>72</v>
      </c>
      <c r="G153">
        <v>5</v>
      </c>
      <c r="H153">
        <v>36.270000000000003</v>
      </c>
      <c r="I153">
        <v>15</v>
      </c>
      <c r="J153" t="s">
        <v>75</v>
      </c>
      <c r="K153" t="s">
        <v>77</v>
      </c>
      <c r="L153">
        <v>181.35</v>
      </c>
      <c r="M153">
        <v>27.202500000000001</v>
      </c>
      <c r="N153">
        <v>154.14750000000001</v>
      </c>
      <c r="O1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3" s="9" t="str">
        <f ca="1">IF(OR(ISNUMBER(Table1[[#This Row],[Order_Date]])=FALSE,Table1[[#This Row],[Order_Date]]&lt;DATE(2000,1,1),Table1[[#This Row],[Order_Date]]&gt;TODAY()),"YES","NO")</f>
        <v>NO</v>
      </c>
    </row>
    <row r="154" spans="1:16" x14ac:dyDescent="0.3">
      <c r="A154">
        <v>100149</v>
      </c>
      <c r="B154" s="8">
        <v>45298.166666666657</v>
      </c>
      <c r="C154" t="s">
        <v>14</v>
      </c>
      <c r="D154" t="s">
        <v>34</v>
      </c>
      <c r="E154" t="s">
        <v>66</v>
      </c>
      <c r="F154" t="s">
        <v>72</v>
      </c>
      <c r="G154">
        <v>3</v>
      </c>
      <c r="H154">
        <v>84.62</v>
      </c>
      <c r="I154">
        <v>0</v>
      </c>
      <c r="J154" t="s">
        <v>73</v>
      </c>
      <c r="K154" t="s">
        <v>77</v>
      </c>
      <c r="L154">
        <v>253.86</v>
      </c>
      <c r="M154">
        <v>0</v>
      </c>
      <c r="N154">
        <v>253.86</v>
      </c>
      <c r="O1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4" s="9" t="str">
        <f ca="1">IF(OR(ISNUMBER(Table1[[#This Row],[Order_Date]])=FALSE,Table1[[#This Row],[Order_Date]]&lt;DATE(2000,1,1),Table1[[#This Row],[Order_Date]]&gt;TODAY()),"YES","NO")</f>
        <v>NO</v>
      </c>
    </row>
    <row r="155" spans="1:16" x14ac:dyDescent="0.3">
      <c r="A155">
        <v>100150</v>
      </c>
      <c r="B155" s="8">
        <v>45298.208333333343</v>
      </c>
      <c r="C155" t="s">
        <v>15</v>
      </c>
      <c r="D155" t="s">
        <v>51</v>
      </c>
      <c r="E155" t="s">
        <v>70</v>
      </c>
      <c r="F155" t="s">
        <v>71</v>
      </c>
      <c r="G155">
        <v>3</v>
      </c>
      <c r="H155">
        <v>35.369999999999997</v>
      </c>
      <c r="I155">
        <v>15</v>
      </c>
      <c r="J155" t="s">
        <v>74</v>
      </c>
      <c r="K155" t="s">
        <v>77</v>
      </c>
      <c r="L155">
        <v>106.11</v>
      </c>
      <c r="M155">
        <v>15.916499999999999</v>
      </c>
      <c r="N155">
        <v>90.193499999999986</v>
      </c>
      <c r="O1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5" s="9" t="str">
        <f ca="1">IF(OR(ISNUMBER(Table1[[#This Row],[Order_Date]])=FALSE,Table1[[#This Row],[Order_Date]]&lt;DATE(2000,1,1),Table1[[#This Row],[Order_Date]]&gt;TODAY()),"YES","NO")</f>
        <v>NO</v>
      </c>
    </row>
    <row r="156" spans="1:16" x14ac:dyDescent="0.3">
      <c r="A156">
        <v>100151</v>
      </c>
      <c r="B156" s="8">
        <v>45298.25</v>
      </c>
      <c r="C156" t="s">
        <v>14</v>
      </c>
      <c r="D156" t="s">
        <v>40</v>
      </c>
      <c r="E156" t="s">
        <v>68</v>
      </c>
      <c r="F156" t="s">
        <v>71</v>
      </c>
      <c r="G156">
        <v>2</v>
      </c>
      <c r="H156">
        <v>112.99</v>
      </c>
      <c r="I156">
        <v>10</v>
      </c>
      <c r="J156" t="s">
        <v>73</v>
      </c>
      <c r="K156" t="s">
        <v>77</v>
      </c>
      <c r="L156">
        <v>225.98</v>
      </c>
      <c r="M156">
        <v>22.597999999999999</v>
      </c>
      <c r="N156">
        <v>203.38200000000001</v>
      </c>
      <c r="O1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6" s="9" t="str">
        <f ca="1">IF(OR(ISNUMBER(Table1[[#This Row],[Order_Date]])=FALSE,Table1[[#This Row],[Order_Date]]&lt;DATE(2000,1,1),Table1[[#This Row],[Order_Date]]&gt;TODAY()),"YES","NO")</f>
        <v>NO</v>
      </c>
    </row>
    <row r="157" spans="1:16" x14ac:dyDescent="0.3">
      <c r="A157">
        <v>100152</v>
      </c>
      <c r="B157" s="8">
        <v>45298.291666666657</v>
      </c>
      <c r="C157" t="s">
        <v>14</v>
      </c>
      <c r="D157" t="s">
        <v>28</v>
      </c>
      <c r="E157" t="s">
        <v>66</v>
      </c>
      <c r="F157" t="s">
        <v>71</v>
      </c>
      <c r="G157">
        <v>1</v>
      </c>
      <c r="H157">
        <v>78.180000000000007</v>
      </c>
      <c r="I157">
        <v>15</v>
      </c>
      <c r="J157" t="s">
        <v>75</v>
      </c>
      <c r="K157" t="s">
        <v>79</v>
      </c>
      <c r="L157">
        <v>78.180000000000007</v>
      </c>
      <c r="M157">
        <v>11.727</v>
      </c>
      <c r="N157">
        <v>66.453000000000003</v>
      </c>
      <c r="O1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57" s="9" t="str">
        <f ca="1">IF(OR(ISNUMBER(Table1[[#This Row],[Order_Date]])=FALSE,Table1[[#This Row],[Order_Date]]&lt;DATE(2000,1,1),Table1[[#This Row],[Order_Date]]&gt;TODAY()),"YES","NO")</f>
        <v>NO</v>
      </c>
    </row>
    <row r="158" spans="1:16" x14ac:dyDescent="0.3">
      <c r="A158">
        <v>100153</v>
      </c>
      <c r="B158" s="8">
        <v>45298.333333333343</v>
      </c>
      <c r="C158" t="s">
        <v>14</v>
      </c>
      <c r="D158" t="s">
        <v>27</v>
      </c>
      <c r="E158" t="s">
        <v>67</v>
      </c>
      <c r="F158" t="s">
        <v>72</v>
      </c>
      <c r="G158">
        <v>2</v>
      </c>
      <c r="H158">
        <v>42.32</v>
      </c>
      <c r="I158">
        <v>5</v>
      </c>
      <c r="J158" t="s">
        <v>75</v>
      </c>
      <c r="K158" t="s">
        <v>77</v>
      </c>
      <c r="L158">
        <v>84.64</v>
      </c>
      <c r="M158">
        <v>4.2320000000000002</v>
      </c>
      <c r="N158">
        <v>80.408000000000001</v>
      </c>
      <c r="O1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8" s="9" t="str">
        <f ca="1">IF(OR(ISNUMBER(Table1[[#This Row],[Order_Date]])=FALSE,Table1[[#This Row],[Order_Date]]&lt;DATE(2000,1,1),Table1[[#This Row],[Order_Date]]&gt;TODAY()),"YES","NO")</f>
        <v>NO</v>
      </c>
    </row>
    <row r="159" spans="1:16" x14ac:dyDescent="0.3">
      <c r="A159">
        <v>100154</v>
      </c>
      <c r="B159" s="8">
        <v>45298.375</v>
      </c>
      <c r="C159" t="s">
        <v>14</v>
      </c>
      <c r="D159" t="s">
        <v>21</v>
      </c>
      <c r="E159" t="s">
        <v>66</v>
      </c>
      <c r="F159" t="s">
        <v>72</v>
      </c>
      <c r="G159">
        <v>2</v>
      </c>
      <c r="H159">
        <v>35.99</v>
      </c>
      <c r="I159">
        <v>15</v>
      </c>
      <c r="J159" t="s">
        <v>73</v>
      </c>
      <c r="K159" t="s">
        <v>77</v>
      </c>
      <c r="L159">
        <v>71.98</v>
      </c>
      <c r="M159">
        <v>10.797000000000001</v>
      </c>
      <c r="N159">
        <v>61.183000000000007</v>
      </c>
      <c r="O1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59" s="9" t="str">
        <f ca="1">IF(OR(ISNUMBER(Table1[[#This Row],[Order_Date]])=FALSE,Table1[[#This Row],[Order_Date]]&lt;DATE(2000,1,1),Table1[[#This Row],[Order_Date]]&gt;TODAY()),"YES","NO")</f>
        <v>NO</v>
      </c>
    </row>
    <row r="160" spans="1:16" x14ac:dyDescent="0.3">
      <c r="A160">
        <v>100155</v>
      </c>
      <c r="B160" s="8">
        <v>45298.416666666657</v>
      </c>
      <c r="C160" t="s">
        <v>14</v>
      </c>
      <c r="D160" t="s">
        <v>61</v>
      </c>
      <c r="E160" t="s">
        <v>70</v>
      </c>
      <c r="F160" t="s">
        <v>71</v>
      </c>
      <c r="G160">
        <v>4</v>
      </c>
      <c r="H160">
        <v>26.96</v>
      </c>
      <c r="I160">
        <v>10</v>
      </c>
      <c r="J160" t="s">
        <v>74</v>
      </c>
      <c r="K160" t="s">
        <v>77</v>
      </c>
      <c r="L160">
        <v>107.84</v>
      </c>
      <c r="M160">
        <v>10.784000000000001</v>
      </c>
      <c r="N160">
        <v>97.055999999999997</v>
      </c>
      <c r="O1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0" s="9" t="str">
        <f ca="1">IF(OR(ISNUMBER(Table1[[#This Row],[Order_Date]])=FALSE,Table1[[#This Row],[Order_Date]]&lt;DATE(2000,1,1),Table1[[#This Row],[Order_Date]]&gt;TODAY()),"YES","NO")</f>
        <v>NO</v>
      </c>
    </row>
    <row r="161" spans="1:16" x14ac:dyDescent="0.3">
      <c r="A161">
        <v>100156</v>
      </c>
      <c r="B161" s="8">
        <v>45298.458333333343</v>
      </c>
      <c r="C161" t="s">
        <v>15</v>
      </c>
      <c r="D161" t="s">
        <v>42</v>
      </c>
      <c r="E161" t="s">
        <v>70</v>
      </c>
      <c r="F161" t="s">
        <v>71</v>
      </c>
      <c r="G161">
        <v>4</v>
      </c>
      <c r="H161">
        <v>84.88</v>
      </c>
      <c r="I161">
        <v>10</v>
      </c>
      <c r="J161" t="s">
        <v>75</v>
      </c>
      <c r="K161" t="s">
        <v>77</v>
      </c>
      <c r="L161">
        <v>339.52</v>
      </c>
      <c r="M161">
        <v>33.951999999999998</v>
      </c>
      <c r="N161">
        <v>305.56799999999998</v>
      </c>
      <c r="O1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1" s="9" t="str">
        <f ca="1">IF(OR(ISNUMBER(Table1[[#This Row],[Order_Date]])=FALSE,Table1[[#This Row],[Order_Date]]&lt;DATE(2000,1,1),Table1[[#This Row],[Order_Date]]&gt;TODAY()),"YES","NO")</f>
        <v>NO</v>
      </c>
    </row>
    <row r="162" spans="1:16" x14ac:dyDescent="0.3">
      <c r="A162">
        <v>100157</v>
      </c>
      <c r="B162" s="8">
        <v>45298.5</v>
      </c>
      <c r="C162" t="s">
        <v>14</v>
      </c>
      <c r="D162" t="s">
        <v>40</v>
      </c>
      <c r="E162" t="s">
        <v>68</v>
      </c>
      <c r="F162" t="s">
        <v>71</v>
      </c>
      <c r="G162">
        <v>2</v>
      </c>
      <c r="H162">
        <v>30.15</v>
      </c>
      <c r="I162">
        <v>10</v>
      </c>
      <c r="J162" t="s">
        <v>76</v>
      </c>
      <c r="K162" t="s">
        <v>77</v>
      </c>
      <c r="L162">
        <v>60.3</v>
      </c>
      <c r="M162">
        <v>6.03</v>
      </c>
      <c r="N162">
        <v>54.27</v>
      </c>
      <c r="O1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2" s="9" t="str">
        <f ca="1">IF(OR(ISNUMBER(Table1[[#This Row],[Order_Date]])=FALSE,Table1[[#This Row],[Order_Date]]&lt;DATE(2000,1,1),Table1[[#This Row],[Order_Date]]&gt;TODAY()),"YES","NO")</f>
        <v>NO</v>
      </c>
    </row>
    <row r="163" spans="1:16" x14ac:dyDescent="0.3">
      <c r="A163">
        <v>100158</v>
      </c>
      <c r="B163" s="8">
        <v>45298.541666666657</v>
      </c>
      <c r="C163" t="s">
        <v>15</v>
      </c>
      <c r="D163" t="s">
        <v>26</v>
      </c>
      <c r="E163" t="s">
        <v>66</v>
      </c>
      <c r="F163" t="s">
        <v>72</v>
      </c>
      <c r="G163">
        <v>2</v>
      </c>
      <c r="H163">
        <v>73.459999999999994</v>
      </c>
      <c r="I163">
        <v>15</v>
      </c>
      <c r="J163" t="s">
        <v>75</v>
      </c>
      <c r="K163" t="s">
        <v>77</v>
      </c>
      <c r="L163">
        <v>146.91999999999999</v>
      </c>
      <c r="M163">
        <v>22.038</v>
      </c>
      <c r="N163">
        <v>124.88200000000001</v>
      </c>
      <c r="O1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3" s="9" t="str">
        <f ca="1">IF(OR(ISNUMBER(Table1[[#This Row],[Order_Date]])=FALSE,Table1[[#This Row],[Order_Date]]&lt;DATE(2000,1,1),Table1[[#This Row],[Order_Date]]&gt;TODAY()),"YES","NO")</f>
        <v>NO</v>
      </c>
    </row>
    <row r="164" spans="1:16" x14ac:dyDescent="0.3">
      <c r="A164">
        <v>100159</v>
      </c>
      <c r="B164" s="8">
        <v>45298.583333333343</v>
      </c>
      <c r="C164" t="s">
        <v>14</v>
      </c>
      <c r="D164" t="s">
        <v>36</v>
      </c>
      <c r="E164" t="s">
        <v>67</v>
      </c>
      <c r="F164" t="s">
        <v>71</v>
      </c>
      <c r="G164">
        <v>2</v>
      </c>
      <c r="H164">
        <v>35.43</v>
      </c>
      <c r="I164">
        <v>5</v>
      </c>
      <c r="J164" t="s">
        <v>74</v>
      </c>
      <c r="K164" t="s">
        <v>77</v>
      </c>
      <c r="L164">
        <v>70.86</v>
      </c>
      <c r="M164">
        <v>3.5430000000000001</v>
      </c>
      <c r="N164">
        <v>67.316999999999993</v>
      </c>
      <c r="O1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4" s="9" t="str">
        <f ca="1">IF(OR(ISNUMBER(Table1[[#This Row],[Order_Date]])=FALSE,Table1[[#This Row],[Order_Date]]&lt;DATE(2000,1,1),Table1[[#This Row],[Order_Date]]&gt;TODAY()),"YES","NO")</f>
        <v>NO</v>
      </c>
    </row>
    <row r="165" spans="1:16" x14ac:dyDescent="0.3">
      <c r="A165">
        <v>100160</v>
      </c>
      <c r="B165" s="8">
        <v>45298.625</v>
      </c>
      <c r="C165" t="s">
        <v>15</v>
      </c>
      <c r="D165" t="s">
        <v>28</v>
      </c>
      <c r="E165" t="s">
        <v>67</v>
      </c>
      <c r="F165" t="s">
        <v>71</v>
      </c>
      <c r="G165">
        <v>5</v>
      </c>
      <c r="H165">
        <v>81.13</v>
      </c>
      <c r="I165">
        <v>0</v>
      </c>
      <c r="J165" t="s">
        <v>75</v>
      </c>
      <c r="K165" t="s">
        <v>77</v>
      </c>
      <c r="L165">
        <v>405.65</v>
      </c>
      <c r="M165">
        <v>0</v>
      </c>
      <c r="N165">
        <v>405.65</v>
      </c>
      <c r="O1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5" s="9" t="str">
        <f ca="1">IF(OR(ISNUMBER(Table1[[#This Row],[Order_Date]])=FALSE,Table1[[#This Row],[Order_Date]]&lt;DATE(2000,1,1),Table1[[#This Row],[Order_Date]]&gt;TODAY()),"YES","NO")</f>
        <v>NO</v>
      </c>
    </row>
    <row r="166" spans="1:16" x14ac:dyDescent="0.3">
      <c r="A166">
        <v>100161</v>
      </c>
      <c r="B166" s="8">
        <v>45298.666666666657</v>
      </c>
      <c r="C166" t="s">
        <v>14</v>
      </c>
      <c r="D166" t="s">
        <v>45</v>
      </c>
      <c r="E166" t="s">
        <v>69</v>
      </c>
      <c r="F166" t="s">
        <v>72</v>
      </c>
      <c r="G166">
        <v>4</v>
      </c>
      <c r="H166">
        <v>98.72</v>
      </c>
      <c r="I166">
        <v>5</v>
      </c>
      <c r="J166" t="s">
        <v>73</v>
      </c>
      <c r="K166" t="s">
        <v>77</v>
      </c>
      <c r="L166">
        <v>394.88</v>
      </c>
      <c r="M166">
        <v>19.744</v>
      </c>
      <c r="N166">
        <v>375.13600000000002</v>
      </c>
      <c r="O1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6" s="9" t="str">
        <f ca="1">IF(OR(ISNUMBER(Table1[[#This Row],[Order_Date]])=FALSE,Table1[[#This Row],[Order_Date]]&lt;DATE(2000,1,1),Table1[[#This Row],[Order_Date]]&gt;TODAY()),"YES","NO")</f>
        <v>NO</v>
      </c>
    </row>
    <row r="167" spans="1:16" x14ac:dyDescent="0.3">
      <c r="A167">
        <v>100162</v>
      </c>
      <c r="B167" s="8">
        <v>45298.708333333343</v>
      </c>
      <c r="C167" t="s">
        <v>14</v>
      </c>
      <c r="D167" t="s">
        <v>57</v>
      </c>
      <c r="E167" t="s">
        <v>67</v>
      </c>
      <c r="F167" t="s">
        <v>72</v>
      </c>
      <c r="G167">
        <v>2</v>
      </c>
      <c r="H167">
        <v>94.47</v>
      </c>
      <c r="I167">
        <v>15</v>
      </c>
      <c r="J167" t="s">
        <v>75</v>
      </c>
      <c r="K167" t="s">
        <v>77</v>
      </c>
      <c r="L167">
        <v>188.94</v>
      </c>
      <c r="M167">
        <v>28.341000000000001</v>
      </c>
      <c r="N167">
        <v>160.59899999999999</v>
      </c>
      <c r="O1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7" s="9" t="str">
        <f ca="1">IF(OR(ISNUMBER(Table1[[#This Row],[Order_Date]])=FALSE,Table1[[#This Row],[Order_Date]]&lt;DATE(2000,1,1),Table1[[#This Row],[Order_Date]]&gt;TODAY()),"YES","NO")</f>
        <v>NO</v>
      </c>
    </row>
    <row r="168" spans="1:16" x14ac:dyDescent="0.3">
      <c r="A168">
        <v>100163</v>
      </c>
      <c r="B168" s="8">
        <v>45298.75</v>
      </c>
      <c r="C168" t="s">
        <v>15</v>
      </c>
      <c r="D168" t="s">
        <v>41</v>
      </c>
      <c r="E168" t="s">
        <v>68</v>
      </c>
      <c r="F168" t="s">
        <v>72</v>
      </c>
      <c r="G168">
        <v>3</v>
      </c>
      <c r="H168">
        <v>92.5</v>
      </c>
      <c r="I168">
        <v>15</v>
      </c>
      <c r="J168" t="s">
        <v>75</v>
      </c>
      <c r="K168" t="s">
        <v>77</v>
      </c>
      <c r="L168">
        <v>277.5</v>
      </c>
      <c r="M168">
        <v>41.625</v>
      </c>
      <c r="N168">
        <v>235.875</v>
      </c>
      <c r="O1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8" s="9" t="str">
        <f ca="1">IF(OR(ISNUMBER(Table1[[#This Row],[Order_Date]])=FALSE,Table1[[#This Row],[Order_Date]]&lt;DATE(2000,1,1),Table1[[#This Row],[Order_Date]]&gt;TODAY()),"YES","NO")</f>
        <v>NO</v>
      </c>
    </row>
    <row r="169" spans="1:16" x14ac:dyDescent="0.3">
      <c r="A169">
        <v>100164</v>
      </c>
      <c r="B169" s="8">
        <v>45298.791666666657</v>
      </c>
      <c r="C169" t="s">
        <v>15</v>
      </c>
      <c r="D169" t="s">
        <v>24</v>
      </c>
      <c r="E169" t="s">
        <v>68</v>
      </c>
      <c r="F169" t="s">
        <v>71</v>
      </c>
      <c r="G169">
        <v>3</v>
      </c>
      <c r="H169">
        <v>26.59</v>
      </c>
      <c r="I169">
        <v>0</v>
      </c>
      <c r="J169" t="s">
        <v>74</v>
      </c>
      <c r="K169" t="s">
        <v>77</v>
      </c>
      <c r="L169">
        <v>79.77</v>
      </c>
      <c r="M169">
        <v>0</v>
      </c>
      <c r="N169">
        <v>79.77</v>
      </c>
      <c r="O1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69" s="9" t="str">
        <f ca="1">IF(OR(ISNUMBER(Table1[[#This Row],[Order_Date]])=FALSE,Table1[[#This Row],[Order_Date]]&lt;DATE(2000,1,1),Table1[[#This Row],[Order_Date]]&gt;TODAY()),"YES","NO")</f>
        <v>NO</v>
      </c>
    </row>
    <row r="170" spans="1:16" x14ac:dyDescent="0.3">
      <c r="A170">
        <v>100165</v>
      </c>
      <c r="B170" s="8">
        <v>45298.833333333343</v>
      </c>
      <c r="C170" t="s">
        <v>15</v>
      </c>
      <c r="D170" t="s">
        <v>44</v>
      </c>
      <c r="E170" t="s">
        <v>67</v>
      </c>
      <c r="F170" t="s">
        <v>72</v>
      </c>
      <c r="G170">
        <v>5</v>
      </c>
      <c r="H170">
        <v>15.16</v>
      </c>
      <c r="I170">
        <v>15</v>
      </c>
      <c r="J170" t="s">
        <v>73</v>
      </c>
      <c r="K170" t="s">
        <v>77</v>
      </c>
      <c r="L170">
        <v>75.8</v>
      </c>
      <c r="M170">
        <v>11.37</v>
      </c>
      <c r="N170">
        <v>64.429999999999993</v>
      </c>
      <c r="O1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0" s="9" t="str">
        <f ca="1">IF(OR(ISNUMBER(Table1[[#This Row],[Order_Date]])=FALSE,Table1[[#This Row],[Order_Date]]&lt;DATE(2000,1,1),Table1[[#This Row],[Order_Date]]&gt;TODAY()),"YES","NO")</f>
        <v>NO</v>
      </c>
    </row>
    <row r="171" spans="1:16" x14ac:dyDescent="0.3">
      <c r="A171">
        <v>100166</v>
      </c>
      <c r="B171" s="8">
        <v>45298.875</v>
      </c>
      <c r="C171" t="s">
        <v>14</v>
      </c>
      <c r="D171" t="s">
        <v>38</v>
      </c>
      <c r="E171" t="s">
        <v>67</v>
      </c>
      <c r="F171" t="s">
        <v>72</v>
      </c>
      <c r="G171">
        <v>5</v>
      </c>
      <c r="H171">
        <v>85.38</v>
      </c>
      <c r="I171">
        <v>10</v>
      </c>
      <c r="J171" t="s">
        <v>74</v>
      </c>
      <c r="K171" t="s">
        <v>77</v>
      </c>
      <c r="L171">
        <v>426.9</v>
      </c>
      <c r="M171">
        <v>42.69</v>
      </c>
      <c r="N171">
        <v>384.21</v>
      </c>
      <c r="O1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1" s="9" t="str">
        <f ca="1">IF(OR(ISNUMBER(Table1[[#This Row],[Order_Date]])=FALSE,Table1[[#This Row],[Order_Date]]&lt;DATE(2000,1,1),Table1[[#This Row],[Order_Date]]&gt;TODAY()),"YES","NO")</f>
        <v>NO</v>
      </c>
    </row>
    <row r="172" spans="1:16" x14ac:dyDescent="0.3">
      <c r="A172">
        <v>100167</v>
      </c>
      <c r="B172" s="8">
        <v>45298.916666666657</v>
      </c>
      <c r="C172" t="s">
        <v>15</v>
      </c>
      <c r="D172" t="s">
        <v>52</v>
      </c>
      <c r="E172" t="s">
        <v>69</v>
      </c>
      <c r="F172" t="s">
        <v>71</v>
      </c>
      <c r="G172">
        <v>1</v>
      </c>
      <c r="H172">
        <v>47.36</v>
      </c>
      <c r="I172">
        <v>10</v>
      </c>
      <c r="J172" t="s">
        <v>75</v>
      </c>
      <c r="K172" t="s">
        <v>77</v>
      </c>
      <c r="L172">
        <v>47.36</v>
      </c>
      <c r="M172">
        <v>4.7359999999999998</v>
      </c>
      <c r="N172">
        <v>42.624000000000002</v>
      </c>
      <c r="O1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2" s="9" t="str">
        <f ca="1">IF(OR(ISNUMBER(Table1[[#This Row],[Order_Date]])=FALSE,Table1[[#This Row],[Order_Date]]&lt;DATE(2000,1,1),Table1[[#This Row],[Order_Date]]&gt;TODAY()),"YES","NO")</f>
        <v>NO</v>
      </c>
    </row>
    <row r="173" spans="1:16" x14ac:dyDescent="0.3">
      <c r="A173">
        <v>100168</v>
      </c>
      <c r="B173" s="8">
        <v>45298.958333333343</v>
      </c>
      <c r="C173" t="s">
        <v>14</v>
      </c>
      <c r="D173" t="s">
        <v>41</v>
      </c>
      <c r="E173" t="s">
        <v>67</v>
      </c>
      <c r="F173" t="s">
        <v>72</v>
      </c>
      <c r="G173">
        <v>1</v>
      </c>
      <c r="H173">
        <v>54.72</v>
      </c>
      <c r="I173">
        <v>10</v>
      </c>
      <c r="J173" t="s">
        <v>76</v>
      </c>
      <c r="K173" t="s">
        <v>77</v>
      </c>
      <c r="L173">
        <v>54.72</v>
      </c>
      <c r="M173">
        <v>5.4720000000000004</v>
      </c>
      <c r="N173">
        <v>49.247999999999998</v>
      </c>
      <c r="O1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3" s="9" t="str">
        <f ca="1">IF(OR(ISNUMBER(Table1[[#This Row],[Order_Date]])=FALSE,Table1[[#This Row],[Order_Date]]&lt;DATE(2000,1,1),Table1[[#This Row],[Order_Date]]&gt;TODAY()),"YES","NO")</f>
        <v>NO</v>
      </c>
    </row>
    <row r="174" spans="1:16" x14ac:dyDescent="0.3">
      <c r="A174">
        <v>100169</v>
      </c>
      <c r="B174" s="8">
        <v>45299</v>
      </c>
      <c r="C174" t="s">
        <v>14</v>
      </c>
      <c r="D174" t="s">
        <v>35</v>
      </c>
      <c r="E174" t="s">
        <v>69</v>
      </c>
      <c r="F174" t="s">
        <v>71</v>
      </c>
      <c r="G174">
        <v>1</v>
      </c>
      <c r="H174">
        <v>8.58</v>
      </c>
      <c r="I174">
        <v>10</v>
      </c>
      <c r="J174" t="s">
        <v>75</v>
      </c>
      <c r="K174" t="s">
        <v>77</v>
      </c>
      <c r="L174">
        <v>8.58</v>
      </c>
      <c r="M174">
        <v>0.8580000000000001</v>
      </c>
      <c r="N174">
        <v>7.7220000000000004</v>
      </c>
      <c r="O1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4" s="9" t="str">
        <f ca="1">IF(OR(ISNUMBER(Table1[[#This Row],[Order_Date]])=FALSE,Table1[[#This Row],[Order_Date]]&lt;DATE(2000,1,1),Table1[[#This Row],[Order_Date]]&gt;TODAY()),"YES","NO")</f>
        <v>NO</v>
      </c>
    </row>
    <row r="175" spans="1:16" x14ac:dyDescent="0.3">
      <c r="A175">
        <v>100170</v>
      </c>
      <c r="B175" s="8">
        <v>45299.041666666657</v>
      </c>
      <c r="C175" t="s">
        <v>15</v>
      </c>
      <c r="D175" t="s">
        <v>43</v>
      </c>
      <c r="E175" t="s">
        <v>69</v>
      </c>
      <c r="F175" t="s">
        <v>71</v>
      </c>
      <c r="G175">
        <v>5</v>
      </c>
      <c r="H175">
        <v>34.85</v>
      </c>
      <c r="I175">
        <v>10</v>
      </c>
      <c r="J175" t="s">
        <v>74</v>
      </c>
      <c r="K175" t="s">
        <v>77</v>
      </c>
      <c r="L175">
        <v>174.25</v>
      </c>
      <c r="M175">
        <v>17.425000000000001</v>
      </c>
      <c r="N175">
        <v>156.82499999999999</v>
      </c>
      <c r="O1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5" s="9" t="str">
        <f ca="1">IF(OR(ISNUMBER(Table1[[#This Row],[Order_Date]])=FALSE,Table1[[#This Row],[Order_Date]]&lt;DATE(2000,1,1),Table1[[#This Row],[Order_Date]]&gt;TODAY()),"YES","NO")</f>
        <v>NO</v>
      </c>
    </row>
    <row r="176" spans="1:16" x14ac:dyDescent="0.3">
      <c r="A176">
        <v>100171</v>
      </c>
      <c r="B176" s="8">
        <v>45299.083333333343</v>
      </c>
      <c r="C176" t="s">
        <v>15</v>
      </c>
      <c r="D176" t="s">
        <v>17</v>
      </c>
      <c r="E176" t="s">
        <v>67</v>
      </c>
      <c r="F176" t="s">
        <v>72</v>
      </c>
      <c r="G176">
        <v>5</v>
      </c>
      <c r="H176">
        <v>8.8699999999999992</v>
      </c>
      <c r="I176">
        <v>15</v>
      </c>
      <c r="J176" t="s">
        <v>76</v>
      </c>
      <c r="K176" t="s">
        <v>77</v>
      </c>
      <c r="L176">
        <v>44.349999999999987</v>
      </c>
      <c r="M176">
        <v>6.652499999999999</v>
      </c>
      <c r="N176">
        <v>37.697499999999998</v>
      </c>
      <c r="O1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6" s="9" t="str">
        <f ca="1">IF(OR(ISNUMBER(Table1[[#This Row],[Order_Date]])=FALSE,Table1[[#This Row],[Order_Date]]&lt;DATE(2000,1,1),Table1[[#This Row],[Order_Date]]&gt;TODAY()),"YES","NO")</f>
        <v>NO</v>
      </c>
    </row>
    <row r="177" spans="1:16" x14ac:dyDescent="0.3">
      <c r="A177">
        <v>100172</v>
      </c>
      <c r="B177" s="8">
        <v>45299.125</v>
      </c>
      <c r="C177" t="s">
        <v>14</v>
      </c>
      <c r="D177" t="s">
        <v>41</v>
      </c>
      <c r="E177" t="s">
        <v>70</v>
      </c>
      <c r="F177" t="s">
        <v>72</v>
      </c>
      <c r="G177">
        <v>5</v>
      </c>
      <c r="H177">
        <v>106.11</v>
      </c>
      <c r="I177">
        <v>0</v>
      </c>
      <c r="J177" t="s">
        <v>74</v>
      </c>
      <c r="K177" t="s">
        <v>77</v>
      </c>
      <c r="L177">
        <v>530.54999999999995</v>
      </c>
      <c r="M177">
        <v>0</v>
      </c>
      <c r="N177">
        <v>530.54999999999995</v>
      </c>
      <c r="O1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7" s="9" t="str">
        <f ca="1">IF(OR(ISNUMBER(Table1[[#This Row],[Order_Date]])=FALSE,Table1[[#This Row],[Order_Date]]&lt;DATE(2000,1,1),Table1[[#This Row],[Order_Date]]&gt;TODAY()),"YES","NO")</f>
        <v>NO</v>
      </c>
    </row>
    <row r="178" spans="1:16" x14ac:dyDescent="0.3">
      <c r="A178">
        <v>100173</v>
      </c>
      <c r="B178" s="8">
        <v>45299.166666666657</v>
      </c>
      <c r="C178" t="s">
        <v>14</v>
      </c>
      <c r="D178" t="s">
        <v>29</v>
      </c>
      <c r="E178" t="s">
        <v>70</v>
      </c>
      <c r="F178" t="s">
        <v>72</v>
      </c>
      <c r="G178">
        <v>3</v>
      </c>
      <c r="H178">
        <v>32.99</v>
      </c>
      <c r="I178">
        <v>0</v>
      </c>
      <c r="J178" t="s">
        <v>74</v>
      </c>
      <c r="K178" t="s">
        <v>77</v>
      </c>
      <c r="L178">
        <v>98.97</v>
      </c>
      <c r="M178">
        <v>0</v>
      </c>
      <c r="N178">
        <v>98.97</v>
      </c>
      <c r="O1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78" s="9" t="str">
        <f ca="1">IF(OR(ISNUMBER(Table1[[#This Row],[Order_Date]])=FALSE,Table1[[#This Row],[Order_Date]]&lt;DATE(2000,1,1),Table1[[#This Row],[Order_Date]]&gt;TODAY()),"YES","NO")</f>
        <v>NO</v>
      </c>
    </row>
    <row r="179" spans="1:16" x14ac:dyDescent="0.3">
      <c r="A179">
        <v>100174</v>
      </c>
      <c r="B179" s="8">
        <v>45299.208333333343</v>
      </c>
      <c r="C179" t="s">
        <v>15</v>
      </c>
      <c r="D179" t="s">
        <v>42</v>
      </c>
      <c r="E179" t="s">
        <v>69</v>
      </c>
      <c r="F179" t="s">
        <v>72</v>
      </c>
      <c r="G179">
        <v>5</v>
      </c>
      <c r="H179">
        <v>69.09</v>
      </c>
      <c r="I179">
        <v>10</v>
      </c>
      <c r="J179" t="s">
        <v>73</v>
      </c>
      <c r="K179" t="s">
        <v>79</v>
      </c>
      <c r="L179">
        <v>345.45</v>
      </c>
      <c r="M179">
        <v>34.545000000000009</v>
      </c>
      <c r="N179">
        <v>310.90499999999997</v>
      </c>
      <c r="O1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79" s="9" t="str">
        <f ca="1">IF(OR(ISNUMBER(Table1[[#This Row],[Order_Date]])=FALSE,Table1[[#This Row],[Order_Date]]&lt;DATE(2000,1,1),Table1[[#This Row],[Order_Date]]&gt;TODAY()),"YES","NO")</f>
        <v>NO</v>
      </c>
    </row>
    <row r="180" spans="1:16" x14ac:dyDescent="0.3">
      <c r="A180">
        <v>100175</v>
      </c>
      <c r="B180" s="8">
        <v>45299.25</v>
      </c>
      <c r="C180" t="s">
        <v>15</v>
      </c>
      <c r="D180" t="s">
        <v>29</v>
      </c>
      <c r="E180" t="s">
        <v>67</v>
      </c>
      <c r="F180" t="s">
        <v>72</v>
      </c>
      <c r="G180">
        <v>3</v>
      </c>
      <c r="H180">
        <v>9.48</v>
      </c>
      <c r="I180">
        <v>15</v>
      </c>
      <c r="J180" t="s">
        <v>76</v>
      </c>
      <c r="K180" t="s">
        <v>77</v>
      </c>
      <c r="L180">
        <v>28.44</v>
      </c>
      <c r="M180">
        <v>4.266</v>
      </c>
      <c r="N180">
        <v>24.173999999999999</v>
      </c>
      <c r="O1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0" s="9" t="str">
        <f ca="1">IF(OR(ISNUMBER(Table1[[#This Row],[Order_Date]])=FALSE,Table1[[#This Row],[Order_Date]]&lt;DATE(2000,1,1),Table1[[#This Row],[Order_Date]]&gt;TODAY()),"YES","NO")</f>
        <v>NO</v>
      </c>
    </row>
    <row r="181" spans="1:16" x14ac:dyDescent="0.3">
      <c r="A181">
        <v>100176</v>
      </c>
      <c r="B181" s="8">
        <v>45299.291666666657</v>
      </c>
      <c r="C181" t="s">
        <v>15</v>
      </c>
      <c r="D181" t="s">
        <v>33</v>
      </c>
      <c r="E181" t="s">
        <v>70</v>
      </c>
      <c r="F181" t="s">
        <v>72</v>
      </c>
      <c r="G181">
        <v>1</v>
      </c>
      <c r="H181">
        <v>81.69</v>
      </c>
      <c r="I181">
        <v>5</v>
      </c>
      <c r="J181" t="s">
        <v>75</v>
      </c>
      <c r="K181" t="s">
        <v>78</v>
      </c>
      <c r="L181">
        <v>81.69</v>
      </c>
      <c r="M181">
        <v>4.0845000000000002</v>
      </c>
      <c r="N181">
        <v>77.605499999999992</v>
      </c>
      <c r="O1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81" s="9" t="str">
        <f ca="1">IF(OR(ISNUMBER(Table1[[#This Row],[Order_Date]])=FALSE,Table1[[#This Row],[Order_Date]]&lt;DATE(2000,1,1),Table1[[#This Row],[Order_Date]]&gt;TODAY()),"YES","NO")</f>
        <v>NO</v>
      </c>
    </row>
    <row r="182" spans="1:16" x14ac:dyDescent="0.3">
      <c r="A182">
        <v>100177</v>
      </c>
      <c r="B182" s="8">
        <v>45299.333333333343</v>
      </c>
      <c r="C182" t="s">
        <v>14</v>
      </c>
      <c r="D182" t="s">
        <v>62</v>
      </c>
      <c r="E182" t="s">
        <v>67</v>
      </c>
      <c r="F182" t="s">
        <v>71</v>
      </c>
      <c r="G182">
        <v>1</v>
      </c>
      <c r="H182">
        <v>42.15</v>
      </c>
      <c r="I182">
        <v>5</v>
      </c>
      <c r="J182" t="s">
        <v>74</v>
      </c>
      <c r="K182" t="s">
        <v>77</v>
      </c>
      <c r="L182">
        <v>42.15</v>
      </c>
      <c r="M182">
        <v>2.1074999999999999</v>
      </c>
      <c r="N182">
        <v>40.042499999999997</v>
      </c>
      <c r="O1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2" s="9" t="str">
        <f ca="1">IF(OR(ISNUMBER(Table1[[#This Row],[Order_Date]])=FALSE,Table1[[#This Row],[Order_Date]]&lt;DATE(2000,1,1),Table1[[#This Row],[Order_Date]]&gt;TODAY()),"YES","NO")</f>
        <v>NO</v>
      </c>
    </row>
    <row r="183" spans="1:16" x14ac:dyDescent="0.3">
      <c r="A183">
        <v>100178</v>
      </c>
      <c r="B183" s="8">
        <v>45299.375</v>
      </c>
      <c r="C183" t="s">
        <v>14</v>
      </c>
      <c r="D183" t="s">
        <v>22</v>
      </c>
      <c r="E183" t="s">
        <v>67</v>
      </c>
      <c r="F183" t="s">
        <v>71</v>
      </c>
      <c r="G183">
        <v>1</v>
      </c>
      <c r="H183">
        <v>108.26</v>
      </c>
      <c r="I183">
        <v>15</v>
      </c>
      <c r="J183" t="s">
        <v>75</v>
      </c>
      <c r="K183" t="s">
        <v>77</v>
      </c>
      <c r="L183">
        <v>108.26</v>
      </c>
      <c r="M183">
        <v>16.239000000000001</v>
      </c>
      <c r="N183">
        <v>92.021000000000001</v>
      </c>
      <c r="O1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3" s="9" t="str">
        <f ca="1">IF(OR(ISNUMBER(Table1[[#This Row],[Order_Date]])=FALSE,Table1[[#This Row],[Order_Date]]&lt;DATE(2000,1,1),Table1[[#This Row],[Order_Date]]&gt;TODAY()),"YES","NO")</f>
        <v>NO</v>
      </c>
    </row>
    <row r="184" spans="1:16" x14ac:dyDescent="0.3">
      <c r="A184">
        <v>100179</v>
      </c>
      <c r="B184" s="8">
        <v>45299.416666666657</v>
      </c>
      <c r="C184" t="s">
        <v>14</v>
      </c>
      <c r="D184" t="s">
        <v>16</v>
      </c>
      <c r="E184" t="s">
        <v>67</v>
      </c>
      <c r="F184" t="s">
        <v>72</v>
      </c>
      <c r="G184">
        <v>2</v>
      </c>
      <c r="H184">
        <v>107.13</v>
      </c>
      <c r="I184">
        <v>10</v>
      </c>
      <c r="J184" t="s">
        <v>73</v>
      </c>
      <c r="K184" t="s">
        <v>78</v>
      </c>
      <c r="L184">
        <v>214.26</v>
      </c>
      <c r="M184">
        <v>21.425999999999998</v>
      </c>
      <c r="N184">
        <v>192.834</v>
      </c>
      <c r="O1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84" s="9" t="str">
        <f ca="1">IF(OR(ISNUMBER(Table1[[#This Row],[Order_Date]])=FALSE,Table1[[#This Row],[Order_Date]]&lt;DATE(2000,1,1),Table1[[#This Row],[Order_Date]]&gt;TODAY()),"YES","NO")</f>
        <v>NO</v>
      </c>
    </row>
    <row r="185" spans="1:16" x14ac:dyDescent="0.3">
      <c r="A185">
        <v>100180</v>
      </c>
      <c r="B185" s="8">
        <v>45299.458333333343</v>
      </c>
      <c r="C185" t="s">
        <v>14</v>
      </c>
      <c r="D185" t="s">
        <v>41</v>
      </c>
      <c r="E185" t="s">
        <v>66</v>
      </c>
      <c r="F185" t="s">
        <v>71</v>
      </c>
      <c r="G185">
        <v>2</v>
      </c>
      <c r="H185">
        <v>42.41</v>
      </c>
      <c r="I185">
        <v>0</v>
      </c>
      <c r="J185" t="s">
        <v>73</v>
      </c>
      <c r="K185" t="s">
        <v>77</v>
      </c>
      <c r="L185">
        <v>84.82</v>
      </c>
      <c r="M185">
        <v>0</v>
      </c>
      <c r="N185">
        <v>84.82</v>
      </c>
      <c r="O1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5" s="9" t="str">
        <f ca="1">IF(OR(ISNUMBER(Table1[[#This Row],[Order_Date]])=FALSE,Table1[[#This Row],[Order_Date]]&lt;DATE(2000,1,1),Table1[[#This Row],[Order_Date]]&gt;TODAY()),"YES","NO")</f>
        <v>NO</v>
      </c>
    </row>
    <row r="186" spans="1:16" x14ac:dyDescent="0.3">
      <c r="A186">
        <v>100181</v>
      </c>
      <c r="B186" s="8">
        <v>45299.5</v>
      </c>
      <c r="C186" t="s">
        <v>14</v>
      </c>
      <c r="D186" t="s">
        <v>64</v>
      </c>
      <c r="E186" t="s">
        <v>67</v>
      </c>
      <c r="F186" t="s">
        <v>72</v>
      </c>
      <c r="G186">
        <v>4</v>
      </c>
      <c r="H186">
        <v>108.61</v>
      </c>
      <c r="I186">
        <v>15</v>
      </c>
      <c r="J186" t="s">
        <v>76</v>
      </c>
      <c r="K186" t="s">
        <v>77</v>
      </c>
      <c r="L186">
        <v>434.44</v>
      </c>
      <c r="M186">
        <v>65.165999999999997</v>
      </c>
      <c r="N186">
        <v>369.274</v>
      </c>
      <c r="O1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6" s="9" t="str">
        <f ca="1">IF(OR(ISNUMBER(Table1[[#This Row],[Order_Date]])=FALSE,Table1[[#This Row],[Order_Date]]&lt;DATE(2000,1,1),Table1[[#This Row],[Order_Date]]&gt;TODAY()),"YES","NO")</f>
        <v>NO</v>
      </c>
    </row>
    <row r="187" spans="1:16" x14ac:dyDescent="0.3">
      <c r="A187">
        <v>100182</v>
      </c>
      <c r="B187" s="8">
        <v>45299.541666666657</v>
      </c>
      <c r="C187" t="s">
        <v>14</v>
      </c>
      <c r="D187" t="s">
        <v>36</v>
      </c>
      <c r="E187" t="s">
        <v>66</v>
      </c>
      <c r="F187" t="s">
        <v>71</v>
      </c>
      <c r="G187">
        <v>4</v>
      </c>
      <c r="H187">
        <v>119.56</v>
      </c>
      <c r="I187">
        <v>5</v>
      </c>
      <c r="J187" t="s">
        <v>73</v>
      </c>
      <c r="K187" t="s">
        <v>77</v>
      </c>
      <c r="L187">
        <v>478.24</v>
      </c>
      <c r="M187">
        <v>23.911999999999999</v>
      </c>
      <c r="N187">
        <v>454.32799999999997</v>
      </c>
      <c r="O1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7" s="9" t="str">
        <f ca="1">IF(OR(ISNUMBER(Table1[[#This Row],[Order_Date]])=FALSE,Table1[[#This Row],[Order_Date]]&lt;DATE(2000,1,1),Table1[[#This Row],[Order_Date]]&gt;TODAY()),"YES","NO")</f>
        <v>NO</v>
      </c>
    </row>
    <row r="188" spans="1:16" x14ac:dyDescent="0.3">
      <c r="A188">
        <v>100183</v>
      </c>
      <c r="B188" s="8">
        <v>45299.583333333343</v>
      </c>
      <c r="C188" t="s">
        <v>15</v>
      </c>
      <c r="D188" t="s">
        <v>55</v>
      </c>
      <c r="E188" t="s">
        <v>69</v>
      </c>
      <c r="F188" t="s">
        <v>71</v>
      </c>
      <c r="G188">
        <v>4</v>
      </c>
      <c r="H188">
        <v>99.92</v>
      </c>
      <c r="I188">
        <v>5</v>
      </c>
      <c r="J188" t="s">
        <v>73</v>
      </c>
      <c r="K188" t="s">
        <v>77</v>
      </c>
      <c r="L188">
        <v>399.68</v>
      </c>
      <c r="M188">
        <v>19.984000000000002</v>
      </c>
      <c r="N188">
        <v>379.69600000000003</v>
      </c>
      <c r="O1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8" s="9" t="str">
        <f ca="1">IF(OR(ISNUMBER(Table1[[#This Row],[Order_Date]])=FALSE,Table1[[#This Row],[Order_Date]]&lt;DATE(2000,1,1),Table1[[#This Row],[Order_Date]]&gt;TODAY()),"YES","NO")</f>
        <v>NO</v>
      </c>
    </row>
    <row r="189" spans="1:16" x14ac:dyDescent="0.3">
      <c r="A189">
        <v>100184</v>
      </c>
      <c r="B189" s="8">
        <v>45299.625</v>
      </c>
      <c r="C189" t="s">
        <v>14</v>
      </c>
      <c r="D189" t="s">
        <v>38</v>
      </c>
      <c r="E189" t="s">
        <v>70</v>
      </c>
      <c r="F189" t="s">
        <v>71</v>
      </c>
      <c r="G189">
        <v>2</v>
      </c>
      <c r="H189">
        <v>102.16</v>
      </c>
      <c r="I189">
        <v>5</v>
      </c>
      <c r="J189" t="s">
        <v>75</v>
      </c>
      <c r="K189" t="s">
        <v>77</v>
      </c>
      <c r="L189">
        <v>204.32</v>
      </c>
      <c r="M189">
        <v>10.215999999999999</v>
      </c>
      <c r="N189">
        <v>194.10400000000001</v>
      </c>
      <c r="O1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89" s="9" t="str">
        <f ca="1">IF(OR(ISNUMBER(Table1[[#This Row],[Order_Date]])=FALSE,Table1[[#This Row],[Order_Date]]&lt;DATE(2000,1,1),Table1[[#This Row],[Order_Date]]&gt;TODAY()),"YES","NO")</f>
        <v>NO</v>
      </c>
    </row>
    <row r="190" spans="1:16" x14ac:dyDescent="0.3">
      <c r="A190">
        <v>100185</v>
      </c>
      <c r="B190" s="8">
        <v>45299.666666666657</v>
      </c>
      <c r="C190" t="s">
        <v>14</v>
      </c>
      <c r="D190" t="s">
        <v>25</v>
      </c>
      <c r="E190" t="s">
        <v>70</v>
      </c>
      <c r="F190" t="s">
        <v>72</v>
      </c>
      <c r="G190">
        <v>2</v>
      </c>
      <c r="H190">
        <v>33.64</v>
      </c>
      <c r="I190">
        <v>10</v>
      </c>
      <c r="J190" t="s">
        <v>73</v>
      </c>
      <c r="K190" t="s">
        <v>77</v>
      </c>
      <c r="L190">
        <v>67.28</v>
      </c>
      <c r="M190">
        <v>6.7280000000000006</v>
      </c>
      <c r="N190">
        <v>60.552</v>
      </c>
      <c r="O1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90" s="9" t="str">
        <f ca="1">IF(OR(ISNUMBER(Table1[[#This Row],[Order_Date]])=FALSE,Table1[[#This Row],[Order_Date]]&lt;DATE(2000,1,1),Table1[[#This Row],[Order_Date]]&gt;TODAY()),"YES","NO")</f>
        <v>NO</v>
      </c>
    </row>
    <row r="191" spans="1:16" x14ac:dyDescent="0.3">
      <c r="A191">
        <v>100186</v>
      </c>
      <c r="B191" s="8">
        <v>45299.708333333343</v>
      </c>
      <c r="C191" t="s">
        <v>14</v>
      </c>
      <c r="D191" t="s">
        <v>59</v>
      </c>
      <c r="E191" t="s">
        <v>70</v>
      </c>
      <c r="F191" t="s">
        <v>71</v>
      </c>
      <c r="G191">
        <v>4</v>
      </c>
      <c r="H191">
        <v>71.319999999999993</v>
      </c>
      <c r="I191">
        <v>5</v>
      </c>
      <c r="J191" t="s">
        <v>73</v>
      </c>
      <c r="K191" t="s">
        <v>78</v>
      </c>
      <c r="L191">
        <v>285.27999999999997</v>
      </c>
      <c r="M191">
        <v>14.263999999999999</v>
      </c>
      <c r="N191">
        <v>271.01600000000002</v>
      </c>
      <c r="O1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91" s="9" t="str">
        <f ca="1">IF(OR(ISNUMBER(Table1[[#This Row],[Order_Date]])=FALSE,Table1[[#This Row],[Order_Date]]&lt;DATE(2000,1,1),Table1[[#This Row],[Order_Date]]&gt;TODAY()),"YES","NO")</f>
        <v>NO</v>
      </c>
    </row>
    <row r="192" spans="1:16" x14ac:dyDescent="0.3">
      <c r="A192">
        <v>100187</v>
      </c>
      <c r="B192" s="8">
        <v>45299.75</v>
      </c>
      <c r="C192" t="s">
        <v>15</v>
      </c>
      <c r="D192" t="s">
        <v>29</v>
      </c>
      <c r="E192" t="s">
        <v>70</v>
      </c>
      <c r="F192" t="s">
        <v>72</v>
      </c>
      <c r="G192">
        <v>4</v>
      </c>
      <c r="H192">
        <v>12.73</v>
      </c>
      <c r="I192">
        <v>15</v>
      </c>
      <c r="J192" t="s">
        <v>74</v>
      </c>
      <c r="K192" t="s">
        <v>77</v>
      </c>
      <c r="L192">
        <v>50.92</v>
      </c>
      <c r="M192">
        <v>7.6379999999999999</v>
      </c>
      <c r="N192">
        <v>43.281999999999996</v>
      </c>
      <c r="O1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92" s="9" t="str">
        <f ca="1">IF(OR(ISNUMBER(Table1[[#This Row],[Order_Date]])=FALSE,Table1[[#This Row],[Order_Date]]&lt;DATE(2000,1,1),Table1[[#This Row],[Order_Date]]&gt;TODAY()),"YES","NO")</f>
        <v>NO</v>
      </c>
    </row>
    <row r="193" spans="1:16" x14ac:dyDescent="0.3">
      <c r="A193">
        <v>100188</v>
      </c>
      <c r="B193" s="8">
        <v>45299.791666666657</v>
      </c>
      <c r="C193" t="s">
        <v>14</v>
      </c>
      <c r="D193" t="s">
        <v>42</v>
      </c>
      <c r="E193" t="s">
        <v>70</v>
      </c>
      <c r="F193" t="s">
        <v>71</v>
      </c>
      <c r="G193">
        <v>5</v>
      </c>
      <c r="H193">
        <v>15.92</v>
      </c>
      <c r="I193">
        <v>15</v>
      </c>
      <c r="J193" t="s">
        <v>73</v>
      </c>
      <c r="K193" t="s">
        <v>79</v>
      </c>
      <c r="L193">
        <v>79.599999999999994</v>
      </c>
      <c r="M193">
        <v>11.94</v>
      </c>
      <c r="N193">
        <v>67.66</v>
      </c>
      <c r="O1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93" s="9" t="str">
        <f ca="1">IF(OR(ISNUMBER(Table1[[#This Row],[Order_Date]])=FALSE,Table1[[#This Row],[Order_Date]]&lt;DATE(2000,1,1),Table1[[#This Row],[Order_Date]]&gt;TODAY()),"YES","NO")</f>
        <v>NO</v>
      </c>
    </row>
    <row r="194" spans="1:16" x14ac:dyDescent="0.3">
      <c r="A194">
        <v>100189</v>
      </c>
      <c r="B194" s="8">
        <v>45299.833333333343</v>
      </c>
      <c r="C194" t="s">
        <v>14</v>
      </c>
      <c r="D194" t="s">
        <v>52</v>
      </c>
      <c r="E194" t="s">
        <v>70</v>
      </c>
      <c r="F194" t="s">
        <v>71</v>
      </c>
      <c r="G194">
        <v>4</v>
      </c>
      <c r="H194">
        <v>119.87</v>
      </c>
      <c r="I194">
        <v>5</v>
      </c>
      <c r="J194" t="s">
        <v>74</v>
      </c>
      <c r="K194" t="s">
        <v>79</v>
      </c>
      <c r="L194">
        <v>479.48</v>
      </c>
      <c r="M194">
        <v>23.974</v>
      </c>
      <c r="N194">
        <v>455.50599999999997</v>
      </c>
      <c r="O1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94" s="9" t="str">
        <f ca="1">IF(OR(ISNUMBER(Table1[[#This Row],[Order_Date]])=FALSE,Table1[[#This Row],[Order_Date]]&lt;DATE(2000,1,1),Table1[[#This Row],[Order_Date]]&gt;TODAY()),"YES","NO")</f>
        <v>NO</v>
      </c>
    </row>
    <row r="195" spans="1:16" x14ac:dyDescent="0.3">
      <c r="A195">
        <v>100190</v>
      </c>
      <c r="B195" s="8">
        <v>45299.875</v>
      </c>
      <c r="C195" t="s">
        <v>15</v>
      </c>
      <c r="D195" t="s">
        <v>41</v>
      </c>
      <c r="E195" t="s">
        <v>70</v>
      </c>
      <c r="F195" t="s">
        <v>71</v>
      </c>
      <c r="G195">
        <v>5</v>
      </c>
      <c r="H195">
        <v>42.56</v>
      </c>
      <c r="I195">
        <v>15</v>
      </c>
      <c r="J195" t="s">
        <v>73</v>
      </c>
      <c r="K195" t="s">
        <v>77</v>
      </c>
      <c r="L195">
        <v>212.8</v>
      </c>
      <c r="M195">
        <v>31.92</v>
      </c>
      <c r="N195">
        <v>180.88</v>
      </c>
      <c r="O1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95" s="9" t="str">
        <f ca="1">IF(OR(ISNUMBER(Table1[[#This Row],[Order_Date]])=FALSE,Table1[[#This Row],[Order_Date]]&lt;DATE(2000,1,1),Table1[[#This Row],[Order_Date]]&gt;TODAY()),"YES","NO")</f>
        <v>NO</v>
      </c>
    </row>
    <row r="196" spans="1:16" x14ac:dyDescent="0.3">
      <c r="A196">
        <v>100191</v>
      </c>
      <c r="B196" s="8">
        <v>45299.916666666657</v>
      </c>
      <c r="C196" t="s">
        <v>14</v>
      </c>
      <c r="D196" t="s">
        <v>21</v>
      </c>
      <c r="E196" t="s">
        <v>69</v>
      </c>
      <c r="F196" t="s">
        <v>71</v>
      </c>
      <c r="G196">
        <v>3</v>
      </c>
      <c r="H196">
        <v>91.04</v>
      </c>
      <c r="I196">
        <v>5</v>
      </c>
      <c r="J196" t="s">
        <v>73</v>
      </c>
      <c r="K196" t="s">
        <v>77</v>
      </c>
      <c r="L196">
        <v>273.12</v>
      </c>
      <c r="M196">
        <v>13.656000000000001</v>
      </c>
      <c r="N196">
        <v>259.464</v>
      </c>
      <c r="O1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96" s="9" t="str">
        <f ca="1">IF(OR(ISNUMBER(Table1[[#This Row],[Order_Date]])=FALSE,Table1[[#This Row],[Order_Date]]&lt;DATE(2000,1,1),Table1[[#This Row],[Order_Date]]&gt;TODAY()),"YES","NO")</f>
        <v>NO</v>
      </c>
    </row>
    <row r="197" spans="1:16" x14ac:dyDescent="0.3">
      <c r="A197">
        <v>100192</v>
      </c>
      <c r="B197" s="8">
        <v>45299.958333333343</v>
      </c>
      <c r="C197" t="s">
        <v>14</v>
      </c>
      <c r="D197" t="s">
        <v>49</v>
      </c>
      <c r="E197" t="s">
        <v>67</v>
      </c>
      <c r="F197" t="s">
        <v>71</v>
      </c>
      <c r="G197">
        <v>2</v>
      </c>
      <c r="H197">
        <v>97.77</v>
      </c>
      <c r="I197">
        <v>5</v>
      </c>
      <c r="J197" t="s">
        <v>76</v>
      </c>
      <c r="K197" t="s">
        <v>78</v>
      </c>
      <c r="L197">
        <v>195.54</v>
      </c>
      <c r="M197">
        <v>9.777000000000001</v>
      </c>
      <c r="N197">
        <v>185.76300000000001</v>
      </c>
      <c r="O1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97" s="9" t="str">
        <f ca="1">IF(OR(ISNUMBER(Table1[[#This Row],[Order_Date]])=FALSE,Table1[[#This Row],[Order_Date]]&lt;DATE(2000,1,1),Table1[[#This Row],[Order_Date]]&gt;TODAY()),"YES","NO")</f>
        <v>NO</v>
      </c>
    </row>
    <row r="198" spans="1:16" x14ac:dyDescent="0.3">
      <c r="A198">
        <v>100193</v>
      </c>
      <c r="B198" s="8">
        <v>45300</v>
      </c>
      <c r="C198" t="s">
        <v>14</v>
      </c>
      <c r="D198" t="s">
        <v>52</v>
      </c>
      <c r="E198" t="s">
        <v>68</v>
      </c>
      <c r="F198" t="s">
        <v>72</v>
      </c>
      <c r="G198">
        <v>4</v>
      </c>
      <c r="H198">
        <v>103.67</v>
      </c>
      <c r="I198">
        <v>0</v>
      </c>
      <c r="J198" t="s">
        <v>76</v>
      </c>
      <c r="K198" t="s">
        <v>79</v>
      </c>
      <c r="L198">
        <v>414.68</v>
      </c>
      <c r="M198">
        <v>0</v>
      </c>
      <c r="N198">
        <v>414.68</v>
      </c>
      <c r="O1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198" s="9" t="str">
        <f ca="1">IF(OR(ISNUMBER(Table1[[#This Row],[Order_Date]])=FALSE,Table1[[#This Row],[Order_Date]]&lt;DATE(2000,1,1),Table1[[#This Row],[Order_Date]]&gt;TODAY()),"YES","NO")</f>
        <v>NO</v>
      </c>
    </row>
    <row r="199" spans="1:16" x14ac:dyDescent="0.3">
      <c r="A199">
        <v>100194</v>
      </c>
      <c r="B199" s="8">
        <v>45300.041666666657</v>
      </c>
      <c r="C199" t="s">
        <v>14</v>
      </c>
      <c r="D199" t="s">
        <v>60</v>
      </c>
      <c r="E199" t="s">
        <v>66</v>
      </c>
      <c r="F199" t="s">
        <v>72</v>
      </c>
      <c r="G199">
        <v>2</v>
      </c>
      <c r="H199">
        <v>119.73</v>
      </c>
      <c r="I199">
        <v>10</v>
      </c>
      <c r="J199" t="s">
        <v>74</v>
      </c>
      <c r="K199" t="s">
        <v>77</v>
      </c>
      <c r="L199">
        <v>239.46</v>
      </c>
      <c r="M199">
        <v>23.946000000000002</v>
      </c>
      <c r="N199">
        <v>215.51400000000001</v>
      </c>
      <c r="O1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99" s="9" t="str">
        <f ca="1">IF(OR(ISNUMBER(Table1[[#This Row],[Order_Date]])=FALSE,Table1[[#This Row],[Order_Date]]&lt;DATE(2000,1,1),Table1[[#This Row],[Order_Date]]&gt;TODAY()),"YES","NO")</f>
        <v>NO</v>
      </c>
    </row>
    <row r="200" spans="1:16" x14ac:dyDescent="0.3">
      <c r="A200">
        <v>100195</v>
      </c>
      <c r="B200" s="8">
        <v>45300.083333333343</v>
      </c>
      <c r="C200" t="s">
        <v>14</v>
      </c>
      <c r="D200" t="s">
        <v>31</v>
      </c>
      <c r="E200" t="s">
        <v>68</v>
      </c>
      <c r="F200" t="s">
        <v>71</v>
      </c>
      <c r="G200">
        <v>2</v>
      </c>
      <c r="H200">
        <v>32.770000000000003</v>
      </c>
      <c r="I200">
        <v>10</v>
      </c>
      <c r="J200" t="s">
        <v>73</v>
      </c>
      <c r="K200" t="s">
        <v>77</v>
      </c>
      <c r="L200">
        <v>65.540000000000006</v>
      </c>
      <c r="M200">
        <v>6.5540000000000012</v>
      </c>
      <c r="N200">
        <v>58.985999999999997</v>
      </c>
      <c r="O2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0" s="9" t="str">
        <f ca="1">IF(OR(ISNUMBER(Table1[[#This Row],[Order_Date]])=FALSE,Table1[[#This Row],[Order_Date]]&lt;DATE(2000,1,1),Table1[[#This Row],[Order_Date]]&gt;TODAY()),"YES","NO")</f>
        <v>NO</v>
      </c>
    </row>
    <row r="201" spans="1:16" x14ac:dyDescent="0.3">
      <c r="A201">
        <v>100196</v>
      </c>
      <c r="B201" s="8">
        <v>45300.125</v>
      </c>
      <c r="C201" t="s">
        <v>15</v>
      </c>
      <c r="D201" t="s">
        <v>35</v>
      </c>
      <c r="E201" t="s">
        <v>68</v>
      </c>
      <c r="F201" t="s">
        <v>71</v>
      </c>
      <c r="G201">
        <v>2</v>
      </c>
      <c r="H201">
        <v>9.64</v>
      </c>
      <c r="I201">
        <v>0</v>
      </c>
      <c r="J201" t="s">
        <v>75</v>
      </c>
      <c r="K201" t="s">
        <v>77</v>
      </c>
      <c r="L201">
        <v>19.28</v>
      </c>
      <c r="M201">
        <v>0</v>
      </c>
      <c r="N201">
        <v>19.28</v>
      </c>
      <c r="O2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1" s="9" t="str">
        <f ca="1">IF(OR(ISNUMBER(Table1[[#This Row],[Order_Date]])=FALSE,Table1[[#This Row],[Order_Date]]&lt;DATE(2000,1,1),Table1[[#This Row],[Order_Date]]&gt;TODAY()),"YES","NO")</f>
        <v>NO</v>
      </c>
    </row>
    <row r="202" spans="1:16" x14ac:dyDescent="0.3">
      <c r="A202">
        <v>100197</v>
      </c>
      <c r="B202" s="8">
        <v>45300.166666666657</v>
      </c>
      <c r="C202" t="s">
        <v>15</v>
      </c>
      <c r="D202" t="s">
        <v>41</v>
      </c>
      <c r="E202" t="s">
        <v>67</v>
      </c>
      <c r="F202" t="s">
        <v>71</v>
      </c>
      <c r="G202">
        <v>3</v>
      </c>
      <c r="H202">
        <v>52.29</v>
      </c>
      <c r="I202">
        <v>0</v>
      </c>
      <c r="J202" t="s">
        <v>76</v>
      </c>
      <c r="K202" t="s">
        <v>77</v>
      </c>
      <c r="L202">
        <v>156.87</v>
      </c>
      <c r="M202">
        <v>0</v>
      </c>
      <c r="N202">
        <v>156.87</v>
      </c>
      <c r="O2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2" s="9" t="str">
        <f ca="1">IF(OR(ISNUMBER(Table1[[#This Row],[Order_Date]])=FALSE,Table1[[#This Row],[Order_Date]]&lt;DATE(2000,1,1),Table1[[#This Row],[Order_Date]]&gt;TODAY()),"YES","NO")</f>
        <v>NO</v>
      </c>
    </row>
    <row r="203" spans="1:16" x14ac:dyDescent="0.3">
      <c r="A203">
        <v>100198</v>
      </c>
      <c r="B203" s="8">
        <v>45300.208333333343</v>
      </c>
      <c r="C203" t="s">
        <v>15</v>
      </c>
      <c r="D203" t="s">
        <v>52</v>
      </c>
      <c r="E203" t="s">
        <v>67</v>
      </c>
      <c r="F203" t="s">
        <v>71</v>
      </c>
      <c r="G203">
        <v>1</v>
      </c>
      <c r="H203">
        <v>19.96</v>
      </c>
      <c r="I203">
        <v>10</v>
      </c>
      <c r="J203" t="s">
        <v>75</v>
      </c>
      <c r="K203" t="s">
        <v>77</v>
      </c>
      <c r="L203">
        <v>19.96</v>
      </c>
      <c r="M203">
        <v>1.996</v>
      </c>
      <c r="N203">
        <v>17.963999999999999</v>
      </c>
      <c r="O2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3" s="9" t="str">
        <f ca="1">IF(OR(ISNUMBER(Table1[[#This Row],[Order_Date]])=FALSE,Table1[[#This Row],[Order_Date]]&lt;DATE(2000,1,1),Table1[[#This Row],[Order_Date]]&gt;TODAY()),"YES","NO")</f>
        <v>NO</v>
      </c>
    </row>
    <row r="204" spans="1:16" x14ac:dyDescent="0.3">
      <c r="A204">
        <v>100199</v>
      </c>
      <c r="B204" s="8">
        <v>45300.25</v>
      </c>
      <c r="C204" t="s">
        <v>14</v>
      </c>
      <c r="D204" t="s">
        <v>65</v>
      </c>
      <c r="E204" t="s">
        <v>67</v>
      </c>
      <c r="F204" t="s">
        <v>72</v>
      </c>
      <c r="G204">
        <v>4</v>
      </c>
      <c r="H204">
        <v>7.58</v>
      </c>
      <c r="I204">
        <v>5</v>
      </c>
      <c r="J204" t="s">
        <v>76</v>
      </c>
      <c r="K204" t="s">
        <v>77</v>
      </c>
      <c r="L204">
        <v>30.32</v>
      </c>
      <c r="M204">
        <v>1.516</v>
      </c>
      <c r="N204">
        <v>28.803999999999998</v>
      </c>
      <c r="O2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4" s="9" t="str">
        <f ca="1">IF(OR(ISNUMBER(Table1[[#This Row],[Order_Date]])=FALSE,Table1[[#This Row],[Order_Date]]&lt;DATE(2000,1,1),Table1[[#This Row],[Order_Date]]&gt;TODAY()),"YES","NO")</f>
        <v>NO</v>
      </c>
    </row>
    <row r="205" spans="1:16" x14ac:dyDescent="0.3">
      <c r="A205">
        <v>100200</v>
      </c>
      <c r="B205" s="8">
        <v>45300.291666666657</v>
      </c>
      <c r="C205" t="s">
        <v>14</v>
      </c>
      <c r="D205" t="s">
        <v>48</v>
      </c>
      <c r="E205" t="s">
        <v>70</v>
      </c>
      <c r="F205" t="s">
        <v>71</v>
      </c>
      <c r="G205">
        <v>1</v>
      </c>
      <c r="H205">
        <v>46.45</v>
      </c>
      <c r="I205">
        <v>5</v>
      </c>
      <c r="J205" t="s">
        <v>76</v>
      </c>
      <c r="K205" t="s">
        <v>77</v>
      </c>
      <c r="L205">
        <v>46.45</v>
      </c>
      <c r="M205">
        <v>2.3224999999999998</v>
      </c>
      <c r="N205">
        <v>44.127499999999998</v>
      </c>
      <c r="O2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5" s="9" t="str">
        <f ca="1">IF(OR(ISNUMBER(Table1[[#This Row],[Order_Date]])=FALSE,Table1[[#This Row],[Order_Date]]&lt;DATE(2000,1,1),Table1[[#This Row],[Order_Date]]&gt;TODAY()),"YES","NO")</f>
        <v>NO</v>
      </c>
    </row>
    <row r="206" spans="1:16" x14ac:dyDescent="0.3">
      <c r="A206">
        <v>100201</v>
      </c>
      <c r="B206" s="8">
        <v>45300.333333333343</v>
      </c>
      <c r="C206" t="s">
        <v>14</v>
      </c>
      <c r="D206" t="s">
        <v>29</v>
      </c>
      <c r="E206" t="s">
        <v>69</v>
      </c>
      <c r="F206" t="s">
        <v>72</v>
      </c>
      <c r="G206">
        <v>1</v>
      </c>
      <c r="H206">
        <v>95.13</v>
      </c>
      <c r="I206">
        <v>10</v>
      </c>
      <c r="J206" t="s">
        <v>73</v>
      </c>
      <c r="K206" t="s">
        <v>77</v>
      </c>
      <c r="L206">
        <v>95.13</v>
      </c>
      <c r="M206">
        <v>9.5129999999999999</v>
      </c>
      <c r="N206">
        <v>85.61699999999999</v>
      </c>
      <c r="O2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6" s="9" t="str">
        <f ca="1">IF(OR(ISNUMBER(Table1[[#This Row],[Order_Date]])=FALSE,Table1[[#This Row],[Order_Date]]&lt;DATE(2000,1,1),Table1[[#This Row],[Order_Date]]&gt;TODAY()),"YES","NO")</f>
        <v>NO</v>
      </c>
    </row>
    <row r="207" spans="1:16" x14ac:dyDescent="0.3">
      <c r="A207">
        <v>100202</v>
      </c>
      <c r="B207" s="8">
        <v>45300.375</v>
      </c>
      <c r="C207" t="s">
        <v>15</v>
      </c>
      <c r="D207" t="s">
        <v>49</v>
      </c>
      <c r="E207" t="s">
        <v>70</v>
      </c>
      <c r="F207" t="s">
        <v>71</v>
      </c>
      <c r="G207">
        <v>1</v>
      </c>
      <c r="H207">
        <v>70.11</v>
      </c>
      <c r="I207">
        <v>5</v>
      </c>
      <c r="J207" t="s">
        <v>76</v>
      </c>
      <c r="K207" t="s">
        <v>77</v>
      </c>
      <c r="L207">
        <v>70.11</v>
      </c>
      <c r="M207">
        <v>3.5055000000000001</v>
      </c>
      <c r="N207">
        <v>66.604500000000002</v>
      </c>
      <c r="O2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7" s="9" t="str">
        <f ca="1">IF(OR(ISNUMBER(Table1[[#This Row],[Order_Date]])=FALSE,Table1[[#This Row],[Order_Date]]&lt;DATE(2000,1,1),Table1[[#This Row],[Order_Date]]&gt;TODAY()),"YES","NO")</f>
        <v>NO</v>
      </c>
    </row>
    <row r="208" spans="1:16" x14ac:dyDescent="0.3">
      <c r="A208">
        <v>100203</v>
      </c>
      <c r="B208" s="8">
        <v>45300.416666666657</v>
      </c>
      <c r="C208" t="s">
        <v>14</v>
      </c>
      <c r="D208" t="s">
        <v>24</v>
      </c>
      <c r="E208" t="s">
        <v>69</v>
      </c>
      <c r="F208" t="s">
        <v>72</v>
      </c>
      <c r="G208">
        <v>2</v>
      </c>
      <c r="H208">
        <v>40.97</v>
      </c>
      <c r="I208">
        <v>0</v>
      </c>
      <c r="J208" t="s">
        <v>75</v>
      </c>
      <c r="K208" t="s">
        <v>77</v>
      </c>
      <c r="L208">
        <v>81.94</v>
      </c>
      <c r="M208">
        <v>0</v>
      </c>
      <c r="N208">
        <v>81.94</v>
      </c>
      <c r="O2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8" s="9" t="str">
        <f ca="1">IF(OR(ISNUMBER(Table1[[#This Row],[Order_Date]])=FALSE,Table1[[#This Row],[Order_Date]]&lt;DATE(2000,1,1),Table1[[#This Row],[Order_Date]]&gt;TODAY()),"YES","NO")</f>
        <v>NO</v>
      </c>
    </row>
    <row r="209" spans="1:16" x14ac:dyDescent="0.3">
      <c r="A209">
        <v>100204</v>
      </c>
      <c r="B209" s="8">
        <v>45300.458333333343</v>
      </c>
      <c r="C209" t="s">
        <v>14</v>
      </c>
      <c r="D209" t="s">
        <v>62</v>
      </c>
      <c r="E209" t="s">
        <v>69</v>
      </c>
      <c r="F209" t="s">
        <v>71</v>
      </c>
      <c r="G209">
        <v>5</v>
      </c>
      <c r="H209">
        <v>80.25</v>
      </c>
      <c r="I209">
        <v>5</v>
      </c>
      <c r="J209" t="s">
        <v>76</v>
      </c>
      <c r="K209" t="s">
        <v>77</v>
      </c>
      <c r="L209">
        <v>401.25</v>
      </c>
      <c r="M209">
        <v>20.0625</v>
      </c>
      <c r="N209">
        <v>381.1875</v>
      </c>
      <c r="O2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09" s="9" t="str">
        <f ca="1">IF(OR(ISNUMBER(Table1[[#This Row],[Order_Date]])=FALSE,Table1[[#This Row],[Order_Date]]&lt;DATE(2000,1,1),Table1[[#This Row],[Order_Date]]&gt;TODAY()),"YES","NO")</f>
        <v>NO</v>
      </c>
    </row>
    <row r="210" spans="1:16" x14ac:dyDescent="0.3">
      <c r="A210">
        <v>100205</v>
      </c>
      <c r="B210" s="8">
        <v>45300.5</v>
      </c>
      <c r="C210" t="s">
        <v>15</v>
      </c>
      <c r="D210" t="s">
        <v>29</v>
      </c>
      <c r="E210" t="s">
        <v>68</v>
      </c>
      <c r="F210" t="s">
        <v>71</v>
      </c>
      <c r="G210">
        <v>2</v>
      </c>
      <c r="H210">
        <v>31.68</v>
      </c>
      <c r="I210">
        <v>5</v>
      </c>
      <c r="J210" t="s">
        <v>74</v>
      </c>
      <c r="K210" t="s">
        <v>77</v>
      </c>
      <c r="L210">
        <v>63.36</v>
      </c>
      <c r="M210">
        <v>3.1680000000000001</v>
      </c>
      <c r="N210">
        <v>60.192</v>
      </c>
      <c r="O2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0" s="9" t="str">
        <f ca="1">IF(OR(ISNUMBER(Table1[[#This Row],[Order_Date]])=FALSE,Table1[[#This Row],[Order_Date]]&lt;DATE(2000,1,1),Table1[[#This Row],[Order_Date]]&gt;TODAY()),"YES","NO")</f>
        <v>NO</v>
      </c>
    </row>
    <row r="211" spans="1:16" x14ac:dyDescent="0.3">
      <c r="A211">
        <v>100206</v>
      </c>
      <c r="B211" s="8">
        <v>45300.541666666657</v>
      </c>
      <c r="C211" t="s">
        <v>14</v>
      </c>
      <c r="D211" t="s">
        <v>35</v>
      </c>
      <c r="E211" t="s">
        <v>68</v>
      </c>
      <c r="F211" t="s">
        <v>72</v>
      </c>
      <c r="G211">
        <v>2</v>
      </c>
      <c r="H211">
        <v>6.65</v>
      </c>
      <c r="I211">
        <v>15</v>
      </c>
      <c r="J211" t="s">
        <v>73</v>
      </c>
      <c r="K211" t="s">
        <v>77</v>
      </c>
      <c r="L211">
        <v>13.3</v>
      </c>
      <c r="M211">
        <v>1.9950000000000001</v>
      </c>
      <c r="N211">
        <v>11.305</v>
      </c>
      <c r="O2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1" s="9" t="str">
        <f ca="1">IF(OR(ISNUMBER(Table1[[#This Row],[Order_Date]])=FALSE,Table1[[#This Row],[Order_Date]]&lt;DATE(2000,1,1),Table1[[#This Row],[Order_Date]]&gt;TODAY()),"YES","NO")</f>
        <v>NO</v>
      </c>
    </row>
    <row r="212" spans="1:16" x14ac:dyDescent="0.3">
      <c r="A212">
        <v>100207</v>
      </c>
      <c r="B212" s="8">
        <v>45300.583333333343</v>
      </c>
      <c r="C212" t="s">
        <v>15</v>
      </c>
      <c r="D212" t="s">
        <v>27</v>
      </c>
      <c r="E212" t="s">
        <v>69</v>
      </c>
      <c r="F212" t="s">
        <v>71</v>
      </c>
      <c r="G212">
        <v>1</v>
      </c>
      <c r="H212">
        <v>92.9</v>
      </c>
      <c r="I212">
        <v>15</v>
      </c>
      <c r="J212" t="s">
        <v>73</v>
      </c>
      <c r="K212" t="s">
        <v>77</v>
      </c>
      <c r="L212">
        <v>92.9</v>
      </c>
      <c r="M212">
        <v>13.935</v>
      </c>
      <c r="N212">
        <v>78.965000000000003</v>
      </c>
      <c r="O2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2" s="9" t="str">
        <f ca="1">IF(OR(ISNUMBER(Table1[[#This Row],[Order_Date]])=FALSE,Table1[[#This Row],[Order_Date]]&lt;DATE(2000,1,1),Table1[[#This Row],[Order_Date]]&gt;TODAY()),"YES","NO")</f>
        <v>NO</v>
      </c>
    </row>
    <row r="213" spans="1:16" x14ac:dyDescent="0.3">
      <c r="A213">
        <v>100208</v>
      </c>
      <c r="B213" s="8">
        <v>45300.625</v>
      </c>
      <c r="C213" t="s">
        <v>15</v>
      </c>
      <c r="D213" t="s">
        <v>47</v>
      </c>
      <c r="E213" t="s">
        <v>69</v>
      </c>
      <c r="F213" t="s">
        <v>71</v>
      </c>
      <c r="G213">
        <v>2</v>
      </c>
      <c r="H213">
        <v>76.73</v>
      </c>
      <c r="I213">
        <v>15</v>
      </c>
      <c r="J213" t="s">
        <v>74</v>
      </c>
      <c r="K213" t="s">
        <v>77</v>
      </c>
      <c r="L213">
        <v>153.46</v>
      </c>
      <c r="M213">
        <v>23.018999999999998</v>
      </c>
      <c r="N213">
        <v>130.441</v>
      </c>
      <c r="O2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3" s="9" t="str">
        <f ca="1">IF(OR(ISNUMBER(Table1[[#This Row],[Order_Date]])=FALSE,Table1[[#This Row],[Order_Date]]&lt;DATE(2000,1,1),Table1[[#This Row],[Order_Date]]&gt;TODAY()),"YES","NO")</f>
        <v>NO</v>
      </c>
    </row>
    <row r="214" spans="1:16" x14ac:dyDescent="0.3">
      <c r="A214">
        <v>100209</v>
      </c>
      <c r="B214" s="8">
        <v>45300.666666666657</v>
      </c>
      <c r="C214" t="s">
        <v>15</v>
      </c>
      <c r="D214" t="s">
        <v>25</v>
      </c>
      <c r="E214" t="s">
        <v>70</v>
      </c>
      <c r="F214" t="s">
        <v>71</v>
      </c>
      <c r="G214">
        <v>1</v>
      </c>
      <c r="H214">
        <v>92.66</v>
      </c>
      <c r="I214">
        <v>5</v>
      </c>
      <c r="J214" t="s">
        <v>74</v>
      </c>
      <c r="K214" t="s">
        <v>79</v>
      </c>
      <c r="L214">
        <v>92.66</v>
      </c>
      <c r="M214">
        <v>4.633</v>
      </c>
      <c r="N214">
        <v>88.027000000000001</v>
      </c>
      <c r="O2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14" s="9" t="str">
        <f ca="1">IF(OR(ISNUMBER(Table1[[#This Row],[Order_Date]])=FALSE,Table1[[#This Row],[Order_Date]]&lt;DATE(2000,1,1),Table1[[#This Row],[Order_Date]]&gt;TODAY()),"YES","NO")</f>
        <v>NO</v>
      </c>
    </row>
    <row r="215" spans="1:16" x14ac:dyDescent="0.3">
      <c r="A215">
        <v>100210</v>
      </c>
      <c r="B215" s="8">
        <v>45300.708333333343</v>
      </c>
      <c r="C215" t="s">
        <v>14</v>
      </c>
      <c r="D215" t="s">
        <v>59</v>
      </c>
      <c r="E215" t="s">
        <v>70</v>
      </c>
      <c r="F215" t="s">
        <v>72</v>
      </c>
      <c r="G215">
        <v>5</v>
      </c>
      <c r="H215">
        <v>9.48</v>
      </c>
      <c r="I215">
        <v>10</v>
      </c>
      <c r="J215" t="s">
        <v>74</v>
      </c>
      <c r="K215" t="s">
        <v>77</v>
      </c>
      <c r="L215">
        <v>47.400000000000013</v>
      </c>
      <c r="M215">
        <v>4.7400000000000011</v>
      </c>
      <c r="N215">
        <v>42.66</v>
      </c>
      <c r="O2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5" s="9" t="str">
        <f ca="1">IF(OR(ISNUMBER(Table1[[#This Row],[Order_Date]])=FALSE,Table1[[#This Row],[Order_Date]]&lt;DATE(2000,1,1),Table1[[#This Row],[Order_Date]]&gt;TODAY()),"YES","NO")</f>
        <v>NO</v>
      </c>
    </row>
    <row r="216" spans="1:16" x14ac:dyDescent="0.3">
      <c r="A216">
        <v>100211</v>
      </c>
      <c r="B216" s="8">
        <v>45300.75</v>
      </c>
      <c r="C216" t="s">
        <v>14</v>
      </c>
      <c r="D216" t="s">
        <v>30</v>
      </c>
      <c r="E216" t="s">
        <v>68</v>
      </c>
      <c r="F216" t="s">
        <v>71</v>
      </c>
      <c r="G216">
        <v>4</v>
      </c>
      <c r="H216">
        <v>101.27</v>
      </c>
      <c r="I216">
        <v>0</v>
      </c>
      <c r="J216" t="s">
        <v>76</v>
      </c>
      <c r="K216" t="s">
        <v>77</v>
      </c>
      <c r="L216">
        <v>405.08</v>
      </c>
      <c r="M216">
        <v>0</v>
      </c>
      <c r="N216">
        <v>405.08</v>
      </c>
      <c r="O2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6" s="9" t="str">
        <f ca="1">IF(OR(ISNUMBER(Table1[[#This Row],[Order_Date]])=FALSE,Table1[[#This Row],[Order_Date]]&lt;DATE(2000,1,1),Table1[[#This Row],[Order_Date]]&gt;TODAY()),"YES","NO")</f>
        <v>NO</v>
      </c>
    </row>
    <row r="217" spans="1:16" x14ac:dyDescent="0.3">
      <c r="A217">
        <v>100212</v>
      </c>
      <c r="B217" s="8">
        <v>45300.791666666657</v>
      </c>
      <c r="C217" t="s">
        <v>14</v>
      </c>
      <c r="D217" t="s">
        <v>50</v>
      </c>
      <c r="E217" t="s">
        <v>67</v>
      </c>
      <c r="F217" t="s">
        <v>71</v>
      </c>
      <c r="G217">
        <v>1</v>
      </c>
      <c r="H217">
        <v>76.25</v>
      </c>
      <c r="I217">
        <v>5</v>
      </c>
      <c r="J217" t="s">
        <v>73</v>
      </c>
      <c r="K217" t="s">
        <v>77</v>
      </c>
      <c r="L217">
        <v>76.25</v>
      </c>
      <c r="M217">
        <v>3.8125</v>
      </c>
      <c r="N217">
        <v>72.4375</v>
      </c>
      <c r="O2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7" s="9" t="str">
        <f ca="1">IF(OR(ISNUMBER(Table1[[#This Row],[Order_Date]])=FALSE,Table1[[#This Row],[Order_Date]]&lt;DATE(2000,1,1),Table1[[#This Row],[Order_Date]]&gt;TODAY()),"YES","NO")</f>
        <v>NO</v>
      </c>
    </row>
    <row r="218" spans="1:16" x14ac:dyDescent="0.3">
      <c r="A218">
        <v>100213</v>
      </c>
      <c r="B218" s="8">
        <v>45300.833333333343</v>
      </c>
      <c r="C218" t="s">
        <v>14</v>
      </c>
      <c r="D218" t="s">
        <v>21</v>
      </c>
      <c r="E218" t="s">
        <v>69</v>
      </c>
      <c r="F218" t="s">
        <v>72</v>
      </c>
      <c r="G218">
        <v>5</v>
      </c>
      <c r="H218">
        <v>69.790000000000006</v>
      </c>
      <c r="I218">
        <v>10</v>
      </c>
      <c r="J218" t="s">
        <v>74</v>
      </c>
      <c r="K218" t="s">
        <v>79</v>
      </c>
      <c r="L218">
        <v>348.95</v>
      </c>
      <c r="M218">
        <v>34.895000000000003</v>
      </c>
      <c r="N218">
        <v>314.05500000000012</v>
      </c>
      <c r="O2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18" s="9" t="str">
        <f ca="1">IF(OR(ISNUMBER(Table1[[#This Row],[Order_Date]])=FALSE,Table1[[#This Row],[Order_Date]]&lt;DATE(2000,1,1),Table1[[#This Row],[Order_Date]]&gt;TODAY()),"YES","NO")</f>
        <v>NO</v>
      </c>
    </row>
    <row r="219" spans="1:16" x14ac:dyDescent="0.3">
      <c r="A219">
        <v>100214</v>
      </c>
      <c r="B219" s="8">
        <v>45300.875</v>
      </c>
      <c r="C219" t="s">
        <v>14</v>
      </c>
      <c r="D219" t="s">
        <v>32</v>
      </c>
      <c r="E219" t="s">
        <v>70</v>
      </c>
      <c r="F219" t="s">
        <v>72</v>
      </c>
      <c r="G219">
        <v>4</v>
      </c>
      <c r="H219">
        <v>76.83</v>
      </c>
      <c r="I219">
        <v>5</v>
      </c>
      <c r="J219" t="s">
        <v>76</v>
      </c>
      <c r="K219" t="s">
        <v>77</v>
      </c>
      <c r="L219">
        <v>307.32</v>
      </c>
      <c r="M219">
        <v>15.366</v>
      </c>
      <c r="N219">
        <v>291.95400000000001</v>
      </c>
      <c r="O2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19" s="9" t="str">
        <f ca="1">IF(OR(ISNUMBER(Table1[[#This Row],[Order_Date]])=FALSE,Table1[[#This Row],[Order_Date]]&lt;DATE(2000,1,1),Table1[[#This Row],[Order_Date]]&gt;TODAY()),"YES","NO")</f>
        <v>NO</v>
      </c>
    </row>
    <row r="220" spans="1:16" x14ac:dyDescent="0.3">
      <c r="A220">
        <v>100215</v>
      </c>
      <c r="B220" s="8">
        <v>45300.916666666657</v>
      </c>
      <c r="C220" t="s">
        <v>14</v>
      </c>
      <c r="D220" t="s">
        <v>56</v>
      </c>
      <c r="E220" t="s">
        <v>68</v>
      </c>
      <c r="F220" t="s">
        <v>72</v>
      </c>
      <c r="G220">
        <v>3</v>
      </c>
      <c r="H220">
        <v>104.41</v>
      </c>
      <c r="I220">
        <v>0</v>
      </c>
      <c r="J220" t="s">
        <v>74</v>
      </c>
      <c r="K220" t="s">
        <v>77</v>
      </c>
      <c r="L220">
        <v>313.23</v>
      </c>
      <c r="M220">
        <v>0</v>
      </c>
      <c r="N220">
        <v>313.23</v>
      </c>
      <c r="O2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0" s="9" t="str">
        <f ca="1">IF(OR(ISNUMBER(Table1[[#This Row],[Order_Date]])=FALSE,Table1[[#This Row],[Order_Date]]&lt;DATE(2000,1,1),Table1[[#This Row],[Order_Date]]&gt;TODAY()),"YES","NO")</f>
        <v>NO</v>
      </c>
    </row>
    <row r="221" spans="1:16" x14ac:dyDescent="0.3">
      <c r="A221">
        <v>100216</v>
      </c>
      <c r="B221" s="8">
        <v>45300.958333333343</v>
      </c>
      <c r="C221" t="s">
        <v>14</v>
      </c>
      <c r="D221" t="s">
        <v>16</v>
      </c>
      <c r="E221" t="s">
        <v>70</v>
      </c>
      <c r="F221" t="s">
        <v>71</v>
      </c>
      <c r="G221">
        <v>1</v>
      </c>
      <c r="H221">
        <v>72.5</v>
      </c>
      <c r="I221">
        <v>5</v>
      </c>
      <c r="J221" t="s">
        <v>75</v>
      </c>
      <c r="K221" t="s">
        <v>77</v>
      </c>
      <c r="L221">
        <v>72.5</v>
      </c>
      <c r="M221">
        <v>3.625</v>
      </c>
      <c r="N221">
        <v>68.875</v>
      </c>
      <c r="O2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1" s="9" t="str">
        <f ca="1">IF(OR(ISNUMBER(Table1[[#This Row],[Order_Date]])=FALSE,Table1[[#This Row],[Order_Date]]&lt;DATE(2000,1,1),Table1[[#This Row],[Order_Date]]&gt;TODAY()),"YES","NO")</f>
        <v>NO</v>
      </c>
    </row>
    <row r="222" spans="1:16" x14ac:dyDescent="0.3">
      <c r="A222">
        <v>100217</v>
      </c>
      <c r="B222" s="8">
        <v>45301</v>
      </c>
      <c r="C222" t="s">
        <v>15</v>
      </c>
      <c r="D222" t="s">
        <v>56</v>
      </c>
      <c r="E222" t="s">
        <v>69</v>
      </c>
      <c r="F222" t="s">
        <v>71</v>
      </c>
      <c r="G222">
        <v>1</v>
      </c>
      <c r="H222">
        <v>71.81</v>
      </c>
      <c r="I222">
        <v>0</v>
      </c>
      <c r="J222" t="s">
        <v>75</v>
      </c>
      <c r="K222" t="s">
        <v>77</v>
      </c>
      <c r="L222">
        <v>71.81</v>
      </c>
      <c r="M222">
        <v>0</v>
      </c>
      <c r="N222">
        <v>71.81</v>
      </c>
      <c r="O2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2" s="9" t="str">
        <f ca="1">IF(OR(ISNUMBER(Table1[[#This Row],[Order_Date]])=FALSE,Table1[[#This Row],[Order_Date]]&lt;DATE(2000,1,1),Table1[[#This Row],[Order_Date]]&gt;TODAY()),"YES","NO")</f>
        <v>NO</v>
      </c>
    </row>
    <row r="223" spans="1:16" x14ac:dyDescent="0.3">
      <c r="A223">
        <v>100218</v>
      </c>
      <c r="B223" s="8">
        <v>45301.041666666657</v>
      </c>
      <c r="C223" t="s">
        <v>14</v>
      </c>
      <c r="D223" t="s">
        <v>42</v>
      </c>
      <c r="E223" t="s">
        <v>69</v>
      </c>
      <c r="F223" t="s">
        <v>71</v>
      </c>
      <c r="G223">
        <v>3</v>
      </c>
      <c r="H223">
        <v>118.93</v>
      </c>
      <c r="I223">
        <v>5</v>
      </c>
      <c r="J223" t="s">
        <v>73</v>
      </c>
      <c r="K223" t="s">
        <v>77</v>
      </c>
      <c r="L223">
        <v>356.79</v>
      </c>
      <c r="M223">
        <v>17.839500000000001</v>
      </c>
      <c r="N223">
        <v>338.95049999999998</v>
      </c>
      <c r="O2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3" s="9" t="str">
        <f ca="1">IF(OR(ISNUMBER(Table1[[#This Row],[Order_Date]])=FALSE,Table1[[#This Row],[Order_Date]]&lt;DATE(2000,1,1),Table1[[#This Row],[Order_Date]]&gt;TODAY()),"YES","NO")</f>
        <v>NO</v>
      </c>
    </row>
    <row r="224" spans="1:16" x14ac:dyDescent="0.3">
      <c r="A224">
        <v>100219</v>
      </c>
      <c r="B224" s="8">
        <v>45301.083333333343</v>
      </c>
      <c r="C224" t="s">
        <v>15</v>
      </c>
      <c r="D224" t="s">
        <v>41</v>
      </c>
      <c r="E224" t="s">
        <v>66</v>
      </c>
      <c r="F224" t="s">
        <v>72</v>
      </c>
      <c r="G224">
        <v>3</v>
      </c>
      <c r="H224">
        <v>92.02</v>
      </c>
      <c r="I224">
        <v>0</v>
      </c>
      <c r="J224" t="s">
        <v>76</v>
      </c>
      <c r="K224" t="s">
        <v>77</v>
      </c>
      <c r="L224">
        <v>276.06</v>
      </c>
      <c r="M224">
        <v>0</v>
      </c>
      <c r="N224">
        <v>276.06</v>
      </c>
      <c r="O2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4" s="9" t="str">
        <f ca="1">IF(OR(ISNUMBER(Table1[[#This Row],[Order_Date]])=FALSE,Table1[[#This Row],[Order_Date]]&lt;DATE(2000,1,1),Table1[[#This Row],[Order_Date]]&gt;TODAY()),"YES","NO")</f>
        <v>NO</v>
      </c>
    </row>
    <row r="225" spans="1:16" x14ac:dyDescent="0.3">
      <c r="A225">
        <v>100220</v>
      </c>
      <c r="B225" s="8">
        <v>45301.125</v>
      </c>
      <c r="C225" t="s">
        <v>14</v>
      </c>
      <c r="D225" t="s">
        <v>58</v>
      </c>
      <c r="E225" t="s">
        <v>67</v>
      </c>
      <c r="F225" t="s">
        <v>71</v>
      </c>
      <c r="G225">
        <v>1</v>
      </c>
      <c r="H225">
        <v>55.86</v>
      </c>
      <c r="I225">
        <v>5</v>
      </c>
      <c r="J225" t="s">
        <v>75</v>
      </c>
      <c r="K225" t="s">
        <v>77</v>
      </c>
      <c r="L225">
        <v>55.86</v>
      </c>
      <c r="M225">
        <v>2.7930000000000001</v>
      </c>
      <c r="N225">
        <v>53.067</v>
      </c>
      <c r="O2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5" s="9" t="str">
        <f ca="1">IF(OR(ISNUMBER(Table1[[#This Row],[Order_Date]])=FALSE,Table1[[#This Row],[Order_Date]]&lt;DATE(2000,1,1),Table1[[#This Row],[Order_Date]]&gt;TODAY()),"YES","NO")</f>
        <v>NO</v>
      </c>
    </row>
    <row r="226" spans="1:16" x14ac:dyDescent="0.3">
      <c r="A226">
        <v>100221</v>
      </c>
      <c r="B226" s="8">
        <v>45301.166666666657</v>
      </c>
      <c r="C226" t="s">
        <v>14</v>
      </c>
      <c r="D226" t="s">
        <v>30</v>
      </c>
      <c r="E226" t="s">
        <v>66</v>
      </c>
      <c r="F226" t="s">
        <v>71</v>
      </c>
      <c r="G226">
        <v>3</v>
      </c>
      <c r="H226">
        <v>86.35</v>
      </c>
      <c r="I226">
        <v>0</v>
      </c>
      <c r="J226" t="s">
        <v>75</v>
      </c>
      <c r="K226" t="s">
        <v>77</v>
      </c>
      <c r="L226">
        <v>259.05</v>
      </c>
      <c r="M226">
        <v>0</v>
      </c>
      <c r="N226">
        <v>259.05</v>
      </c>
      <c r="O2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6" s="9" t="str">
        <f ca="1">IF(OR(ISNUMBER(Table1[[#This Row],[Order_Date]])=FALSE,Table1[[#This Row],[Order_Date]]&lt;DATE(2000,1,1),Table1[[#This Row],[Order_Date]]&gt;TODAY()),"YES","NO")</f>
        <v>NO</v>
      </c>
    </row>
    <row r="227" spans="1:16" x14ac:dyDescent="0.3">
      <c r="A227">
        <v>100222</v>
      </c>
      <c r="B227" s="8">
        <v>45301.208333333343</v>
      </c>
      <c r="C227" t="s">
        <v>14</v>
      </c>
      <c r="D227" t="s">
        <v>16</v>
      </c>
      <c r="E227" t="s">
        <v>68</v>
      </c>
      <c r="F227" t="s">
        <v>72</v>
      </c>
      <c r="G227">
        <v>2</v>
      </c>
      <c r="H227">
        <v>49.76</v>
      </c>
      <c r="I227">
        <v>15</v>
      </c>
      <c r="J227" t="s">
        <v>76</v>
      </c>
      <c r="K227" t="s">
        <v>77</v>
      </c>
      <c r="L227">
        <v>99.52</v>
      </c>
      <c r="M227">
        <v>14.928000000000001</v>
      </c>
      <c r="N227">
        <v>84.591999999999999</v>
      </c>
      <c r="O2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7" s="9" t="str">
        <f ca="1">IF(OR(ISNUMBER(Table1[[#This Row],[Order_Date]])=FALSE,Table1[[#This Row],[Order_Date]]&lt;DATE(2000,1,1),Table1[[#This Row],[Order_Date]]&gt;TODAY()),"YES","NO")</f>
        <v>NO</v>
      </c>
    </row>
    <row r="228" spans="1:16" x14ac:dyDescent="0.3">
      <c r="A228">
        <v>100223</v>
      </c>
      <c r="B228" s="8">
        <v>45301.25</v>
      </c>
      <c r="C228" t="s">
        <v>15</v>
      </c>
      <c r="D228" t="s">
        <v>20</v>
      </c>
      <c r="E228" t="s">
        <v>70</v>
      </c>
      <c r="F228" t="s">
        <v>72</v>
      </c>
      <c r="G228">
        <v>4</v>
      </c>
      <c r="H228">
        <v>31.32</v>
      </c>
      <c r="I228">
        <v>5</v>
      </c>
      <c r="J228" t="s">
        <v>74</v>
      </c>
      <c r="K228" t="s">
        <v>77</v>
      </c>
      <c r="L228">
        <v>125.28</v>
      </c>
      <c r="M228">
        <v>6.2640000000000002</v>
      </c>
      <c r="N228">
        <v>119.01600000000001</v>
      </c>
      <c r="O2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8" s="9" t="str">
        <f ca="1">IF(OR(ISNUMBER(Table1[[#This Row],[Order_Date]])=FALSE,Table1[[#This Row],[Order_Date]]&lt;DATE(2000,1,1),Table1[[#This Row],[Order_Date]]&gt;TODAY()),"YES","NO")</f>
        <v>NO</v>
      </c>
    </row>
    <row r="229" spans="1:16" x14ac:dyDescent="0.3">
      <c r="A229">
        <v>100224</v>
      </c>
      <c r="B229" s="8">
        <v>45301.291666666657</v>
      </c>
      <c r="C229" t="s">
        <v>15</v>
      </c>
      <c r="D229" t="s">
        <v>19</v>
      </c>
      <c r="E229" t="s">
        <v>68</v>
      </c>
      <c r="F229" t="s">
        <v>72</v>
      </c>
      <c r="G229">
        <v>4</v>
      </c>
      <c r="H229">
        <v>73.64</v>
      </c>
      <c r="I229">
        <v>5</v>
      </c>
      <c r="J229" t="s">
        <v>76</v>
      </c>
      <c r="K229" t="s">
        <v>77</v>
      </c>
      <c r="L229">
        <v>294.56</v>
      </c>
      <c r="M229">
        <v>14.728</v>
      </c>
      <c r="N229">
        <v>279.83199999999999</v>
      </c>
      <c r="O2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29" s="9" t="str">
        <f ca="1">IF(OR(ISNUMBER(Table1[[#This Row],[Order_Date]])=FALSE,Table1[[#This Row],[Order_Date]]&lt;DATE(2000,1,1),Table1[[#This Row],[Order_Date]]&gt;TODAY()),"YES","NO")</f>
        <v>NO</v>
      </c>
    </row>
    <row r="230" spans="1:16" x14ac:dyDescent="0.3">
      <c r="A230">
        <v>100225</v>
      </c>
      <c r="B230" s="8">
        <v>45301.333333333343</v>
      </c>
      <c r="C230" t="s">
        <v>15</v>
      </c>
      <c r="D230" t="s">
        <v>30</v>
      </c>
      <c r="E230" t="s">
        <v>69</v>
      </c>
      <c r="F230" t="s">
        <v>72</v>
      </c>
      <c r="G230">
        <v>4</v>
      </c>
      <c r="H230">
        <v>111.74</v>
      </c>
      <c r="I230">
        <v>10</v>
      </c>
      <c r="J230" t="s">
        <v>74</v>
      </c>
      <c r="K230" t="s">
        <v>77</v>
      </c>
      <c r="L230">
        <v>446.96</v>
      </c>
      <c r="M230">
        <v>44.695999999999998</v>
      </c>
      <c r="N230">
        <v>402.26400000000001</v>
      </c>
      <c r="O2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0" s="9" t="str">
        <f ca="1">IF(OR(ISNUMBER(Table1[[#This Row],[Order_Date]])=FALSE,Table1[[#This Row],[Order_Date]]&lt;DATE(2000,1,1),Table1[[#This Row],[Order_Date]]&gt;TODAY()),"YES","NO")</f>
        <v>NO</v>
      </c>
    </row>
    <row r="231" spans="1:16" x14ac:dyDescent="0.3">
      <c r="A231">
        <v>100226</v>
      </c>
      <c r="B231" s="8">
        <v>45301.375</v>
      </c>
      <c r="C231" t="s">
        <v>15</v>
      </c>
      <c r="D231" t="s">
        <v>53</v>
      </c>
      <c r="E231" t="s">
        <v>66</v>
      </c>
      <c r="F231" t="s">
        <v>72</v>
      </c>
      <c r="G231">
        <v>2</v>
      </c>
      <c r="H231">
        <v>111.85</v>
      </c>
      <c r="I231">
        <v>10</v>
      </c>
      <c r="J231" t="s">
        <v>75</v>
      </c>
      <c r="K231" t="s">
        <v>77</v>
      </c>
      <c r="L231">
        <v>223.7</v>
      </c>
      <c r="M231">
        <v>22.37</v>
      </c>
      <c r="N231">
        <v>201.33</v>
      </c>
      <c r="O2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1" s="9" t="str">
        <f ca="1">IF(OR(ISNUMBER(Table1[[#This Row],[Order_Date]])=FALSE,Table1[[#This Row],[Order_Date]]&lt;DATE(2000,1,1),Table1[[#This Row],[Order_Date]]&gt;TODAY()),"YES","NO")</f>
        <v>NO</v>
      </c>
    </row>
    <row r="232" spans="1:16" x14ac:dyDescent="0.3">
      <c r="A232">
        <v>100227</v>
      </c>
      <c r="B232" s="8">
        <v>45301.416666666657</v>
      </c>
      <c r="C232" t="s">
        <v>14</v>
      </c>
      <c r="D232" t="s">
        <v>32</v>
      </c>
      <c r="E232" t="s">
        <v>66</v>
      </c>
      <c r="F232" t="s">
        <v>71</v>
      </c>
      <c r="G232">
        <v>3</v>
      </c>
      <c r="H232">
        <v>44.32</v>
      </c>
      <c r="I232">
        <v>0</v>
      </c>
      <c r="J232" t="s">
        <v>75</v>
      </c>
      <c r="K232" t="s">
        <v>77</v>
      </c>
      <c r="L232">
        <v>132.96</v>
      </c>
      <c r="M232">
        <v>0</v>
      </c>
      <c r="N232">
        <v>132.96</v>
      </c>
      <c r="O2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2" s="9" t="str">
        <f ca="1">IF(OR(ISNUMBER(Table1[[#This Row],[Order_Date]])=FALSE,Table1[[#This Row],[Order_Date]]&lt;DATE(2000,1,1),Table1[[#This Row],[Order_Date]]&gt;TODAY()),"YES","NO")</f>
        <v>NO</v>
      </c>
    </row>
    <row r="233" spans="1:16" x14ac:dyDescent="0.3">
      <c r="A233">
        <v>100228</v>
      </c>
      <c r="B233" s="8">
        <v>45301.458333333343</v>
      </c>
      <c r="C233" t="s">
        <v>15</v>
      </c>
      <c r="D233" t="s">
        <v>48</v>
      </c>
      <c r="E233" t="s">
        <v>66</v>
      </c>
      <c r="F233" t="s">
        <v>72</v>
      </c>
      <c r="G233">
        <v>5</v>
      </c>
      <c r="H233">
        <v>65.680000000000007</v>
      </c>
      <c r="I233">
        <v>5</v>
      </c>
      <c r="J233" t="s">
        <v>75</v>
      </c>
      <c r="K233" t="s">
        <v>77</v>
      </c>
      <c r="L233">
        <v>328.4</v>
      </c>
      <c r="M233">
        <v>16.420000000000002</v>
      </c>
      <c r="N233">
        <v>311.98</v>
      </c>
      <c r="O2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3" s="9" t="str">
        <f ca="1">IF(OR(ISNUMBER(Table1[[#This Row],[Order_Date]])=FALSE,Table1[[#This Row],[Order_Date]]&lt;DATE(2000,1,1),Table1[[#This Row],[Order_Date]]&gt;TODAY()),"YES","NO")</f>
        <v>NO</v>
      </c>
    </row>
    <row r="234" spans="1:16" x14ac:dyDescent="0.3">
      <c r="A234">
        <v>100229</v>
      </c>
      <c r="B234" s="8">
        <v>45301.5</v>
      </c>
      <c r="C234" t="s">
        <v>14</v>
      </c>
      <c r="D234" t="s">
        <v>45</v>
      </c>
      <c r="E234" t="s">
        <v>68</v>
      </c>
      <c r="F234" t="s">
        <v>71</v>
      </c>
      <c r="G234">
        <v>3</v>
      </c>
      <c r="H234">
        <v>29.34</v>
      </c>
      <c r="I234">
        <v>0</v>
      </c>
      <c r="J234" t="s">
        <v>73</v>
      </c>
      <c r="K234" t="s">
        <v>77</v>
      </c>
      <c r="L234">
        <v>88.02</v>
      </c>
      <c r="M234">
        <v>0</v>
      </c>
      <c r="N234">
        <v>88.02</v>
      </c>
      <c r="O2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4" s="9" t="str">
        <f ca="1">IF(OR(ISNUMBER(Table1[[#This Row],[Order_Date]])=FALSE,Table1[[#This Row],[Order_Date]]&lt;DATE(2000,1,1),Table1[[#This Row],[Order_Date]]&gt;TODAY()),"YES","NO")</f>
        <v>NO</v>
      </c>
    </row>
    <row r="235" spans="1:16" x14ac:dyDescent="0.3">
      <c r="A235">
        <v>100230</v>
      </c>
      <c r="B235" s="8">
        <v>45301.541666666657</v>
      </c>
      <c r="C235" t="s">
        <v>14</v>
      </c>
      <c r="D235" t="s">
        <v>35</v>
      </c>
      <c r="E235" t="s">
        <v>69</v>
      </c>
      <c r="F235" t="s">
        <v>71</v>
      </c>
      <c r="G235">
        <v>1</v>
      </c>
      <c r="H235">
        <v>119.5</v>
      </c>
      <c r="I235">
        <v>15</v>
      </c>
      <c r="J235" t="s">
        <v>73</v>
      </c>
      <c r="K235" t="s">
        <v>79</v>
      </c>
      <c r="L235">
        <v>119.5</v>
      </c>
      <c r="M235">
        <v>17.925000000000001</v>
      </c>
      <c r="N235">
        <v>101.575</v>
      </c>
      <c r="O2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35" s="9" t="str">
        <f ca="1">IF(OR(ISNUMBER(Table1[[#This Row],[Order_Date]])=FALSE,Table1[[#This Row],[Order_Date]]&lt;DATE(2000,1,1),Table1[[#This Row],[Order_Date]]&gt;TODAY()),"YES","NO")</f>
        <v>NO</v>
      </c>
    </row>
    <row r="236" spans="1:16" x14ac:dyDescent="0.3">
      <c r="A236">
        <v>100231</v>
      </c>
      <c r="B236" s="8">
        <v>45301.583333333343</v>
      </c>
      <c r="C236" t="s">
        <v>15</v>
      </c>
      <c r="D236" t="s">
        <v>27</v>
      </c>
      <c r="E236" t="s">
        <v>70</v>
      </c>
      <c r="F236" t="s">
        <v>72</v>
      </c>
      <c r="G236">
        <v>4</v>
      </c>
      <c r="H236">
        <v>117.83</v>
      </c>
      <c r="I236">
        <v>10</v>
      </c>
      <c r="J236" t="s">
        <v>73</v>
      </c>
      <c r="K236" t="s">
        <v>77</v>
      </c>
      <c r="L236">
        <v>471.32</v>
      </c>
      <c r="M236">
        <v>47.132000000000012</v>
      </c>
      <c r="N236">
        <v>424.18799999999999</v>
      </c>
      <c r="O2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6" s="9" t="str">
        <f ca="1">IF(OR(ISNUMBER(Table1[[#This Row],[Order_Date]])=FALSE,Table1[[#This Row],[Order_Date]]&lt;DATE(2000,1,1),Table1[[#This Row],[Order_Date]]&gt;TODAY()),"YES","NO")</f>
        <v>NO</v>
      </c>
    </row>
    <row r="237" spans="1:16" x14ac:dyDescent="0.3">
      <c r="A237">
        <v>100232</v>
      </c>
      <c r="B237" s="8">
        <v>45301.625</v>
      </c>
      <c r="C237" t="s">
        <v>15</v>
      </c>
      <c r="D237" t="s">
        <v>29</v>
      </c>
      <c r="E237" t="s">
        <v>70</v>
      </c>
      <c r="F237" t="s">
        <v>72</v>
      </c>
      <c r="G237">
        <v>3</v>
      </c>
      <c r="H237">
        <v>79.69</v>
      </c>
      <c r="I237">
        <v>0</v>
      </c>
      <c r="J237" t="s">
        <v>76</v>
      </c>
      <c r="K237" t="s">
        <v>77</v>
      </c>
      <c r="L237">
        <v>239.07</v>
      </c>
      <c r="M237">
        <v>0</v>
      </c>
      <c r="N237">
        <v>239.07</v>
      </c>
      <c r="O2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7" s="9" t="str">
        <f ca="1">IF(OR(ISNUMBER(Table1[[#This Row],[Order_Date]])=FALSE,Table1[[#This Row],[Order_Date]]&lt;DATE(2000,1,1),Table1[[#This Row],[Order_Date]]&gt;TODAY()),"YES","NO")</f>
        <v>NO</v>
      </c>
    </row>
    <row r="238" spans="1:16" x14ac:dyDescent="0.3">
      <c r="A238">
        <v>100233</v>
      </c>
      <c r="B238" s="8">
        <v>45301.666666666657</v>
      </c>
      <c r="C238" t="s">
        <v>15</v>
      </c>
      <c r="D238" t="s">
        <v>64</v>
      </c>
      <c r="E238" t="s">
        <v>68</v>
      </c>
      <c r="F238" t="s">
        <v>72</v>
      </c>
      <c r="G238">
        <v>5</v>
      </c>
      <c r="H238">
        <v>97.51</v>
      </c>
      <c r="I238">
        <v>0</v>
      </c>
      <c r="J238" t="s">
        <v>75</v>
      </c>
      <c r="K238" t="s">
        <v>77</v>
      </c>
      <c r="L238">
        <v>487.55</v>
      </c>
      <c r="M238">
        <v>0</v>
      </c>
      <c r="N238">
        <v>487.55</v>
      </c>
      <c r="O2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8" s="9" t="str">
        <f ca="1">IF(OR(ISNUMBER(Table1[[#This Row],[Order_Date]])=FALSE,Table1[[#This Row],[Order_Date]]&lt;DATE(2000,1,1),Table1[[#This Row],[Order_Date]]&gt;TODAY()),"YES","NO")</f>
        <v>NO</v>
      </c>
    </row>
    <row r="239" spans="1:16" x14ac:dyDescent="0.3">
      <c r="A239">
        <v>100234</v>
      </c>
      <c r="B239" s="8">
        <v>45301.708333333343</v>
      </c>
      <c r="C239" t="s">
        <v>15</v>
      </c>
      <c r="D239" t="s">
        <v>29</v>
      </c>
      <c r="E239" t="s">
        <v>66</v>
      </c>
      <c r="F239" t="s">
        <v>71</v>
      </c>
      <c r="G239">
        <v>1</v>
      </c>
      <c r="H239">
        <v>87.24</v>
      </c>
      <c r="I239">
        <v>10</v>
      </c>
      <c r="J239" t="s">
        <v>75</v>
      </c>
      <c r="K239" t="s">
        <v>77</v>
      </c>
      <c r="L239">
        <v>87.24</v>
      </c>
      <c r="M239">
        <v>8.7240000000000002</v>
      </c>
      <c r="N239">
        <v>78.515999999999991</v>
      </c>
      <c r="O2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39" s="9" t="str">
        <f ca="1">IF(OR(ISNUMBER(Table1[[#This Row],[Order_Date]])=FALSE,Table1[[#This Row],[Order_Date]]&lt;DATE(2000,1,1),Table1[[#This Row],[Order_Date]]&gt;TODAY()),"YES","NO")</f>
        <v>NO</v>
      </c>
    </row>
    <row r="240" spans="1:16" x14ac:dyDescent="0.3">
      <c r="A240">
        <v>100235</v>
      </c>
      <c r="B240" s="8">
        <v>45301.75</v>
      </c>
      <c r="C240" t="s">
        <v>15</v>
      </c>
      <c r="D240" t="s">
        <v>42</v>
      </c>
      <c r="E240" t="s">
        <v>67</v>
      </c>
      <c r="F240" t="s">
        <v>72</v>
      </c>
      <c r="G240">
        <v>2</v>
      </c>
      <c r="H240">
        <v>73.209999999999994</v>
      </c>
      <c r="I240">
        <v>5</v>
      </c>
      <c r="J240" t="s">
        <v>76</v>
      </c>
      <c r="K240" t="s">
        <v>77</v>
      </c>
      <c r="L240">
        <v>146.41999999999999</v>
      </c>
      <c r="M240">
        <v>7.3209999999999997</v>
      </c>
      <c r="N240">
        <v>139.09899999999999</v>
      </c>
      <c r="O2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0" s="9" t="str">
        <f ca="1">IF(OR(ISNUMBER(Table1[[#This Row],[Order_Date]])=FALSE,Table1[[#This Row],[Order_Date]]&lt;DATE(2000,1,1),Table1[[#This Row],[Order_Date]]&gt;TODAY()),"YES","NO")</f>
        <v>NO</v>
      </c>
    </row>
    <row r="241" spans="1:16" x14ac:dyDescent="0.3">
      <c r="A241">
        <v>100236</v>
      </c>
      <c r="B241" s="8">
        <v>45301.791666666657</v>
      </c>
      <c r="C241" t="s">
        <v>15</v>
      </c>
      <c r="D241" t="s">
        <v>44</v>
      </c>
      <c r="E241" t="s">
        <v>68</v>
      </c>
      <c r="F241" t="s">
        <v>72</v>
      </c>
      <c r="G241">
        <v>2</v>
      </c>
      <c r="H241">
        <v>11.14</v>
      </c>
      <c r="I241">
        <v>0</v>
      </c>
      <c r="J241" t="s">
        <v>73</v>
      </c>
      <c r="K241" t="s">
        <v>77</v>
      </c>
      <c r="L241">
        <v>22.28</v>
      </c>
      <c r="M241">
        <v>0</v>
      </c>
      <c r="N241">
        <v>22.28</v>
      </c>
      <c r="O2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1" s="9" t="str">
        <f ca="1">IF(OR(ISNUMBER(Table1[[#This Row],[Order_Date]])=FALSE,Table1[[#This Row],[Order_Date]]&lt;DATE(2000,1,1),Table1[[#This Row],[Order_Date]]&gt;TODAY()),"YES","NO")</f>
        <v>NO</v>
      </c>
    </row>
    <row r="242" spans="1:16" x14ac:dyDescent="0.3">
      <c r="A242">
        <v>100237</v>
      </c>
      <c r="B242" s="8">
        <v>45301.833333333343</v>
      </c>
      <c r="C242" t="s">
        <v>15</v>
      </c>
      <c r="D242" t="s">
        <v>29</v>
      </c>
      <c r="E242" t="s">
        <v>68</v>
      </c>
      <c r="F242" t="s">
        <v>72</v>
      </c>
      <c r="G242">
        <v>5</v>
      </c>
      <c r="H242">
        <v>57.3</v>
      </c>
      <c r="I242">
        <v>10</v>
      </c>
      <c r="J242" t="s">
        <v>76</v>
      </c>
      <c r="K242" t="s">
        <v>77</v>
      </c>
      <c r="L242">
        <v>286.5</v>
      </c>
      <c r="M242">
        <v>28.65</v>
      </c>
      <c r="N242">
        <v>257.85000000000002</v>
      </c>
      <c r="O2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2" s="9" t="str">
        <f ca="1">IF(OR(ISNUMBER(Table1[[#This Row],[Order_Date]])=FALSE,Table1[[#This Row],[Order_Date]]&lt;DATE(2000,1,1),Table1[[#This Row],[Order_Date]]&gt;TODAY()),"YES","NO")</f>
        <v>NO</v>
      </c>
    </row>
    <row r="243" spans="1:16" x14ac:dyDescent="0.3">
      <c r="A243">
        <v>100238</v>
      </c>
      <c r="B243" s="8">
        <v>45301.875</v>
      </c>
      <c r="C243" t="s">
        <v>15</v>
      </c>
      <c r="D243" t="s">
        <v>55</v>
      </c>
      <c r="E243" t="s">
        <v>69</v>
      </c>
      <c r="F243" t="s">
        <v>72</v>
      </c>
      <c r="G243">
        <v>1</v>
      </c>
      <c r="H243">
        <v>82.6</v>
      </c>
      <c r="I243">
        <v>5</v>
      </c>
      <c r="J243" t="s">
        <v>73</v>
      </c>
      <c r="K243" t="s">
        <v>77</v>
      </c>
      <c r="L243">
        <v>82.6</v>
      </c>
      <c r="M243">
        <v>4.13</v>
      </c>
      <c r="N243">
        <v>78.47</v>
      </c>
      <c r="O2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3" s="9" t="str">
        <f ca="1">IF(OR(ISNUMBER(Table1[[#This Row],[Order_Date]])=FALSE,Table1[[#This Row],[Order_Date]]&lt;DATE(2000,1,1),Table1[[#This Row],[Order_Date]]&gt;TODAY()),"YES","NO")</f>
        <v>NO</v>
      </c>
    </row>
    <row r="244" spans="1:16" x14ac:dyDescent="0.3">
      <c r="A244">
        <v>100239</v>
      </c>
      <c r="B244" s="8">
        <v>45301.916666666657</v>
      </c>
      <c r="C244" t="s">
        <v>14</v>
      </c>
      <c r="D244" t="s">
        <v>54</v>
      </c>
      <c r="E244" t="s">
        <v>70</v>
      </c>
      <c r="F244" t="s">
        <v>72</v>
      </c>
      <c r="G244">
        <v>4</v>
      </c>
      <c r="H244">
        <v>82.92</v>
      </c>
      <c r="I244">
        <v>15</v>
      </c>
      <c r="J244" t="s">
        <v>75</v>
      </c>
      <c r="K244" t="s">
        <v>77</v>
      </c>
      <c r="L244">
        <v>331.68</v>
      </c>
      <c r="M244">
        <v>49.752000000000002</v>
      </c>
      <c r="N244">
        <v>281.928</v>
      </c>
      <c r="O2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4" s="9" t="str">
        <f ca="1">IF(OR(ISNUMBER(Table1[[#This Row],[Order_Date]])=FALSE,Table1[[#This Row],[Order_Date]]&lt;DATE(2000,1,1),Table1[[#This Row],[Order_Date]]&gt;TODAY()),"YES","NO")</f>
        <v>NO</v>
      </c>
    </row>
    <row r="245" spans="1:16" x14ac:dyDescent="0.3">
      <c r="A245">
        <v>100240</v>
      </c>
      <c r="B245" s="8">
        <v>45301.958333333343</v>
      </c>
      <c r="C245" t="s">
        <v>15</v>
      </c>
      <c r="D245" t="s">
        <v>38</v>
      </c>
      <c r="E245" t="s">
        <v>68</v>
      </c>
      <c r="F245" t="s">
        <v>71</v>
      </c>
      <c r="G245">
        <v>3</v>
      </c>
      <c r="H245">
        <v>47.91</v>
      </c>
      <c r="I245">
        <v>10</v>
      </c>
      <c r="J245" t="s">
        <v>74</v>
      </c>
      <c r="K245" t="s">
        <v>77</v>
      </c>
      <c r="L245">
        <v>143.72999999999999</v>
      </c>
      <c r="M245">
        <v>14.372999999999999</v>
      </c>
      <c r="N245">
        <v>129.357</v>
      </c>
      <c r="O2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5" s="9" t="str">
        <f ca="1">IF(OR(ISNUMBER(Table1[[#This Row],[Order_Date]])=FALSE,Table1[[#This Row],[Order_Date]]&lt;DATE(2000,1,1),Table1[[#This Row],[Order_Date]]&gt;TODAY()),"YES","NO")</f>
        <v>NO</v>
      </c>
    </row>
    <row r="246" spans="1:16" x14ac:dyDescent="0.3">
      <c r="A246">
        <v>100241</v>
      </c>
      <c r="B246" s="8">
        <v>45302</v>
      </c>
      <c r="C246" t="s">
        <v>15</v>
      </c>
      <c r="D246" t="s">
        <v>58</v>
      </c>
      <c r="E246" t="s">
        <v>68</v>
      </c>
      <c r="F246" t="s">
        <v>71</v>
      </c>
      <c r="G246">
        <v>1</v>
      </c>
      <c r="H246">
        <v>113.29</v>
      </c>
      <c r="I246">
        <v>0</v>
      </c>
      <c r="J246" t="s">
        <v>73</v>
      </c>
      <c r="K246" t="s">
        <v>77</v>
      </c>
      <c r="L246">
        <v>113.29</v>
      </c>
      <c r="M246">
        <v>0</v>
      </c>
      <c r="N246">
        <v>113.29</v>
      </c>
      <c r="O2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6" s="9" t="str">
        <f ca="1">IF(OR(ISNUMBER(Table1[[#This Row],[Order_Date]])=FALSE,Table1[[#This Row],[Order_Date]]&lt;DATE(2000,1,1),Table1[[#This Row],[Order_Date]]&gt;TODAY()),"YES","NO")</f>
        <v>NO</v>
      </c>
    </row>
    <row r="247" spans="1:16" x14ac:dyDescent="0.3">
      <c r="A247">
        <v>100242</v>
      </c>
      <c r="B247" s="8">
        <v>45302.041666666657</v>
      </c>
      <c r="C247" t="s">
        <v>14</v>
      </c>
      <c r="D247" t="s">
        <v>51</v>
      </c>
      <c r="E247" t="s">
        <v>66</v>
      </c>
      <c r="F247" t="s">
        <v>71</v>
      </c>
      <c r="G247">
        <v>2</v>
      </c>
      <c r="H247">
        <v>24.25</v>
      </c>
      <c r="I247">
        <v>15</v>
      </c>
      <c r="J247" t="s">
        <v>75</v>
      </c>
      <c r="K247" t="s">
        <v>77</v>
      </c>
      <c r="L247">
        <v>48.5</v>
      </c>
      <c r="M247">
        <v>7.2749999999999986</v>
      </c>
      <c r="N247">
        <v>41.225000000000001</v>
      </c>
      <c r="O2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7" s="9" t="str">
        <f ca="1">IF(OR(ISNUMBER(Table1[[#This Row],[Order_Date]])=FALSE,Table1[[#This Row],[Order_Date]]&lt;DATE(2000,1,1),Table1[[#This Row],[Order_Date]]&gt;TODAY()),"YES","NO")</f>
        <v>NO</v>
      </c>
    </row>
    <row r="248" spans="1:16" x14ac:dyDescent="0.3">
      <c r="A248">
        <v>100243</v>
      </c>
      <c r="B248" s="8">
        <v>45302.083333333343</v>
      </c>
      <c r="C248" t="s">
        <v>15</v>
      </c>
      <c r="D248" t="s">
        <v>61</v>
      </c>
      <c r="E248" t="s">
        <v>66</v>
      </c>
      <c r="F248" t="s">
        <v>72</v>
      </c>
      <c r="G248">
        <v>5</v>
      </c>
      <c r="H248">
        <v>62.54</v>
      </c>
      <c r="I248">
        <v>5</v>
      </c>
      <c r="J248" t="s">
        <v>75</v>
      </c>
      <c r="K248" t="s">
        <v>77</v>
      </c>
      <c r="L248">
        <v>312.7</v>
      </c>
      <c r="M248">
        <v>15.635</v>
      </c>
      <c r="N248">
        <v>297.065</v>
      </c>
      <c r="O2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8" s="9" t="str">
        <f ca="1">IF(OR(ISNUMBER(Table1[[#This Row],[Order_Date]])=FALSE,Table1[[#This Row],[Order_Date]]&lt;DATE(2000,1,1),Table1[[#This Row],[Order_Date]]&gt;TODAY()),"YES","NO")</f>
        <v>NO</v>
      </c>
    </row>
    <row r="249" spans="1:16" x14ac:dyDescent="0.3">
      <c r="A249">
        <v>100244</v>
      </c>
      <c r="B249" s="8">
        <v>45302.125</v>
      </c>
      <c r="C249" t="s">
        <v>14</v>
      </c>
      <c r="D249" t="s">
        <v>45</v>
      </c>
      <c r="E249" t="s">
        <v>67</v>
      </c>
      <c r="F249" t="s">
        <v>72</v>
      </c>
      <c r="G249">
        <v>5</v>
      </c>
      <c r="H249">
        <v>84.45</v>
      </c>
      <c r="I249">
        <v>5</v>
      </c>
      <c r="J249" t="s">
        <v>74</v>
      </c>
      <c r="K249" t="s">
        <v>77</v>
      </c>
      <c r="L249">
        <v>422.25</v>
      </c>
      <c r="M249">
        <v>21.112500000000001</v>
      </c>
      <c r="N249">
        <v>401.13749999999999</v>
      </c>
      <c r="O2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49" s="9" t="str">
        <f ca="1">IF(OR(ISNUMBER(Table1[[#This Row],[Order_Date]])=FALSE,Table1[[#This Row],[Order_Date]]&lt;DATE(2000,1,1),Table1[[#This Row],[Order_Date]]&gt;TODAY()),"YES","NO")</f>
        <v>NO</v>
      </c>
    </row>
    <row r="250" spans="1:16" x14ac:dyDescent="0.3">
      <c r="A250">
        <v>100245</v>
      </c>
      <c r="B250" s="8">
        <v>45302.166666666657</v>
      </c>
      <c r="C250" t="s">
        <v>14</v>
      </c>
      <c r="D250" t="s">
        <v>50</v>
      </c>
      <c r="E250" t="s">
        <v>69</v>
      </c>
      <c r="F250" t="s">
        <v>72</v>
      </c>
      <c r="G250">
        <v>3</v>
      </c>
      <c r="H250">
        <v>85.17</v>
      </c>
      <c r="I250">
        <v>10</v>
      </c>
      <c r="J250" t="s">
        <v>75</v>
      </c>
      <c r="K250" t="s">
        <v>79</v>
      </c>
      <c r="L250">
        <v>255.51</v>
      </c>
      <c r="M250">
        <v>25.550999999999998</v>
      </c>
      <c r="N250">
        <v>229.959</v>
      </c>
      <c r="O2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50" s="9" t="str">
        <f ca="1">IF(OR(ISNUMBER(Table1[[#This Row],[Order_Date]])=FALSE,Table1[[#This Row],[Order_Date]]&lt;DATE(2000,1,1),Table1[[#This Row],[Order_Date]]&gt;TODAY()),"YES","NO")</f>
        <v>NO</v>
      </c>
    </row>
    <row r="251" spans="1:16" x14ac:dyDescent="0.3">
      <c r="A251">
        <v>100246</v>
      </c>
      <c r="B251" s="8">
        <v>45302.208333333343</v>
      </c>
      <c r="C251" t="s">
        <v>15</v>
      </c>
      <c r="D251" t="s">
        <v>26</v>
      </c>
      <c r="E251" t="s">
        <v>67</v>
      </c>
      <c r="F251" t="s">
        <v>71</v>
      </c>
      <c r="G251">
        <v>5</v>
      </c>
      <c r="H251">
        <v>79.59</v>
      </c>
      <c r="I251">
        <v>10</v>
      </c>
      <c r="J251" t="s">
        <v>75</v>
      </c>
      <c r="K251" t="s">
        <v>79</v>
      </c>
      <c r="L251">
        <v>397.95</v>
      </c>
      <c r="M251">
        <v>39.795000000000009</v>
      </c>
      <c r="N251">
        <v>358.15499999999997</v>
      </c>
      <c r="O2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51" s="9" t="str">
        <f ca="1">IF(OR(ISNUMBER(Table1[[#This Row],[Order_Date]])=FALSE,Table1[[#This Row],[Order_Date]]&lt;DATE(2000,1,1),Table1[[#This Row],[Order_Date]]&gt;TODAY()),"YES","NO")</f>
        <v>NO</v>
      </c>
    </row>
    <row r="252" spans="1:16" x14ac:dyDescent="0.3">
      <c r="A252">
        <v>100247</v>
      </c>
      <c r="B252" s="8">
        <v>45302.25</v>
      </c>
      <c r="C252" t="s">
        <v>14</v>
      </c>
      <c r="D252" t="s">
        <v>41</v>
      </c>
      <c r="E252" t="s">
        <v>66</v>
      </c>
      <c r="F252" t="s">
        <v>72</v>
      </c>
      <c r="G252">
        <v>5</v>
      </c>
      <c r="H252">
        <v>36.659999999999997</v>
      </c>
      <c r="I252">
        <v>10</v>
      </c>
      <c r="J252" t="s">
        <v>73</v>
      </c>
      <c r="K252" t="s">
        <v>77</v>
      </c>
      <c r="L252">
        <v>183.3</v>
      </c>
      <c r="M252">
        <v>18.329999999999998</v>
      </c>
      <c r="N252">
        <v>164.97</v>
      </c>
      <c r="O2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2" s="9" t="str">
        <f ca="1">IF(OR(ISNUMBER(Table1[[#This Row],[Order_Date]])=FALSE,Table1[[#This Row],[Order_Date]]&lt;DATE(2000,1,1),Table1[[#This Row],[Order_Date]]&gt;TODAY()),"YES","NO")</f>
        <v>NO</v>
      </c>
    </row>
    <row r="253" spans="1:16" x14ac:dyDescent="0.3">
      <c r="A253">
        <v>100248</v>
      </c>
      <c r="B253" s="8">
        <v>45302.291666666657</v>
      </c>
      <c r="C253" t="s">
        <v>14</v>
      </c>
      <c r="D253" t="s">
        <v>44</v>
      </c>
      <c r="E253" t="s">
        <v>70</v>
      </c>
      <c r="F253" t="s">
        <v>72</v>
      </c>
      <c r="G253">
        <v>1</v>
      </c>
      <c r="H253">
        <v>22.96</v>
      </c>
      <c r="I253">
        <v>5</v>
      </c>
      <c r="J253" t="s">
        <v>73</v>
      </c>
      <c r="K253" t="s">
        <v>77</v>
      </c>
      <c r="L253">
        <v>22.96</v>
      </c>
      <c r="M253">
        <v>1.1479999999999999</v>
      </c>
      <c r="N253">
        <v>21.812000000000001</v>
      </c>
      <c r="O2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3" s="9" t="str">
        <f ca="1">IF(OR(ISNUMBER(Table1[[#This Row],[Order_Date]])=FALSE,Table1[[#This Row],[Order_Date]]&lt;DATE(2000,1,1),Table1[[#This Row],[Order_Date]]&gt;TODAY()),"YES","NO")</f>
        <v>NO</v>
      </c>
    </row>
    <row r="254" spans="1:16" x14ac:dyDescent="0.3">
      <c r="A254">
        <v>100249</v>
      </c>
      <c r="B254" s="8">
        <v>45302.333333333343</v>
      </c>
      <c r="C254" t="s">
        <v>14</v>
      </c>
      <c r="D254" t="s">
        <v>35</v>
      </c>
      <c r="E254" t="s">
        <v>66</v>
      </c>
      <c r="F254" t="s">
        <v>72</v>
      </c>
      <c r="G254">
        <v>4</v>
      </c>
      <c r="H254">
        <v>78.13</v>
      </c>
      <c r="I254">
        <v>15</v>
      </c>
      <c r="J254" t="s">
        <v>74</v>
      </c>
      <c r="K254" t="s">
        <v>77</v>
      </c>
      <c r="L254">
        <v>312.52</v>
      </c>
      <c r="M254">
        <v>46.877999999999993</v>
      </c>
      <c r="N254">
        <v>265.642</v>
      </c>
      <c r="O2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4" s="9" t="str">
        <f ca="1">IF(OR(ISNUMBER(Table1[[#This Row],[Order_Date]])=FALSE,Table1[[#This Row],[Order_Date]]&lt;DATE(2000,1,1),Table1[[#This Row],[Order_Date]]&gt;TODAY()),"YES","NO")</f>
        <v>NO</v>
      </c>
    </row>
    <row r="255" spans="1:16" x14ac:dyDescent="0.3">
      <c r="A255">
        <v>100250</v>
      </c>
      <c r="B255" s="8">
        <v>45302.375</v>
      </c>
      <c r="C255" t="s">
        <v>14</v>
      </c>
      <c r="D255" t="s">
        <v>26</v>
      </c>
      <c r="E255" t="s">
        <v>69</v>
      </c>
      <c r="F255" t="s">
        <v>71</v>
      </c>
      <c r="G255">
        <v>3</v>
      </c>
      <c r="H255">
        <v>73.92</v>
      </c>
      <c r="I255">
        <v>5</v>
      </c>
      <c r="J255" t="s">
        <v>74</v>
      </c>
      <c r="K255" t="s">
        <v>77</v>
      </c>
      <c r="L255">
        <v>221.76</v>
      </c>
      <c r="M255">
        <v>11.087999999999999</v>
      </c>
      <c r="N255">
        <v>210.672</v>
      </c>
      <c r="O2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5" s="9" t="str">
        <f ca="1">IF(OR(ISNUMBER(Table1[[#This Row],[Order_Date]])=FALSE,Table1[[#This Row],[Order_Date]]&lt;DATE(2000,1,1),Table1[[#This Row],[Order_Date]]&gt;TODAY()),"YES","NO")</f>
        <v>NO</v>
      </c>
    </row>
    <row r="256" spans="1:16" x14ac:dyDescent="0.3">
      <c r="A256">
        <v>100251</v>
      </c>
      <c r="B256" s="8">
        <v>45302.416666666657</v>
      </c>
      <c r="C256" t="s">
        <v>15</v>
      </c>
      <c r="D256" t="s">
        <v>50</v>
      </c>
      <c r="E256" t="s">
        <v>66</v>
      </c>
      <c r="F256" t="s">
        <v>72</v>
      </c>
      <c r="G256">
        <v>1</v>
      </c>
      <c r="H256">
        <v>25.63</v>
      </c>
      <c r="I256">
        <v>0</v>
      </c>
      <c r="J256" t="s">
        <v>75</v>
      </c>
      <c r="K256" t="s">
        <v>77</v>
      </c>
      <c r="L256">
        <v>25.63</v>
      </c>
      <c r="M256">
        <v>0</v>
      </c>
      <c r="N256">
        <v>25.63</v>
      </c>
      <c r="O2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6" s="9" t="str">
        <f ca="1">IF(OR(ISNUMBER(Table1[[#This Row],[Order_Date]])=FALSE,Table1[[#This Row],[Order_Date]]&lt;DATE(2000,1,1),Table1[[#This Row],[Order_Date]]&gt;TODAY()),"YES","NO")</f>
        <v>NO</v>
      </c>
    </row>
    <row r="257" spans="1:16" x14ac:dyDescent="0.3">
      <c r="A257">
        <v>100252</v>
      </c>
      <c r="B257" s="8">
        <v>45302.458333333343</v>
      </c>
      <c r="C257" t="s">
        <v>14</v>
      </c>
      <c r="D257" t="s">
        <v>18</v>
      </c>
      <c r="E257" t="s">
        <v>69</v>
      </c>
      <c r="F257" t="s">
        <v>71</v>
      </c>
      <c r="G257">
        <v>4</v>
      </c>
      <c r="H257">
        <v>86.09</v>
      </c>
      <c r="I257">
        <v>5</v>
      </c>
      <c r="J257" t="s">
        <v>73</v>
      </c>
      <c r="K257" t="s">
        <v>77</v>
      </c>
      <c r="L257">
        <v>344.36</v>
      </c>
      <c r="M257">
        <v>17.218</v>
      </c>
      <c r="N257">
        <v>327.142</v>
      </c>
      <c r="O2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7" s="9" t="str">
        <f ca="1">IF(OR(ISNUMBER(Table1[[#This Row],[Order_Date]])=FALSE,Table1[[#This Row],[Order_Date]]&lt;DATE(2000,1,1),Table1[[#This Row],[Order_Date]]&gt;TODAY()),"YES","NO")</f>
        <v>NO</v>
      </c>
    </row>
    <row r="258" spans="1:16" x14ac:dyDescent="0.3">
      <c r="A258">
        <v>100253</v>
      </c>
      <c r="B258" s="8">
        <v>45302.5</v>
      </c>
      <c r="C258" t="s">
        <v>15</v>
      </c>
      <c r="D258" t="s">
        <v>42</v>
      </c>
      <c r="E258" t="s">
        <v>69</v>
      </c>
      <c r="F258" t="s">
        <v>72</v>
      </c>
      <c r="G258">
        <v>1</v>
      </c>
      <c r="H258">
        <v>57.34</v>
      </c>
      <c r="I258">
        <v>0</v>
      </c>
      <c r="J258" t="s">
        <v>74</v>
      </c>
      <c r="K258" t="s">
        <v>77</v>
      </c>
      <c r="L258">
        <v>57.34</v>
      </c>
      <c r="M258">
        <v>0</v>
      </c>
      <c r="N258">
        <v>57.34</v>
      </c>
      <c r="O2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58" s="9" t="str">
        <f ca="1">IF(OR(ISNUMBER(Table1[[#This Row],[Order_Date]])=FALSE,Table1[[#This Row],[Order_Date]]&lt;DATE(2000,1,1),Table1[[#This Row],[Order_Date]]&gt;TODAY()),"YES","NO")</f>
        <v>NO</v>
      </c>
    </row>
    <row r="259" spans="1:16" x14ac:dyDescent="0.3">
      <c r="A259">
        <v>100254</v>
      </c>
      <c r="B259" s="8">
        <v>45302.541666666657</v>
      </c>
      <c r="C259" t="s">
        <v>14</v>
      </c>
      <c r="D259" t="s">
        <v>40</v>
      </c>
      <c r="E259" t="s">
        <v>69</v>
      </c>
      <c r="F259" t="s">
        <v>71</v>
      </c>
      <c r="G259">
        <v>1</v>
      </c>
      <c r="H259">
        <v>81.790000000000006</v>
      </c>
      <c r="I259">
        <v>15</v>
      </c>
      <c r="J259" t="s">
        <v>74</v>
      </c>
      <c r="K259" t="s">
        <v>78</v>
      </c>
      <c r="L259">
        <v>81.790000000000006</v>
      </c>
      <c r="M259">
        <v>12.2685</v>
      </c>
      <c r="N259">
        <v>69.521500000000003</v>
      </c>
      <c r="O2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59" s="9" t="str">
        <f ca="1">IF(OR(ISNUMBER(Table1[[#This Row],[Order_Date]])=FALSE,Table1[[#This Row],[Order_Date]]&lt;DATE(2000,1,1),Table1[[#This Row],[Order_Date]]&gt;TODAY()),"YES","NO")</f>
        <v>NO</v>
      </c>
    </row>
    <row r="260" spans="1:16" x14ac:dyDescent="0.3">
      <c r="A260">
        <v>100255</v>
      </c>
      <c r="B260" s="8">
        <v>45302.583333333343</v>
      </c>
      <c r="C260" t="s">
        <v>14</v>
      </c>
      <c r="D260" t="s">
        <v>26</v>
      </c>
      <c r="E260" t="s">
        <v>69</v>
      </c>
      <c r="F260" t="s">
        <v>71</v>
      </c>
      <c r="G260">
        <v>5</v>
      </c>
      <c r="H260">
        <v>101.3</v>
      </c>
      <c r="I260">
        <v>10</v>
      </c>
      <c r="J260" t="s">
        <v>76</v>
      </c>
      <c r="K260" t="s">
        <v>77</v>
      </c>
      <c r="L260">
        <v>506.5</v>
      </c>
      <c r="M260">
        <v>50.650000000000013</v>
      </c>
      <c r="N260">
        <v>455.85</v>
      </c>
      <c r="O2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0" s="9" t="str">
        <f ca="1">IF(OR(ISNUMBER(Table1[[#This Row],[Order_Date]])=FALSE,Table1[[#This Row],[Order_Date]]&lt;DATE(2000,1,1),Table1[[#This Row],[Order_Date]]&gt;TODAY()),"YES","NO")</f>
        <v>NO</v>
      </c>
    </row>
    <row r="261" spans="1:16" x14ac:dyDescent="0.3">
      <c r="A261">
        <v>100256</v>
      </c>
      <c r="B261" s="8">
        <v>45302.625</v>
      </c>
      <c r="C261" t="s">
        <v>14</v>
      </c>
      <c r="D261" t="s">
        <v>26</v>
      </c>
      <c r="E261" t="s">
        <v>69</v>
      </c>
      <c r="F261" t="s">
        <v>71</v>
      </c>
      <c r="G261">
        <v>4</v>
      </c>
      <c r="H261">
        <v>24.52</v>
      </c>
      <c r="I261">
        <v>10</v>
      </c>
      <c r="J261" t="s">
        <v>74</v>
      </c>
      <c r="K261" t="s">
        <v>77</v>
      </c>
      <c r="L261">
        <v>98.08</v>
      </c>
      <c r="M261">
        <v>9.8079999999999998</v>
      </c>
      <c r="N261">
        <v>88.271999999999991</v>
      </c>
      <c r="O2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1" s="9" t="str">
        <f ca="1">IF(OR(ISNUMBER(Table1[[#This Row],[Order_Date]])=FALSE,Table1[[#This Row],[Order_Date]]&lt;DATE(2000,1,1),Table1[[#This Row],[Order_Date]]&gt;TODAY()),"YES","NO")</f>
        <v>NO</v>
      </c>
    </row>
    <row r="262" spans="1:16" x14ac:dyDescent="0.3">
      <c r="A262">
        <v>100257</v>
      </c>
      <c r="B262" s="8">
        <v>45302.666666666657</v>
      </c>
      <c r="C262" t="s">
        <v>14</v>
      </c>
      <c r="D262" t="s">
        <v>22</v>
      </c>
      <c r="E262" t="s">
        <v>70</v>
      </c>
      <c r="F262" t="s">
        <v>72</v>
      </c>
      <c r="G262">
        <v>3</v>
      </c>
      <c r="H262">
        <v>7.2</v>
      </c>
      <c r="I262">
        <v>5</v>
      </c>
      <c r="J262" t="s">
        <v>75</v>
      </c>
      <c r="K262" t="s">
        <v>77</v>
      </c>
      <c r="L262">
        <v>21.6</v>
      </c>
      <c r="M262">
        <v>1.08</v>
      </c>
      <c r="N262">
        <v>20.52</v>
      </c>
      <c r="O2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2" s="9" t="str">
        <f ca="1">IF(OR(ISNUMBER(Table1[[#This Row],[Order_Date]])=FALSE,Table1[[#This Row],[Order_Date]]&lt;DATE(2000,1,1),Table1[[#This Row],[Order_Date]]&gt;TODAY()),"YES","NO")</f>
        <v>NO</v>
      </c>
    </row>
    <row r="263" spans="1:16" x14ac:dyDescent="0.3">
      <c r="A263">
        <v>100258</v>
      </c>
      <c r="B263" s="8">
        <v>45302.708333333343</v>
      </c>
      <c r="C263" t="s">
        <v>15</v>
      </c>
      <c r="D263" t="s">
        <v>53</v>
      </c>
      <c r="E263" t="s">
        <v>67</v>
      </c>
      <c r="F263" t="s">
        <v>72</v>
      </c>
      <c r="G263">
        <v>3</v>
      </c>
      <c r="H263">
        <v>94.6</v>
      </c>
      <c r="I263">
        <v>10</v>
      </c>
      <c r="J263" t="s">
        <v>73</v>
      </c>
      <c r="K263" t="s">
        <v>77</v>
      </c>
      <c r="L263">
        <v>283.8</v>
      </c>
      <c r="M263">
        <v>28.38</v>
      </c>
      <c r="N263">
        <v>255.42</v>
      </c>
      <c r="O2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3" s="9" t="str">
        <f ca="1">IF(OR(ISNUMBER(Table1[[#This Row],[Order_Date]])=FALSE,Table1[[#This Row],[Order_Date]]&lt;DATE(2000,1,1),Table1[[#This Row],[Order_Date]]&gt;TODAY()),"YES","NO")</f>
        <v>NO</v>
      </c>
    </row>
    <row r="264" spans="1:16" x14ac:dyDescent="0.3">
      <c r="A264">
        <v>100259</v>
      </c>
      <c r="B264" s="8">
        <v>45302.75</v>
      </c>
      <c r="C264" t="s">
        <v>15</v>
      </c>
      <c r="D264" t="s">
        <v>33</v>
      </c>
      <c r="E264" t="s">
        <v>68</v>
      </c>
      <c r="F264" t="s">
        <v>71</v>
      </c>
      <c r="G264">
        <v>4</v>
      </c>
      <c r="H264">
        <v>75.12</v>
      </c>
      <c r="I264">
        <v>15</v>
      </c>
      <c r="J264" t="s">
        <v>74</v>
      </c>
      <c r="K264" t="s">
        <v>77</v>
      </c>
      <c r="L264">
        <v>300.48</v>
      </c>
      <c r="M264">
        <v>45.072000000000003</v>
      </c>
      <c r="N264">
        <v>255.40799999999999</v>
      </c>
      <c r="O2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4" s="9" t="str">
        <f ca="1">IF(OR(ISNUMBER(Table1[[#This Row],[Order_Date]])=FALSE,Table1[[#This Row],[Order_Date]]&lt;DATE(2000,1,1),Table1[[#This Row],[Order_Date]]&gt;TODAY()),"YES","NO")</f>
        <v>NO</v>
      </c>
    </row>
    <row r="265" spans="1:16" x14ac:dyDescent="0.3">
      <c r="A265">
        <v>100260</v>
      </c>
      <c r="B265" s="8">
        <v>45302.791666666657</v>
      </c>
      <c r="C265" t="s">
        <v>14</v>
      </c>
      <c r="D265" t="s">
        <v>39</v>
      </c>
      <c r="E265" t="s">
        <v>67</v>
      </c>
      <c r="F265" t="s">
        <v>71</v>
      </c>
      <c r="G265">
        <v>5</v>
      </c>
      <c r="H265">
        <v>85.46</v>
      </c>
      <c r="I265">
        <v>10</v>
      </c>
      <c r="J265" t="s">
        <v>76</v>
      </c>
      <c r="K265" t="s">
        <v>77</v>
      </c>
      <c r="L265">
        <v>427.3</v>
      </c>
      <c r="M265">
        <v>42.73</v>
      </c>
      <c r="N265">
        <v>384.56999999999988</v>
      </c>
      <c r="O2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5" s="9" t="str">
        <f ca="1">IF(OR(ISNUMBER(Table1[[#This Row],[Order_Date]])=FALSE,Table1[[#This Row],[Order_Date]]&lt;DATE(2000,1,1),Table1[[#This Row],[Order_Date]]&gt;TODAY()),"YES","NO")</f>
        <v>NO</v>
      </c>
    </row>
    <row r="266" spans="1:16" x14ac:dyDescent="0.3">
      <c r="A266">
        <v>100261</v>
      </c>
      <c r="B266" s="8">
        <v>45302.833333333343</v>
      </c>
      <c r="C266" t="s">
        <v>14</v>
      </c>
      <c r="D266" t="s">
        <v>33</v>
      </c>
      <c r="E266" t="s">
        <v>69</v>
      </c>
      <c r="F266" t="s">
        <v>72</v>
      </c>
      <c r="G266">
        <v>2</v>
      </c>
      <c r="H266">
        <v>101.39</v>
      </c>
      <c r="I266">
        <v>5</v>
      </c>
      <c r="J266" t="s">
        <v>73</v>
      </c>
      <c r="K266" t="s">
        <v>77</v>
      </c>
      <c r="L266">
        <v>202.78</v>
      </c>
      <c r="M266">
        <v>10.138999999999999</v>
      </c>
      <c r="N266">
        <v>192.64099999999999</v>
      </c>
      <c r="O2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6" s="9" t="str">
        <f ca="1">IF(OR(ISNUMBER(Table1[[#This Row],[Order_Date]])=FALSE,Table1[[#This Row],[Order_Date]]&lt;DATE(2000,1,1),Table1[[#This Row],[Order_Date]]&gt;TODAY()),"YES","NO")</f>
        <v>NO</v>
      </c>
    </row>
    <row r="267" spans="1:16" x14ac:dyDescent="0.3">
      <c r="A267">
        <v>100262</v>
      </c>
      <c r="B267" s="8">
        <v>45302.875</v>
      </c>
      <c r="C267" t="s">
        <v>15</v>
      </c>
      <c r="D267" t="s">
        <v>46</v>
      </c>
      <c r="E267" t="s">
        <v>70</v>
      </c>
      <c r="F267" t="s">
        <v>72</v>
      </c>
      <c r="G267">
        <v>1</v>
      </c>
      <c r="H267">
        <v>97.32</v>
      </c>
      <c r="I267">
        <v>15</v>
      </c>
      <c r="J267" t="s">
        <v>74</v>
      </c>
      <c r="K267" t="s">
        <v>77</v>
      </c>
      <c r="L267">
        <v>97.32</v>
      </c>
      <c r="M267">
        <v>14.598000000000001</v>
      </c>
      <c r="N267">
        <v>82.721999999999994</v>
      </c>
      <c r="O2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7" s="9" t="str">
        <f ca="1">IF(OR(ISNUMBER(Table1[[#This Row],[Order_Date]])=FALSE,Table1[[#This Row],[Order_Date]]&lt;DATE(2000,1,1),Table1[[#This Row],[Order_Date]]&gt;TODAY()),"YES","NO")</f>
        <v>NO</v>
      </c>
    </row>
    <row r="268" spans="1:16" x14ac:dyDescent="0.3">
      <c r="A268">
        <v>100263</v>
      </c>
      <c r="B268" s="8">
        <v>45302.916666666657</v>
      </c>
      <c r="C268" t="s">
        <v>14</v>
      </c>
      <c r="D268" t="s">
        <v>60</v>
      </c>
      <c r="E268" t="s">
        <v>66</v>
      </c>
      <c r="F268" t="s">
        <v>71</v>
      </c>
      <c r="G268">
        <v>5</v>
      </c>
      <c r="H268">
        <v>115.51</v>
      </c>
      <c r="I268">
        <v>0</v>
      </c>
      <c r="J268" t="s">
        <v>76</v>
      </c>
      <c r="K268" t="s">
        <v>77</v>
      </c>
      <c r="L268">
        <v>577.55000000000007</v>
      </c>
      <c r="M268">
        <v>0</v>
      </c>
      <c r="N268">
        <v>577.55000000000007</v>
      </c>
      <c r="O2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8" s="9" t="str">
        <f ca="1">IF(OR(ISNUMBER(Table1[[#This Row],[Order_Date]])=FALSE,Table1[[#This Row],[Order_Date]]&lt;DATE(2000,1,1),Table1[[#This Row],[Order_Date]]&gt;TODAY()),"YES","NO")</f>
        <v>NO</v>
      </c>
    </row>
    <row r="269" spans="1:16" x14ac:dyDescent="0.3">
      <c r="A269">
        <v>100264</v>
      </c>
      <c r="B269" s="8">
        <v>45302.958333333343</v>
      </c>
      <c r="C269" t="s">
        <v>14</v>
      </c>
      <c r="D269" t="s">
        <v>17</v>
      </c>
      <c r="E269" t="s">
        <v>70</v>
      </c>
      <c r="F269" t="s">
        <v>72</v>
      </c>
      <c r="G269">
        <v>4</v>
      </c>
      <c r="H269">
        <v>66.63</v>
      </c>
      <c r="I269">
        <v>5</v>
      </c>
      <c r="J269" t="s">
        <v>74</v>
      </c>
      <c r="K269" t="s">
        <v>77</v>
      </c>
      <c r="L269">
        <v>266.52</v>
      </c>
      <c r="M269">
        <v>13.326000000000001</v>
      </c>
      <c r="N269">
        <v>253.19399999999999</v>
      </c>
      <c r="O2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69" s="9" t="str">
        <f ca="1">IF(OR(ISNUMBER(Table1[[#This Row],[Order_Date]])=FALSE,Table1[[#This Row],[Order_Date]]&lt;DATE(2000,1,1),Table1[[#This Row],[Order_Date]]&gt;TODAY()),"YES","NO")</f>
        <v>NO</v>
      </c>
    </row>
    <row r="270" spans="1:16" x14ac:dyDescent="0.3">
      <c r="A270">
        <v>100265</v>
      </c>
      <c r="B270" s="8">
        <v>45303</v>
      </c>
      <c r="C270" t="s">
        <v>14</v>
      </c>
      <c r="D270" t="s">
        <v>48</v>
      </c>
      <c r="E270" t="s">
        <v>69</v>
      </c>
      <c r="F270" t="s">
        <v>72</v>
      </c>
      <c r="G270">
        <v>1</v>
      </c>
      <c r="H270">
        <v>61.18</v>
      </c>
      <c r="I270">
        <v>0</v>
      </c>
      <c r="J270" t="s">
        <v>73</v>
      </c>
      <c r="K270" t="s">
        <v>77</v>
      </c>
      <c r="L270">
        <v>61.18</v>
      </c>
      <c r="M270">
        <v>0</v>
      </c>
      <c r="N270">
        <v>61.18</v>
      </c>
      <c r="O2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0" s="9" t="str">
        <f ca="1">IF(OR(ISNUMBER(Table1[[#This Row],[Order_Date]])=FALSE,Table1[[#This Row],[Order_Date]]&lt;DATE(2000,1,1),Table1[[#This Row],[Order_Date]]&gt;TODAY()),"YES","NO")</f>
        <v>NO</v>
      </c>
    </row>
    <row r="271" spans="1:16" x14ac:dyDescent="0.3">
      <c r="A271">
        <v>100266</v>
      </c>
      <c r="B271" s="8">
        <v>45303.041666666657</v>
      </c>
      <c r="C271" t="s">
        <v>15</v>
      </c>
      <c r="D271" t="s">
        <v>46</v>
      </c>
      <c r="E271" t="s">
        <v>70</v>
      </c>
      <c r="F271" t="s">
        <v>72</v>
      </c>
      <c r="G271">
        <v>3</v>
      </c>
      <c r="H271">
        <v>51.22</v>
      </c>
      <c r="I271">
        <v>15</v>
      </c>
      <c r="J271" t="s">
        <v>73</v>
      </c>
      <c r="K271" t="s">
        <v>77</v>
      </c>
      <c r="L271">
        <v>153.66</v>
      </c>
      <c r="M271">
        <v>23.048999999999999</v>
      </c>
      <c r="N271">
        <v>130.61099999999999</v>
      </c>
      <c r="O2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1" s="9" t="str">
        <f ca="1">IF(OR(ISNUMBER(Table1[[#This Row],[Order_Date]])=FALSE,Table1[[#This Row],[Order_Date]]&lt;DATE(2000,1,1),Table1[[#This Row],[Order_Date]]&gt;TODAY()),"YES","NO")</f>
        <v>NO</v>
      </c>
    </row>
    <row r="272" spans="1:16" x14ac:dyDescent="0.3">
      <c r="A272">
        <v>100267</v>
      </c>
      <c r="B272" s="8">
        <v>45303.083333333343</v>
      </c>
      <c r="C272" t="s">
        <v>15</v>
      </c>
      <c r="D272" t="s">
        <v>54</v>
      </c>
      <c r="E272" t="s">
        <v>70</v>
      </c>
      <c r="F272" t="s">
        <v>72</v>
      </c>
      <c r="G272">
        <v>2</v>
      </c>
      <c r="H272">
        <v>22.67</v>
      </c>
      <c r="I272">
        <v>5</v>
      </c>
      <c r="J272" t="s">
        <v>73</v>
      </c>
      <c r="K272" t="s">
        <v>77</v>
      </c>
      <c r="L272">
        <v>45.34</v>
      </c>
      <c r="M272">
        <v>2.2669999999999999</v>
      </c>
      <c r="N272">
        <v>43.073</v>
      </c>
      <c r="O2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2" s="9" t="str">
        <f ca="1">IF(OR(ISNUMBER(Table1[[#This Row],[Order_Date]])=FALSE,Table1[[#This Row],[Order_Date]]&lt;DATE(2000,1,1),Table1[[#This Row],[Order_Date]]&gt;TODAY()),"YES","NO")</f>
        <v>NO</v>
      </c>
    </row>
    <row r="273" spans="1:16" x14ac:dyDescent="0.3">
      <c r="A273">
        <v>100268</v>
      </c>
      <c r="B273" s="8">
        <v>45303.125</v>
      </c>
      <c r="C273" t="s">
        <v>15</v>
      </c>
      <c r="D273" t="s">
        <v>50</v>
      </c>
      <c r="E273" t="s">
        <v>69</v>
      </c>
      <c r="F273" t="s">
        <v>71</v>
      </c>
      <c r="G273">
        <v>3</v>
      </c>
      <c r="H273">
        <v>70.849999999999994</v>
      </c>
      <c r="I273">
        <v>5</v>
      </c>
      <c r="J273" t="s">
        <v>75</v>
      </c>
      <c r="K273" t="s">
        <v>77</v>
      </c>
      <c r="L273">
        <v>212.55</v>
      </c>
      <c r="M273">
        <v>10.6275</v>
      </c>
      <c r="N273">
        <v>201.92250000000001</v>
      </c>
      <c r="O2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3" s="9" t="str">
        <f ca="1">IF(OR(ISNUMBER(Table1[[#This Row],[Order_Date]])=FALSE,Table1[[#This Row],[Order_Date]]&lt;DATE(2000,1,1),Table1[[#This Row],[Order_Date]]&gt;TODAY()),"YES","NO")</f>
        <v>NO</v>
      </c>
    </row>
    <row r="274" spans="1:16" x14ac:dyDescent="0.3">
      <c r="A274">
        <v>100269</v>
      </c>
      <c r="B274" s="8">
        <v>45303.166666666657</v>
      </c>
      <c r="C274" t="s">
        <v>14</v>
      </c>
      <c r="D274" t="s">
        <v>64</v>
      </c>
      <c r="E274" t="s">
        <v>70</v>
      </c>
      <c r="F274" t="s">
        <v>72</v>
      </c>
      <c r="G274">
        <v>4</v>
      </c>
      <c r="H274">
        <v>36.86</v>
      </c>
      <c r="I274">
        <v>15</v>
      </c>
      <c r="J274" t="s">
        <v>74</v>
      </c>
      <c r="K274" t="s">
        <v>77</v>
      </c>
      <c r="L274">
        <v>147.44</v>
      </c>
      <c r="M274">
        <v>22.116</v>
      </c>
      <c r="N274">
        <v>125.324</v>
      </c>
      <c r="O2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4" s="9" t="str">
        <f ca="1">IF(OR(ISNUMBER(Table1[[#This Row],[Order_Date]])=FALSE,Table1[[#This Row],[Order_Date]]&lt;DATE(2000,1,1),Table1[[#This Row],[Order_Date]]&gt;TODAY()),"YES","NO")</f>
        <v>NO</v>
      </c>
    </row>
    <row r="275" spans="1:16" x14ac:dyDescent="0.3">
      <c r="A275">
        <v>100270</v>
      </c>
      <c r="B275" s="8">
        <v>45303.208333333343</v>
      </c>
      <c r="C275" t="s">
        <v>14</v>
      </c>
      <c r="D275" t="s">
        <v>60</v>
      </c>
      <c r="E275" t="s">
        <v>68</v>
      </c>
      <c r="F275" t="s">
        <v>72</v>
      </c>
      <c r="G275">
        <v>1</v>
      </c>
      <c r="H275">
        <v>110.95</v>
      </c>
      <c r="I275">
        <v>10</v>
      </c>
      <c r="J275" t="s">
        <v>75</v>
      </c>
      <c r="K275" t="s">
        <v>77</v>
      </c>
      <c r="L275">
        <v>110.95</v>
      </c>
      <c r="M275">
        <v>11.095000000000001</v>
      </c>
      <c r="N275">
        <v>99.855000000000004</v>
      </c>
      <c r="O2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5" s="9" t="str">
        <f ca="1">IF(OR(ISNUMBER(Table1[[#This Row],[Order_Date]])=FALSE,Table1[[#This Row],[Order_Date]]&lt;DATE(2000,1,1),Table1[[#This Row],[Order_Date]]&gt;TODAY()),"YES","NO")</f>
        <v>NO</v>
      </c>
    </row>
    <row r="276" spans="1:16" x14ac:dyDescent="0.3">
      <c r="A276">
        <v>100271</v>
      </c>
      <c r="B276" s="8">
        <v>45303.25</v>
      </c>
      <c r="C276" t="s">
        <v>15</v>
      </c>
      <c r="D276" t="s">
        <v>46</v>
      </c>
      <c r="E276" t="s">
        <v>68</v>
      </c>
      <c r="F276" t="s">
        <v>71</v>
      </c>
      <c r="G276">
        <v>4</v>
      </c>
      <c r="H276">
        <v>72.069999999999993</v>
      </c>
      <c r="I276">
        <v>5</v>
      </c>
      <c r="J276" t="s">
        <v>73</v>
      </c>
      <c r="K276" t="s">
        <v>77</v>
      </c>
      <c r="L276">
        <v>288.27999999999997</v>
      </c>
      <c r="M276">
        <v>14.414</v>
      </c>
      <c r="N276">
        <v>273.86599999999999</v>
      </c>
      <c r="O2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6" s="9" t="str">
        <f ca="1">IF(OR(ISNUMBER(Table1[[#This Row],[Order_Date]])=FALSE,Table1[[#This Row],[Order_Date]]&lt;DATE(2000,1,1),Table1[[#This Row],[Order_Date]]&gt;TODAY()),"YES","NO")</f>
        <v>NO</v>
      </c>
    </row>
    <row r="277" spans="1:16" x14ac:dyDescent="0.3">
      <c r="A277">
        <v>100272</v>
      </c>
      <c r="B277" s="8">
        <v>45303.291666666657</v>
      </c>
      <c r="C277" t="s">
        <v>15</v>
      </c>
      <c r="D277" t="s">
        <v>26</v>
      </c>
      <c r="E277" t="s">
        <v>70</v>
      </c>
      <c r="F277" t="s">
        <v>71</v>
      </c>
      <c r="G277">
        <v>1</v>
      </c>
      <c r="H277">
        <v>73.180000000000007</v>
      </c>
      <c r="I277">
        <v>5</v>
      </c>
      <c r="J277" t="s">
        <v>76</v>
      </c>
      <c r="K277" t="s">
        <v>79</v>
      </c>
      <c r="L277">
        <v>73.180000000000007</v>
      </c>
      <c r="M277">
        <v>3.6590000000000011</v>
      </c>
      <c r="N277">
        <v>69.521000000000001</v>
      </c>
      <c r="O2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77" s="9" t="str">
        <f ca="1">IF(OR(ISNUMBER(Table1[[#This Row],[Order_Date]])=FALSE,Table1[[#This Row],[Order_Date]]&lt;DATE(2000,1,1),Table1[[#This Row],[Order_Date]]&gt;TODAY()),"YES","NO")</f>
        <v>NO</v>
      </c>
    </row>
    <row r="278" spans="1:16" x14ac:dyDescent="0.3">
      <c r="A278">
        <v>100273</v>
      </c>
      <c r="B278" s="8">
        <v>45303.333333333343</v>
      </c>
      <c r="C278" t="s">
        <v>15</v>
      </c>
      <c r="D278" t="s">
        <v>31</v>
      </c>
      <c r="E278" t="s">
        <v>66</v>
      </c>
      <c r="F278" t="s">
        <v>72</v>
      </c>
      <c r="G278">
        <v>5</v>
      </c>
      <c r="H278">
        <v>45.82</v>
      </c>
      <c r="I278">
        <v>0</v>
      </c>
      <c r="J278" t="s">
        <v>74</v>
      </c>
      <c r="K278" t="s">
        <v>77</v>
      </c>
      <c r="L278">
        <v>229.1</v>
      </c>
      <c r="M278">
        <v>0</v>
      </c>
      <c r="N278">
        <v>229.1</v>
      </c>
      <c r="O2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8" s="9" t="str">
        <f ca="1">IF(OR(ISNUMBER(Table1[[#This Row],[Order_Date]])=FALSE,Table1[[#This Row],[Order_Date]]&lt;DATE(2000,1,1),Table1[[#This Row],[Order_Date]]&gt;TODAY()),"YES","NO")</f>
        <v>NO</v>
      </c>
    </row>
    <row r="279" spans="1:16" x14ac:dyDescent="0.3">
      <c r="A279">
        <v>100274</v>
      </c>
      <c r="B279" s="8">
        <v>45303.375</v>
      </c>
      <c r="C279" t="s">
        <v>15</v>
      </c>
      <c r="D279" t="s">
        <v>19</v>
      </c>
      <c r="E279" t="s">
        <v>69</v>
      </c>
      <c r="F279" t="s">
        <v>72</v>
      </c>
      <c r="G279">
        <v>2</v>
      </c>
      <c r="H279">
        <v>10.98</v>
      </c>
      <c r="I279">
        <v>10</v>
      </c>
      <c r="J279" t="s">
        <v>75</v>
      </c>
      <c r="K279" t="s">
        <v>77</v>
      </c>
      <c r="L279">
        <v>21.96</v>
      </c>
      <c r="M279">
        <v>2.1960000000000002</v>
      </c>
      <c r="N279">
        <v>19.763999999999999</v>
      </c>
      <c r="O2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79" s="9" t="str">
        <f ca="1">IF(OR(ISNUMBER(Table1[[#This Row],[Order_Date]])=FALSE,Table1[[#This Row],[Order_Date]]&lt;DATE(2000,1,1),Table1[[#This Row],[Order_Date]]&gt;TODAY()),"YES","NO")</f>
        <v>NO</v>
      </c>
    </row>
    <row r="280" spans="1:16" x14ac:dyDescent="0.3">
      <c r="A280">
        <v>100275</v>
      </c>
      <c r="B280" s="8">
        <v>45303.416666666657</v>
      </c>
      <c r="C280" t="s">
        <v>14</v>
      </c>
      <c r="D280" t="s">
        <v>21</v>
      </c>
      <c r="E280" t="s">
        <v>68</v>
      </c>
      <c r="F280" t="s">
        <v>72</v>
      </c>
      <c r="G280">
        <v>5</v>
      </c>
      <c r="H280">
        <v>8.65</v>
      </c>
      <c r="I280">
        <v>0</v>
      </c>
      <c r="J280" t="s">
        <v>74</v>
      </c>
      <c r="K280" t="s">
        <v>77</v>
      </c>
      <c r="L280">
        <v>43.25</v>
      </c>
      <c r="M280">
        <v>0</v>
      </c>
      <c r="N280">
        <v>43.25</v>
      </c>
      <c r="O2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0" s="9" t="str">
        <f ca="1">IF(OR(ISNUMBER(Table1[[#This Row],[Order_Date]])=FALSE,Table1[[#This Row],[Order_Date]]&lt;DATE(2000,1,1),Table1[[#This Row],[Order_Date]]&gt;TODAY()),"YES","NO")</f>
        <v>NO</v>
      </c>
    </row>
    <row r="281" spans="1:16" x14ac:dyDescent="0.3">
      <c r="A281">
        <v>100276</v>
      </c>
      <c r="B281" s="8">
        <v>45303.458333333343</v>
      </c>
      <c r="C281" t="s">
        <v>15</v>
      </c>
      <c r="D281" t="s">
        <v>39</v>
      </c>
      <c r="E281" t="s">
        <v>66</v>
      </c>
      <c r="F281" t="s">
        <v>72</v>
      </c>
      <c r="G281">
        <v>5</v>
      </c>
      <c r="H281">
        <v>53.68</v>
      </c>
      <c r="I281">
        <v>0</v>
      </c>
      <c r="J281" t="s">
        <v>76</v>
      </c>
      <c r="K281" t="s">
        <v>78</v>
      </c>
      <c r="L281">
        <v>268.39999999999998</v>
      </c>
      <c r="M281">
        <v>0</v>
      </c>
      <c r="N281">
        <v>268.39999999999998</v>
      </c>
      <c r="O2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81" s="9" t="str">
        <f ca="1">IF(OR(ISNUMBER(Table1[[#This Row],[Order_Date]])=FALSE,Table1[[#This Row],[Order_Date]]&lt;DATE(2000,1,1),Table1[[#This Row],[Order_Date]]&gt;TODAY()),"YES","NO")</f>
        <v>NO</v>
      </c>
    </row>
    <row r="282" spans="1:16" x14ac:dyDescent="0.3">
      <c r="A282">
        <v>100277</v>
      </c>
      <c r="B282" s="8">
        <v>45303.5</v>
      </c>
      <c r="C282" t="s">
        <v>14</v>
      </c>
      <c r="D282" t="s">
        <v>53</v>
      </c>
      <c r="E282" t="s">
        <v>70</v>
      </c>
      <c r="F282" t="s">
        <v>71</v>
      </c>
      <c r="G282">
        <v>4</v>
      </c>
      <c r="H282">
        <v>14.73</v>
      </c>
      <c r="I282">
        <v>10</v>
      </c>
      <c r="J282" t="s">
        <v>75</v>
      </c>
      <c r="K282" t="s">
        <v>77</v>
      </c>
      <c r="L282">
        <v>58.92</v>
      </c>
      <c r="M282">
        <v>5.8920000000000003</v>
      </c>
      <c r="N282">
        <v>53.027999999999999</v>
      </c>
      <c r="O2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2" s="9" t="str">
        <f ca="1">IF(OR(ISNUMBER(Table1[[#This Row],[Order_Date]])=FALSE,Table1[[#This Row],[Order_Date]]&lt;DATE(2000,1,1),Table1[[#This Row],[Order_Date]]&gt;TODAY()),"YES","NO")</f>
        <v>NO</v>
      </c>
    </row>
    <row r="283" spans="1:16" x14ac:dyDescent="0.3">
      <c r="A283">
        <v>100278</v>
      </c>
      <c r="B283" s="8">
        <v>45303.541666666657</v>
      </c>
      <c r="C283" t="s">
        <v>15</v>
      </c>
      <c r="D283" t="s">
        <v>59</v>
      </c>
      <c r="E283" t="s">
        <v>66</v>
      </c>
      <c r="F283" t="s">
        <v>71</v>
      </c>
      <c r="G283">
        <v>2</v>
      </c>
      <c r="H283">
        <v>74.790000000000006</v>
      </c>
      <c r="I283">
        <v>10</v>
      </c>
      <c r="J283" t="s">
        <v>73</v>
      </c>
      <c r="K283" t="s">
        <v>77</v>
      </c>
      <c r="L283">
        <v>149.58000000000001</v>
      </c>
      <c r="M283">
        <v>14.958</v>
      </c>
      <c r="N283">
        <v>134.62200000000001</v>
      </c>
      <c r="O2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3" s="9" t="str">
        <f ca="1">IF(OR(ISNUMBER(Table1[[#This Row],[Order_Date]])=FALSE,Table1[[#This Row],[Order_Date]]&lt;DATE(2000,1,1),Table1[[#This Row],[Order_Date]]&gt;TODAY()),"YES","NO")</f>
        <v>NO</v>
      </c>
    </row>
    <row r="284" spans="1:16" x14ac:dyDescent="0.3">
      <c r="A284">
        <v>100279</v>
      </c>
      <c r="B284" s="8">
        <v>45303.583333333343</v>
      </c>
      <c r="C284" t="s">
        <v>14</v>
      </c>
      <c r="D284" t="s">
        <v>26</v>
      </c>
      <c r="E284" t="s">
        <v>67</v>
      </c>
      <c r="F284" t="s">
        <v>71</v>
      </c>
      <c r="G284">
        <v>1</v>
      </c>
      <c r="H284">
        <v>106.31</v>
      </c>
      <c r="I284">
        <v>15</v>
      </c>
      <c r="J284" t="s">
        <v>75</v>
      </c>
      <c r="K284" t="s">
        <v>77</v>
      </c>
      <c r="L284">
        <v>106.31</v>
      </c>
      <c r="M284">
        <v>15.9465</v>
      </c>
      <c r="N284">
        <v>90.363500000000002</v>
      </c>
      <c r="O2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4" s="9" t="str">
        <f ca="1">IF(OR(ISNUMBER(Table1[[#This Row],[Order_Date]])=FALSE,Table1[[#This Row],[Order_Date]]&lt;DATE(2000,1,1),Table1[[#This Row],[Order_Date]]&gt;TODAY()),"YES","NO")</f>
        <v>NO</v>
      </c>
    </row>
    <row r="285" spans="1:16" x14ac:dyDescent="0.3">
      <c r="A285">
        <v>100280</v>
      </c>
      <c r="B285" s="8">
        <v>45303.625</v>
      </c>
      <c r="C285" t="s">
        <v>15</v>
      </c>
      <c r="D285" t="s">
        <v>38</v>
      </c>
      <c r="E285" t="s">
        <v>68</v>
      </c>
      <c r="F285" t="s">
        <v>72</v>
      </c>
      <c r="G285">
        <v>1</v>
      </c>
      <c r="H285">
        <v>106.54</v>
      </c>
      <c r="I285">
        <v>10</v>
      </c>
      <c r="J285" t="s">
        <v>74</v>
      </c>
      <c r="K285" t="s">
        <v>77</v>
      </c>
      <c r="L285">
        <v>106.54</v>
      </c>
      <c r="M285">
        <v>10.654</v>
      </c>
      <c r="N285">
        <v>95.88600000000001</v>
      </c>
      <c r="O2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5" s="9" t="str">
        <f ca="1">IF(OR(ISNUMBER(Table1[[#This Row],[Order_Date]])=FALSE,Table1[[#This Row],[Order_Date]]&lt;DATE(2000,1,1),Table1[[#This Row],[Order_Date]]&gt;TODAY()),"YES","NO")</f>
        <v>NO</v>
      </c>
    </row>
    <row r="286" spans="1:16" x14ac:dyDescent="0.3">
      <c r="A286">
        <v>100281</v>
      </c>
      <c r="B286" s="8">
        <v>45303.666666666657</v>
      </c>
      <c r="C286" t="s">
        <v>15</v>
      </c>
      <c r="D286" t="s">
        <v>33</v>
      </c>
      <c r="E286" t="s">
        <v>70</v>
      </c>
      <c r="F286" t="s">
        <v>72</v>
      </c>
      <c r="G286">
        <v>3</v>
      </c>
      <c r="H286">
        <v>80.790000000000006</v>
      </c>
      <c r="I286">
        <v>5</v>
      </c>
      <c r="J286" t="s">
        <v>74</v>
      </c>
      <c r="K286" t="s">
        <v>77</v>
      </c>
      <c r="L286">
        <v>242.37</v>
      </c>
      <c r="M286">
        <v>12.118499999999999</v>
      </c>
      <c r="N286">
        <v>230.25149999999999</v>
      </c>
      <c r="O2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6" s="9" t="str">
        <f ca="1">IF(OR(ISNUMBER(Table1[[#This Row],[Order_Date]])=FALSE,Table1[[#This Row],[Order_Date]]&lt;DATE(2000,1,1),Table1[[#This Row],[Order_Date]]&gt;TODAY()),"YES","NO")</f>
        <v>NO</v>
      </c>
    </row>
    <row r="287" spans="1:16" x14ac:dyDescent="0.3">
      <c r="A287">
        <v>100282</v>
      </c>
      <c r="B287" s="8">
        <v>45303.708333333343</v>
      </c>
      <c r="C287" t="s">
        <v>15</v>
      </c>
      <c r="D287" t="s">
        <v>47</v>
      </c>
      <c r="E287" t="s">
        <v>69</v>
      </c>
      <c r="F287" t="s">
        <v>72</v>
      </c>
      <c r="G287">
        <v>1</v>
      </c>
      <c r="H287">
        <v>29.29</v>
      </c>
      <c r="I287">
        <v>10</v>
      </c>
      <c r="J287" t="s">
        <v>74</v>
      </c>
      <c r="K287" t="s">
        <v>77</v>
      </c>
      <c r="L287">
        <v>29.29</v>
      </c>
      <c r="M287">
        <v>2.9289999999999998</v>
      </c>
      <c r="N287">
        <v>26.361000000000001</v>
      </c>
      <c r="O2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7" s="9" t="str">
        <f ca="1">IF(OR(ISNUMBER(Table1[[#This Row],[Order_Date]])=FALSE,Table1[[#This Row],[Order_Date]]&lt;DATE(2000,1,1),Table1[[#This Row],[Order_Date]]&gt;TODAY()),"YES","NO")</f>
        <v>NO</v>
      </c>
    </row>
    <row r="288" spans="1:16" x14ac:dyDescent="0.3">
      <c r="A288">
        <v>100283</v>
      </c>
      <c r="B288" s="8">
        <v>45303.75</v>
      </c>
      <c r="C288" t="s">
        <v>15</v>
      </c>
      <c r="D288" t="s">
        <v>31</v>
      </c>
      <c r="E288" t="s">
        <v>70</v>
      </c>
      <c r="F288" t="s">
        <v>72</v>
      </c>
      <c r="G288">
        <v>4</v>
      </c>
      <c r="H288">
        <v>104.24</v>
      </c>
      <c r="I288">
        <v>15</v>
      </c>
      <c r="J288" t="s">
        <v>74</v>
      </c>
      <c r="K288" t="s">
        <v>77</v>
      </c>
      <c r="L288">
        <v>416.96</v>
      </c>
      <c r="M288">
        <v>62.543999999999997</v>
      </c>
      <c r="N288">
        <v>354.416</v>
      </c>
      <c r="O2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88" s="9" t="str">
        <f ca="1">IF(OR(ISNUMBER(Table1[[#This Row],[Order_Date]])=FALSE,Table1[[#This Row],[Order_Date]]&lt;DATE(2000,1,1),Table1[[#This Row],[Order_Date]]&gt;TODAY()),"YES","NO")</f>
        <v>NO</v>
      </c>
    </row>
    <row r="289" spans="1:16" x14ac:dyDescent="0.3">
      <c r="A289">
        <v>100284</v>
      </c>
      <c r="B289" s="8">
        <v>45303.791666666657</v>
      </c>
      <c r="C289" t="s">
        <v>14</v>
      </c>
      <c r="D289" t="s">
        <v>59</v>
      </c>
      <c r="E289" t="s">
        <v>69</v>
      </c>
      <c r="F289" t="s">
        <v>71</v>
      </c>
      <c r="G289">
        <v>5</v>
      </c>
      <c r="H289">
        <v>106.9</v>
      </c>
      <c r="I289">
        <v>15</v>
      </c>
      <c r="J289" t="s">
        <v>73</v>
      </c>
      <c r="K289" t="s">
        <v>78</v>
      </c>
      <c r="L289">
        <v>534.5</v>
      </c>
      <c r="M289">
        <v>80.174999999999997</v>
      </c>
      <c r="N289">
        <v>454.32499999999999</v>
      </c>
      <c r="O2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289" s="9" t="str">
        <f ca="1">IF(OR(ISNUMBER(Table1[[#This Row],[Order_Date]])=FALSE,Table1[[#This Row],[Order_Date]]&lt;DATE(2000,1,1),Table1[[#This Row],[Order_Date]]&gt;TODAY()),"YES","NO")</f>
        <v>NO</v>
      </c>
    </row>
    <row r="290" spans="1:16" x14ac:dyDescent="0.3">
      <c r="A290">
        <v>100285</v>
      </c>
      <c r="B290" s="8">
        <v>45303.833333333343</v>
      </c>
      <c r="C290" t="s">
        <v>15</v>
      </c>
      <c r="D290" t="s">
        <v>39</v>
      </c>
      <c r="E290" t="s">
        <v>70</v>
      </c>
      <c r="F290" t="s">
        <v>71</v>
      </c>
      <c r="G290">
        <v>5</v>
      </c>
      <c r="H290">
        <v>27.62</v>
      </c>
      <c r="I290">
        <v>15</v>
      </c>
      <c r="J290" t="s">
        <v>75</v>
      </c>
      <c r="K290" t="s">
        <v>77</v>
      </c>
      <c r="L290">
        <v>138.1</v>
      </c>
      <c r="M290">
        <v>20.715</v>
      </c>
      <c r="N290">
        <v>117.38500000000001</v>
      </c>
      <c r="O2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0" s="9" t="str">
        <f ca="1">IF(OR(ISNUMBER(Table1[[#This Row],[Order_Date]])=FALSE,Table1[[#This Row],[Order_Date]]&lt;DATE(2000,1,1),Table1[[#This Row],[Order_Date]]&gt;TODAY()),"YES","NO")</f>
        <v>NO</v>
      </c>
    </row>
    <row r="291" spans="1:16" x14ac:dyDescent="0.3">
      <c r="A291">
        <v>100286</v>
      </c>
      <c r="B291" s="8">
        <v>45303.875</v>
      </c>
      <c r="C291" t="s">
        <v>14</v>
      </c>
      <c r="D291" t="s">
        <v>55</v>
      </c>
      <c r="E291" t="s">
        <v>66</v>
      </c>
      <c r="F291" t="s">
        <v>72</v>
      </c>
      <c r="G291">
        <v>5</v>
      </c>
      <c r="H291">
        <v>89.8</v>
      </c>
      <c r="I291">
        <v>10</v>
      </c>
      <c r="J291" t="s">
        <v>73</v>
      </c>
      <c r="K291" t="s">
        <v>77</v>
      </c>
      <c r="L291">
        <v>449</v>
      </c>
      <c r="M291">
        <v>44.900000000000013</v>
      </c>
      <c r="N291">
        <v>404.1</v>
      </c>
      <c r="O2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1" s="9" t="str">
        <f ca="1">IF(OR(ISNUMBER(Table1[[#This Row],[Order_Date]])=FALSE,Table1[[#This Row],[Order_Date]]&lt;DATE(2000,1,1),Table1[[#This Row],[Order_Date]]&gt;TODAY()),"YES","NO")</f>
        <v>NO</v>
      </c>
    </row>
    <row r="292" spans="1:16" x14ac:dyDescent="0.3">
      <c r="A292">
        <v>100287</v>
      </c>
      <c r="B292" s="8">
        <v>45303.916666666657</v>
      </c>
      <c r="C292" t="s">
        <v>14</v>
      </c>
      <c r="D292" t="s">
        <v>41</v>
      </c>
      <c r="E292" t="s">
        <v>66</v>
      </c>
      <c r="F292" t="s">
        <v>71</v>
      </c>
      <c r="G292">
        <v>2</v>
      </c>
      <c r="H292">
        <v>37.950000000000003</v>
      </c>
      <c r="I292">
        <v>10</v>
      </c>
      <c r="J292" t="s">
        <v>73</v>
      </c>
      <c r="K292" t="s">
        <v>77</v>
      </c>
      <c r="L292">
        <v>75.900000000000006</v>
      </c>
      <c r="M292">
        <v>7.5900000000000007</v>
      </c>
      <c r="N292">
        <v>68.31</v>
      </c>
      <c r="O2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2" s="9" t="str">
        <f ca="1">IF(OR(ISNUMBER(Table1[[#This Row],[Order_Date]])=FALSE,Table1[[#This Row],[Order_Date]]&lt;DATE(2000,1,1),Table1[[#This Row],[Order_Date]]&gt;TODAY()),"YES","NO")</f>
        <v>NO</v>
      </c>
    </row>
    <row r="293" spans="1:16" x14ac:dyDescent="0.3">
      <c r="A293">
        <v>100288</v>
      </c>
      <c r="B293" s="8">
        <v>45303.958333333343</v>
      </c>
      <c r="C293" t="s">
        <v>14</v>
      </c>
      <c r="D293" t="s">
        <v>35</v>
      </c>
      <c r="E293" t="s">
        <v>66</v>
      </c>
      <c r="F293" t="s">
        <v>72</v>
      </c>
      <c r="G293">
        <v>1</v>
      </c>
      <c r="H293">
        <v>97.3</v>
      </c>
      <c r="I293">
        <v>0</v>
      </c>
      <c r="J293" t="s">
        <v>73</v>
      </c>
      <c r="K293" t="s">
        <v>77</v>
      </c>
      <c r="L293">
        <v>97.3</v>
      </c>
      <c r="M293">
        <v>0</v>
      </c>
      <c r="N293">
        <v>97.3</v>
      </c>
      <c r="O2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3" s="9" t="str">
        <f ca="1">IF(OR(ISNUMBER(Table1[[#This Row],[Order_Date]])=FALSE,Table1[[#This Row],[Order_Date]]&lt;DATE(2000,1,1),Table1[[#This Row],[Order_Date]]&gt;TODAY()),"YES","NO")</f>
        <v>NO</v>
      </c>
    </row>
    <row r="294" spans="1:16" x14ac:dyDescent="0.3">
      <c r="A294">
        <v>100289</v>
      </c>
      <c r="B294" s="8">
        <v>45304</v>
      </c>
      <c r="C294" t="s">
        <v>14</v>
      </c>
      <c r="D294" t="s">
        <v>58</v>
      </c>
      <c r="E294" t="s">
        <v>67</v>
      </c>
      <c r="F294" t="s">
        <v>72</v>
      </c>
      <c r="G294">
        <v>4</v>
      </c>
      <c r="H294">
        <v>119.68</v>
      </c>
      <c r="I294">
        <v>0</v>
      </c>
      <c r="J294" t="s">
        <v>74</v>
      </c>
      <c r="K294" t="s">
        <v>77</v>
      </c>
      <c r="L294">
        <v>478.72</v>
      </c>
      <c r="M294">
        <v>0</v>
      </c>
      <c r="N294">
        <v>478.72</v>
      </c>
      <c r="O2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4" s="9" t="str">
        <f ca="1">IF(OR(ISNUMBER(Table1[[#This Row],[Order_Date]])=FALSE,Table1[[#This Row],[Order_Date]]&lt;DATE(2000,1,1),Table1[[#This Row],[Order_Date]]&gt;TODAY()),"YES","NO")</f>
        <v>NO</v>
      </c>
    </row>
    <row r="295" spans="1:16" x14ac:dyDescent="0.3">
      <c r="A295">
        <v>100290</v>
      </c>
      <c r="B295" s="8">
        <v>45304.041666666657</v>
      </c>
      <c r="C295" t="s">
        <v>15</v>
      </c>
      <c r="D295" t="s">
        <v>28</v>
      </c>
      <c r="E295" t="s">
        <v>69</v>
      </c>
      <c r="F295" t="s">
        <v>71</v>
      </c>
      <c r="G295">
        <v>2</v>
      </c>
      <c r="H295">
        <v>8.4499999999999993</v>
      </c>
      <c r="I295">
        <v>5</v>
      </c>
      <c r="J295" t="s">
        <v>74</v>
      </c>
      <c r="K295" t="s">
        <v>77</v>
      </c>
      <c r="L295">
        <v>16.899999999999999</v>
      </c>
      <c r="M295">
        <v>0.84499999999999997</v>
      </c>
      <c r="N295">
        <v>16.055</v>
      </c>
      <c r="O2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5" s="9" t="str">
        <f ca="1">IF(OR(ISNUMBER(Table1[[#This Row],[Order_Date]])=FALSE,Table1[[#This Row],[Order_Date]]&lt;DATE(2000,1,1),Table1[[#This Row],[Order_Date]]&gt;TODAY()),"YES","NO")</f>
        <v>NO</v>
      </c>
    </row>
    <row r="296" spans="1:16" x14ac:dyDescent="0.3">
      <c r="A296">
        <v>100291</v>
      </c>
      <c r="B296" s="8">
        <v>45304.083333333343</v>
      </c>
      <c r="C296" t="s">
        <v>14</v>
      </c>
      <c r="D296" t="s">
        <v>26</v>
      </c>
      <c r="E296" t="s">
        <v>66</v>
      </c>
      <c r="F296" t="s">
        <v>72</v>
      </c>
      <c r="G296">
        <v>3</v>
      </c>
      <c r="H296">
        <v>108.2</v>
      </c>
      <c r="I296">
        <v>0</v>
      </c>
      <c r="J296" t="s">
        <v>74</v>
      </c>
      <c r="K296" t="s">
        <v>77</v>
      </c>
      <c r="L296">
        <v>324.60000000000002</v>
      </c>
      <c r="M296">
        <v>0</v>
      </c>
      <c r="N296">
        <v>324.60000000000002</v>
      </c>
      <c r="O2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6" s="9" t="str">
        <f ca="1">IF(OR(ISNUMBER(Table1[[#This Row],[Order_Date]])=FALSE,Table1[[#This Row],[Order_Date]]&lt;DATE(2000,1,1),Table1[[#This Row],[Order_Date]]&gt;TODAY()),"YES","NO")</f>
        <v>NO</v>
      </c>
    </row>
    <row r="297" spans="1:16" x14ac:dyDescent="0.3">
      <c r="A297">
        <v>100292</v>
      </c>
      <c r="B297" s="8">
        <v>45304.125</v>
      </c>
      <c r="C297" t="s">
        <v>14</v>
      </c>
      <c r="D297" t="s">
        <v>41</v>
      </c>
      <c r="E297" t="s">
        <v>67</v>
      </c>
      <c r="F297" t="s">
        <v>72</v>
      </c>
      <c r="G297">
        <v>4</v>
      </c>
      <c r="H297">
        <v>76.599999999999994</v>
      </c>
      <c r="I297">
        <v>5</v>
      </c>
      <c r="J297" t="s">
        <v>75</v>
      </c>
      <c r="K297" t="s">
        <v>77</v>
      </c>
      <c r="L297">
        <v>306.39999999999998</v>
      </c>
      <c r="M297">
        <v>15.32</v>
      </c>
      <c r="N297">
        <v>291.08</v>
      </c>
      <c r="O2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7" s="9" t="str">
        <f ca="1">IF(OR(ISNUMBER(Table1[[#This Row],[Order_Date]])=FALSE,Table1[[#This Row],[Order_Date]]&lt;DATE(2000,1,1),Table1[[#This Row],[Order_Date]]&gt;TODAY()),"YES","NO")</f>
        <v>NO</v>
      </c>
    </row>
    <row r="298" spans="1:16" x14ac:dyDescent="0.3">
      <c r="A298">
        <v>100293</v>
      </c>
      <c r="B298" s="8">
        <v>45304.166666666657</v>
      </c>
      <c r="C298" t="s">
        <v>14</v>
      </c>
      <c r="D298" t="s">
        <v>53</v>
      </c>
      <c r="E298" t="s">
        <v>69</v>
      </c>
      <c r="F298" t="s">
        <v>71</v>
      </c>
      <c r="G298">
        <v>4</v>
      </c>
      <c r="H298">
        <v>116.94</v>
      </c>
      <c r="I298">
        <v>15</v>
      </c>
      <c r="J298" t="s">
        <v>76</v>
      </c>
      <c r="K298" t="s">
        <v>77</v>
      </c>
      <c r="L298">
        <v>467.76</v>
      </c>
      <c r="M298">
        <v>70.164000000000001</v>
      </c>
      <c r="N298">
        <v>397.596</v>
      </c>
      <c r="O2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8" s="9" t="str">
        <f ca="1">IF(OR(ISNUMBER(Table1[[#This Row],[Order_Date]])=FALSE,Table1[[#This Row],[Order_Date]]&lt;DATE(2000,1,1),Table1[[#This Row],[Order_Date]]&gt;TODAY()),"YES","NO")</f>
        <v>NO</v>
      </c>
    </row>
    <row r="299" spans="1:16" x14ac:dyDescent="0.3">
      <c r="A299">
        <v>100294</v>
      </c>
      <c r="B299" s="8">
        <v>45304.208333333343</v>
      </c>
      <c r="C299" t="s">
        <v>15</v>
      </c>
      <c r="D299" t="s">
        <v>51</v>
      </c>
      <c r="E299" t="s">
        <v>70</v>
      </c>
      <c r="F299" t="s">
        <v>72</v>
      </c>
      <c r="G299">
        <v>4</v>
      </c>
      <c r="H299">
        <v>58.48</v>
      </c>
      <c r="I299">
        <v>0</v>
      </c>
      <c r="J299" t="s">
        <v>74</v>
      </c>
      <c r="K299" t="s">
        <v>77</v>
      </c>
      <c r="L299">
        <v>233.92</v>
      </c>
      <c r="M299">
        <v>0</v>
      </c>
      <c r="N299">
        <v>233.92</v>
      </c>
      <c r="O2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299" s="9" t="str">
        <f ca="1">IF(OR(ISNUMBER(Table1[[#This Row],[Order_Date]])=FALSE,Table1[[#This Row],[Order_Date]]&lt;DATE(2000,1,1),Table1[[#This Row],[Order_Date]]&gt;TODAY()),"YES","NO")</f>
        <v>NO</v>
      </c>
    </row>
    <row r="300" spans="1:16" x14ac:dyDescent="0.3">
      <c r="A300">
        <v>100295</v>
      </c>
      <c r="B300" s="8">
        <v>45304.25</v>
      </c>
      <c r="C300" t="s">
        <v>15</v>
      </c>
      <c r="D300" t="s">
        <v>19</v>
      </c>
      <c r="E300" t="s">
        <v>67</v>
      </c>
      <c r="F300" t="s">
        <v>72</v>
      </c>
      <c r="G300">
        <v>5</v>
      </c>
      <c r="H300">
        <v>102.45</v>
      </c>
      <c r="I300">
        <v>10</v>
      </c>
      <c r="J300" t="s">
        <v>75</v>
      </c>
      <c r="K300" t="s">
        <v>77</v>
      </c>
      <c r="L300">
        <v>512.25</v>
      </c>
      <c r="M300">
        <v>51.225000000000001</v>
      </c>
      <c r="N300">
        <v>461.02499999999998</v>
      </c>
      <c r="O3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0" s="9" t="str">
        <f ca="1">IF(OR(ISNUMBER(Table1[[#This Row],[Order_Date]])=FALSE,Table1[[#This Row],[Order_Date]]&lt;DATE(2000,1,1),Table1[[#This Row],[Order_Date]]&gt;TODAY()),"YES","NO")</f>
        <v>NO</v>
      </c>
    </row>
    <row r="301" spans="1:16" x14ac:dyDescent="0.3">
      <c r="A301">
        <v>100296</v>
      </c>
      <c r="B301" s="8">
        <v>45304.291666666657</v>
      </c>
      <c r="C301" t="s">
        <v>15</v>
      </c>
      <c r="D301" t="s">
        <v>18</v>
      </c>
      <c r="E301" t="s">
        <v>68</v>
      </c>
      <c r="F301" t="s">
        <v>71</v>
      </c>
      <c r="G301">
        <v>4</v>
      </c>
      <c r="H301">
        <v>12.18</v>
      </c>
      <c r="I301">
        <v>0</v>
      </c>
      <c r="J301" t="s">
        <v>74</v>
      </c>
      <c r="K301" t="s">
        <v>77</v>
      </c>
      <c r="L301">
        <v>48.72</v>
      </c>
      <c r="M301">
        <v>0</v>
      </c>
      <c r="N301">
        <v>48.72</v>
      </c>
      <c r="O3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1" s="9" t="str">
        <f ca="1">IF(OR(ISNUMBER(Table1[[#This Row],[Order_Date]])=FALSE,Table1[[#This Row],[Order_Date]]&lt;DATE(2000,1,1),Table1[[#This Row],[Order_Date]]&gt;TODAY()),"YES","NO")</f>
        <v>NO</v>
      </c>
    </row>
    <row r="302" spans="1:16" x14ac:dyDescent="0.3">
      <c r="A302">
        <v>100297</v>
      </c>
      <c r="B302" s="8">
        <v>45304.333333333343</v>
      </c>
      <c r="C302" t="s">
        <v>15</v>
      </c>
      <c r="D302" t="s">
        <v>19</v>
      </c>
      <c r="E302" t="s">
        <v>67</v>
      </c>
      <c r="F302" t="s">
        <v>72</v>
      </c>
      <c r="G302">
        <v>1</v>
      </c>
      <c r="H302">
        <v>43.56</v>
      </c>
      <c r="I302">
        <v>5</v>
      </c>
      <c r="J302" t="s">
        <v>74</v>
      </c>
      <c r="K302" t="s">
        <v>77</v>
      </c>
      <c r="L302">
        <v>43.56</v>
      </c>
      <c r="M302">
        <v>2.1779999999999999</v>
      </c>
      <c r="N302">
        <v>41.382000000000012</v>
      </c>
      <c r="O3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2" s="9" t="str">
        <f ca="1">IF(OR(ISNUMBER(Table1[[#This Row],[Order_Date]])=FALSE,Table1[[#This Row],[Order_Date]]&lt;DATE(2000,1,1),Table1[[#This Row],[Order_Date]]&gt;TODAY()),"YES","NO")</f>
        <v>NO</v>
      </c>
    </row>
    <row r="303" spans="1:16" x14ac:dyDescent="0.3">
      <c r="A303">
        <v>100298</v>
      </c>
      <c r="B303" s="8">
        <v>45304.375</v>
      </c>
      <c r="C303" t="s">
        <v>14</v>
      </c>
      <c r="D303" t="s">
        <v>38</v>
      </c>
      <c r="E303" t="s">
        <v>67</v>
      </c>
      <c r="F303" t="s">
        <v>71</v>
      </c>
      <c r="G303">
        <v>4</v>
      </c>
      <c r="H303">
        <v>12.71</v>
      </c>
      <c r="I303">
        <v>0</v>
      </c>
      <c r="J303" t="s">
        <v>73</v>
      </c>
      <c r="K303" t="s">
        <v>78</v>
      </c>
      <c r="L303">
        <v>50.84</v>
      </c>
      <c r="M303">
        <v>0</v>
      </c>
      <c r="N303">
        <v>50.84</v>
      </c>
      <c r="O3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03" s="9" t="str">
        <f ca="1">IF(OR(ISNUMBER(Table1[[#This Row],[Order_Date]])=FALSE,Table1[[#This Row],[Order_Date]]&lt;DATE(2000,1,1),Table1[[#This Row],[Order_Date]]&gt;TODAY()),"YES","NO")</f>
        <v>NO</v>
      </c>
    </row>
    <row r="304" spans="1:16" x14ac:dyDescent="0.3">
      <c r="A304">
        <v>100299</v>
      </c>
      <c r="B304" s="8">
        <v>45304.416666666657</v>
      </c>
      <c r="C304" t="s">
        <v>14</v>
      </c>
      <c r="D304" t="s">
        <v>57</v>
      </c>
      <c r="E304" t="s">
        <v>69</v>
      </c>
      <c r="F304" t="s">
        <v>72</v>
      </c>
      <c r="G304">
        <v>5</v>
      </c>
      <c r="H304">
        <v>117.16</v>
      </c>
      <c r="I304">
        <v>15</v>
      </c>
      <c r="J304" t="s">
        <v>73</v>
      </c>
      <c r="K304" t="s">
        <v>78</v>
      </c>
      <c r="L304">
        <v>585.79999999999995</v>
      </c>
      <c r="M304">
        <v>87.86999999999999</v>
      </c>
      <c r="N304">
        <v>497.92999999999989</v>
      </c>
      <c r="O3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04" s="9" t="str">
        <f ca="1">IF(OR(ISNUMBER(Table1[[#This Row],[Order_Date]])=FALSE,Table1[[#This Row],[Order_Date]]&lt;DATE(2000,1,1),Table1[[#This Row],[Order_Date]]&gt;TODAY()),"YES","NO")</f>
        <v>NO</v>
      </c>
    </row>
    <row r="305" spans="1:16" x14ac:dyDescent="0.3">
      <c r="A305">
        <v>100300</v>
      </c>
      <c r="B305" s="8">
        <v>45304.458333333343</v>
      </c>
      <c r="C305" t="s">
        <v>15</v>
      </c>
      <c r="D305" t="s">
        <v>29</v>
      </c>
      <c r="E305" t="s">
        <v>70</v>
      </c>
      <c r="F305" t="s">
        <v>71</v>
      </c>
      <c r="G305">
        <v>4</v>
      </c>
      <c r="H305">
        <v>98.95</v>
      </c>
      <c r="I305">
        <v>10</v>
      </c>
      <c r="J305" t="s">
        <v>73</v>
      </c>
      <c r="K305" t="s">
        <v>77</v>
      </c>
      <c r="L305">
        <v>395.8</v>
      </c>
      <c r="M305">
        <v>39.580000000000013</v>
      </c>
      <c r="N305">
        <v>356.22</v>
      </c>
      <c r="O3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5" s="9" t="str">
        <f ca="1">IF(OR(ISNUMBER(Table1[[#This Row],[Order_Date]])=FALSE,Table1[[#This Row],[Order_Date]]&lt;DATE(2000,1,1),Table1[[#This Row],[Order_Date]]&gt;TODAY()),"YES","NO")</f>
        <v>NO</v>
      </c>
    </row>
    <row r="306" spans="1:16" x14ac:dyDescent="0.3">
      <c r="A306">
        <v>100301</v>
      </c>
      <c r="B306" s="8">
        <v>45304.5</v>
      </c>
      <c r="C306" t="s">
        <v>14</v>
      </c>
      <c r="D306" t="s">
        <v>36</v>
      </c>
      <c r="E306" t="s">
        <v>68</v>
      </c>
      <c r="F306" t="s">
        <v>71</v>
      </c>
      <c r="G306">
        <v>3</v>
      </c>
      <c r="H306">
        <v>103.04</v>
      </c>
      <c r="I306">
        <v>5</v>
      </c>
      <c r="J306" t="s">
        <v>75</v>
      </c>
      <c r="K306" t="s">
        <v>77</v>
      </c>
      <c r="L306">
        <v>309.12</v>
      </c>
      <c r="M306">
        <v>15.456</v>
      </c>
      <c r="N306">
        <v>293.66399999999999</v>
      </c>
      <c r="O3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6" s="9" t="str">
        <f ca="1">IF(OR(ISNUMBER(Table1[[#This Row],[Order_Date]])=FALSE,Table1[[#This Row],[Order_Date]]&lt;DATE(2000,1,1),Table1[[#This Row],[Order_Date]]&gt;TODAY()),"YES","NO")</f>
        <v>NO</v>
      </c>
    </row>
    <row r="307" spans="1:16" x14ac:dyDescent="0.3">
      <c r="A307">
        <v>100302</v>
      </c>
      <c r="B307" s="8">
        <v>45304.541666666657</v>
      </c>
      <c r="C307" t="s">
        <v>14</v>
      </c>
      <c r="D307" t="s">
        <v>41</v>
      </c>
      <c r="E307" t="s">
        <v>66</v>
      </c>
      <c r="F307" t="s">
        <v>71</v>
      </c>
      <c r="G307">
        <v>3</v>
      </c>
      <c r="H307">
        <v>112.87</v>
      </c>
      <c r="I307">
        <v>10</v>
      </c>
      <c r="J307" t="s">
        <v>76</v>
      </c>
      <c r="K307" t="s">
        <v>77</v>
      </c>
      <c r="L307">
        <v>338.61</v>
      </c>
      <c r="M307">
        <v>33.860999999999997</v>
      </c>
      <c r="N307">
        <v>304.74900000000002</v>
      </c>
      <c r="O3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7" s="9" t="str">
        <f ca="1">IF(OR(ISNUMBER(Table1[[#This Row],[Order_Date]])=FALSE,Table1[[#This Row],[Order_Date]]&lt;DATE(2000,1,1),Table1[[#This Row],[Order_Date]]&gt;TODAY()),"YES","NO")</f>
        <v>NO</v>
      </c>
    </row>
    <row r="308" spans="1:16" x14ac:dyDescent="0.3">
      <c r="A308">
        <v>100303</v>
      </c>
      <c r="B308" s="8">
        <v>45304.583333333343</v>
      </c>
      <c r="C308" t="s">
        <v>14</v>
      </c>
      <c r="D308" t="s">
        <v>52</v>
      </c>
      <c r="E308" t="s">
        <v>66</v>
      </c>
      <c r="F308" t="s">
        <v>72</v>
      </c>
      <c r="G308">
        <v>5</v>
      </c>
      <c r="H308">
        <v>14.79</v>
      </c>
      <c r="I308">
        <v>10</v>
      </c>
      <c r="J308" t="s">
        <v>76</v>
      </c>
      <c r="K308" t="s">
        <v>77</v>
      </c>
      <c r="L308">
        <v>73.949999999999989</v>
      </c>
      <c r="M308">
        <v>7.3949999999999996</v>
      </c>
      <c r="N308">
        <v>66.554999999999993</v>
      </c>
      <c r="O3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8" s="9" t="str">
        <f ca="1">IF(OR(ISNUMBER(Table1[[#This Row],[Order_Date]])=FALSE,Table1[[#This Row],[Order_Date]]&lt;DATE(2000,1,1),Table1[[#This Row],[Order_Date]]&gt;TODAY()),"YES","NO")</f>
        <v>NO</v>
      </c>
    </row>
    <row r="309" spans="1:16" x14ac:dyDescent="0.3">
      <c r="A309">
        <v>100304</v>
      </c>
      <c r="B309" s="8">
        <v>45304.625</v>
      </c>
      <c r="C309" t="s">
        <v>15</v>
      </c>
      <c r="D309" t="s">
        <v>47</v>
      </c>
      <c r="E309" t="s">
        <v>67</v>
      </c>
      <c r="F309" t="s">
        <v>71</v>
      </c>
      <c r="G309">
        <v>1</v>
      </c>
      <c r="H309">
        <v>49.34</v>
      </c>
      <c r="I309">
        <v>5</v>
      </c>
      <c r="J309" t="s">
        <v>75</v>
      </c>
      <c r="K309" t="s">
        <v>77</v>
      </c>
      <c r="L309">
        <v>49.34</v>
      </c>
      <c r="M309">
        <v>2.467000000000001</v>
      </c>
      <c r="N309">
        <v>46.872999999999998</v>
      </c>
      <c r="O3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09" s="9" t="str">
        <f ca="1">IF(OR(ISNUMBER(Table1[[#This Row],[Order_Date]])=FALSE,Table1[[#This Row],[Order_Date]]&lt;DATE(2000,1,1),Table1[[#This Row],[Order_Date]]&gt;TODAY()),"YES","NO")</f>
        <v>NO</v>
      </c>
    </row>
    <row r="310" spans="1:16" x14ac:dyDescent="0.3">
      <c r="A310">
        <v>100305</v>
      </c>
      <c r="B310" s="8">
        <v>45304.666666666657</v>
      </c>
      <c r="C310" t="s">
        <v>15</v>
      </c>
      <c r="D310" t="s">
        <v>50</v>
      </c>
      <c r="E310" t="s">
        <v>69</v>
      </c>
      <c r="F310" t="s">
        <v>71</v>
      </c>
      <c r="G310">
        <v>1</v>
      </c>
      <c r="H310">
        <v>13.17</v>
      </c>
      <c r="I310">
        <v>10</v>
      </c>
      <c r="J310" t="s">
        <v>74</v>
      </c>
      <c r="K310" t="s">
        <v>77</v>
      </c>
      <c r="L310">
        <v>13.17</v>
      </c>
      <c r="M310">
        <v>1.3169999999999999</v>
      </c>
      <c r="N310">
        <v>11.853</v>
      </c>
      <c r="O3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0" s="9" t="str">
        <f ca="1">IF(OR(ISNUMBER(Table1[[#This Row],[Order_Date]])=FALSE,Table1[[#This Row],[Order_Date]]&lt;DATE(2000,1,1),Table1[[#This Row],[Order_Date]]&gt;TODAY()),"YES","NO")</f>
        <v>NO</v>
      </c>
    </row>
    <row r="311" spans="1:16" x14ac:dyDescent="0.3">
      <c r="A311">
        <v>100306</v>
      </c>
      <c r="B311" s="8">
        <v>45304.708333333343</v>
      </c>
      <c r="C311" t="s">
        <v>14</v>
      </c>
      <c r="D311" t="s">
        <v>39</v>
      </c>
      <c r="E311" t="s">
        <v>69</v>
      </c>
      <c r="F311" t="s">
        <v>71</v>
      </c>
      <c r="G311">
        <v>2</v>
      </c>
      <c r="H311">
        <v>29.24</v>
      </c>
      <c r="I311">
        <v>10</v>
      </c>
      <c r="J311" t="s">
        <v>75</v>
      </c>
      <c r="K311" t="s">
        <v>77</v>
      </c>
      <c r="L311">
        <v>58.48</v>
      </c>
      <c r="M311">
        <v>5.8479999999999999</v>
      </c>
      <c r="N311">
        <v>52.631999999999998</v>
      </c>
      <c r="O3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1" s="9" t="str">
        <f ca="1">IF(OR(ISNUMBER(Table1[[#This Row],[Order_Date]])=FALSE,Table1[[#This Row],[Order_Date]]&lt;DATE(2000,1,1),Table1[[#This Row],[Order_Date]]&gt;TODAY()),"YES","NO")</f>
        <v>NO</v>
      </c>
    </row>
    <row r="312" spans="1:16" x14ac:dyDescent="0.3">
      <c r="A312">
        <v>100307</v>
      </c>
      <c r="B312" s="8">
        <v>45304.75</v>
      </c>
      <c r="C312" t="s">
        <v>15</v>
      </c>
      <c r="D312" t="s">
        <v>64</v>
      </c>
      <c r="E312" t="s">
        <v>66</v>
      </c>
      <c r="F312" t="s">
        <v>71</v>
      </c>
      <c r="G312">
        <v>5</v>
      </c>
      <c r="H312">
        <v>31.38</v>
      </c>
      <c r="I312">
        <v>0</v>
      </c>
      <c r="J312" t="s">
        <v>74</v>
      </c>
      <c r="K312" t="s">
        <v>77</v>
      </c>
      <c r="L312">
        <v>156.9</v>
      </c>
      <c r="M312">
        <v>0</v>
      </c>
      <c r="N312">
        <v>156.9</v>
      </c>
      <c r="O3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2" s="9" t="str">
        <f ca="1">IF(OR(ISNUMBER(Table1[[#This Row],[Order_Date]])=FALSE,Table1[[#This Row],[Order_Date]]&lt;DATE(2000,1,1),Table1[[#This Row],[Order_Date]]&gt;TODAY()),"YES","NO")</f>
        <v>NO</v>
      </c>
    </row>
    <row r="313" spans="1:16" x14ac:dyDescent="0.3">
      <c r="A313">
        <v>100308</v>
      </c>
      <c r="B313" s="8">
        <v>45304.791666666657</v>
      </c>
      <c r="C313" t="s">
        <v>15</v>
      </c>
      <c r="D313" t="s">
        <v>20</v>
      </c>
      <c r="E313" t="s">
        <v>68</v>
      </c>
      <c r="F313" t="s">
        <v>71</v>
      </c>
      <c r="G313">
        <v>4</v>
      </c>
      <c r="H313">
        <v>58.95</v>
      </c>
      <c r="I313">
        <v>10</v>
      </c>
      <c r="J313" t="s">
        <v>75</v>
      </c>
      <c r="K313" t="s">
        <v>77</v>
      </c>
      <c r="L313">
        <v>235.8</v>
      </c>
      <c r="M313">
        <v>23.58</v>
      </c>
      <c r="N313">
        <v>212.22</v>
      </c>
      <c r="O3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3" s="9" t="str">
        <f ca="1">IF(OR(ISNUMBER(Table1[[#This Row],[Order_Date]])=FALSE,Table1[[#This Row],[Order_Date]]&lt;DATE(2000,1,1),Table1[[#This Row],[Order_Date]]&gt;TODAY()),"YES","NO")</f>
        <v>NO</v>
      </c>
    </row>
    <row r="314" spans="1:16" x14ac:dyDescent="0.3">
      <c r="A314">
        <v>100309</v>
      </c>
      <c r="B314" s="8">
        <v>45304.833333333343</v>
      </c>
      <c r="C314" t="s">
        <v>15</v>
      </c>
      <c r="D314" t="s">
        <v>62</v>
      </c>
      <c r="E314" t="s">
        <v>70</v>
      </c>
      <c r="F314" t="s">
        <v>72</v>
      </c>
      <c r="G314">
        <v>5</v>
      </c>
      <c r="H314">
        <v>35.880000000000003</v>
      </c>
      <c r="I314">
        <v>10</v>
      </c>
      <c r="J314" t="s">
        <v>75</v>
      </c>
      <c r="K314" t="s">
        <v>77</v>
      </c>
      <c r="L314">
        <v>179.4</v>
      </c>
      <c r="M314">
        <v>17.940000000000001</v>
      </c>
      <c r="N314">
        <v>161.46</v>
      </c>
      <c r="O3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4" s="9" t="str">
        <f ca="1">IF(OR(ISNUMBER(Table1[[#This Row],[Order_Date]])=FALSE,Table1[[#This Row],[Order_Date]]&lt;DATE(2000,1,1),Table1[[#This Row],[Order_Date]]&gt;TODAY()),"YES","NO")</f>
        <v>NO</v>
      </c>
    </row>
    <row r="315" spans="1:16" x14ac:dyDescent="0.3">
      <c r="A315">
        <v>100310</v>
      </c>
      <c r="B315" s="8">
        <v>45304.875</v>
      </c>
      <c r="C315" t="s">
        <v>15</v>
      </c>
      <c r="D315" t="s">
        <v>48</v>
      </c>
      <c r="E315" t="s">
        <v>68</v>
      </c>
      <c r="F315" t="s">
        <v>72</v>
      </c>
      <c r="G315">
        <v>2</v>
      </c>
      <c r="H315">
        <v>16.61</v>
      </c>
      <c r="I315">
        <v>10</v>
      </c>
      <c r="J315" t="s">
        <v>75</v>
      </c>
      <c r="K315" t="s">
        <v>77</v>
      </c>
      <c r="L315">
        <v>33.22</v>
      </c>
      <c r="M315">
        <v>3.3220000000000001</v>
      </c>
      <c r="N315">
        <v>29.898</v>
      </c>
      <c r="O3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5" s="9" t="str">
        <f ca="1">IF(OR(ISNUMBER(Table1[[#This Row],[Order_Date]])=FALSE,Table1[[#This Row],[Order_Date]]&lt;DATE(2000,1,1),Table1[[#This Row],[Order_Date]]&gt;TODAY()),"YES","NO")</f>
        <v>NO</v>
      </c>
    </row>
    <row r="316" spans="1:16" x14ac:dyDescent="0.3">
      <c r="A316">
        <v>100311</v>
      </c>
      <c r="B316" s="8">
        <v>45304.916666666657</v>
      </c>
      <c r="C316" t="s">
        <v>15</v>
      </c>
      <c r="D316" t="s">
        <v>18</v>
      </c>
      <c r="E316" t="s">
        <v>70</v>
      </c>
      <c r="F316" t="s">
        <v>72</v>
      </c>
      <c r="G316">
        <v>5</v>
      </c>
      <c r="H316">
        <v>24.26</v>
      </c>
      <c r="I316">
        <v>10</v>
      </c>
      <c r="J316" t="s">
        <v>76</v>
      </c>
      <c r="K316" t="s">
        <v>77</v>
      </c>
      <c r="L316">
        <v>121.3</v>
      </c>
      <c r="M316">
        <v>12.13</v>
      </c>
      <c r="N316">
        <v>109.17</v>
      </c>
      <c r="O3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6" s="9" t="str">
        <f ca="1">IF(OR(ISNUMBER(Table1[[#This Row],[Order_Date]])=FALSE,Table1[[#This Row],[Order_Date]]&lt;DATE(2000,1,1),Table1[[#This Row],[Order_Date]]&gt;TODAY()),"YES","NO")</f>
        <v>NO</v>
      </c>
    </row>
    <row r="317" spans="1:16" x14ac:dyDescent="0.3">
      <c r="A317">
        <v>100312</v>
      </c>
      <c r="B317" s="8">
        <v>45304.958333333343</v>
      </c>
      <c r="C317" t="s">
        <v>14</v>
      </c>
      <c r="D317" t="s">
        <v>26</v>
      </c>
      <c r="E317" t="s">
        <v>66</v>
      </c>
      <c r="F317" t="s">
        <v>72</v>
      </c>
      <c r="G317">
        <v>5</v>
      </c>
      <c r="H317">
        <v>21.94</v>
      </c>
      <c r="I317">
        <v>5</v>
      </c>
      <c r="J317" t="s">
        <v>73</v>
      </c>
      <c r="K317" t="s">
        <v>77</v>
      </c>
      <c r="L317">
        <v>109.7</v>
      </c>
      <c r="M317">
        <v>5.4850000000000003</v>
      </c>
      <c r="N317">
        <v>104.215</v>
      </c>
      <c r="O3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7" s="9" t="str">
        <f ca="1">IF(OR(ISNUMBER(Table1[[#This Row],[Order_Date]])=FALSE,Table1[[#This Row],[Order_Date]]&lt;DATE(2000,1,1),Table1[[#This Row],[Order_Date]]&gt;TODAY()),"YES","NO")</f>
        <v>NO</v>
      </c>
    </row>
    <row r="318" spans="1:16" x14ac:dyDescent="0.3">
      <c r="A318">
        <v>100313</v>
      </c>
      <c r="B318" s="8">
        <v>45305</v>
      </c>
      <c r="C318" t="s">
        <v>15</v>
      </c>
      <c r="D318" t="s">
        <v>34</v>
      </c>
      <c r="E318" t="s">
        <v>70</v>
      </c>
      <c r="F318" t="s">
        <v>72</v>
      </c>
      <c r="G318">
        <v>2</v>
      </c>
      <c r="H318">
        <v>116.9</v>
      </c>
      <c r="I318">
        <v>15</v>
      </c>
      <c r="J318" t="s">
        <v>75</v>
      </c>
      <c r="K318" t="s">
        <v>77</v>
      </c>
      <c r="L318">
        <v>233.8</v>
      </c>
      <c r="M318">
        <v>35.07</v>
      </c>
      <c r="N318">
        <v>198.73</v>
      </c>
      <c r="O3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8" s="9" t="str">
        <f ca="1">IF(OR(ISNUMBER(Table1[[#This Row],[Order_Date]])=FALSE,Table1[[#This Row],[Order_Date]]&lt;DATE(2000,1,1),Table1[[#This Row],[Order_Date]]&gt;TODAY()),"YES","NO")</f>
        <v>NO</v>
      </c>
    </row>
    <row r="319" spans="1:16" x14ac:dyDescent="0.3">
      <c r="A319">
        <v>100314</v>
      </c>
      <c r="B319" s="8">
        <v>45305.041666666657</v>
      </c>
      <c r="C319" t="s">
        <v>14</v>
      </c>
      <c r="D319" t="s">
        <v>32</v>
      </c>
      <c r="E319" t="s">
        <v>69</v>
      </c>
      <c r="F319" t="s">
        <v>72</v>
      </c>
      <c r="G319">
        <v>1</v>
      </c>
      <c r="H319">
        <v>92.32</v>
      </c>
      <c r="I319">
        <v>0</v>
      </c>
      <c r="J319" t="s">
        <v>76</v>
      </c>
      <c r="K319" t="s">
        <v>77</v>
      </c>
      <c r="L319">
        <v>92.32</v>
      </c>
      <c r="M319">
        <v>0</v>
      </c>
      <c r="N319">
        <v>92.32</v>
      </c>
      <c r="O3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19" s="9" t="str">
        <f ca="1">IF(OR(ISNUMBER(Table1[[#This Row],[Order_Date]])=FALSE,Table1[[#This Row],[Order_Date]]&lt;DATE(2000,1,1),Table1[[#This Row],[Order_Date]]&gt;TODAY()),"YES","NO")</f>
        <v>NO</v>
      </c>
    </row>
    <row r="320" spans="1:16" x14ac:dyDescent="0.3">
      <c r="A320">
        <v>100315</v>
      </c>
      <c r="B320" s="8">
        <v>45305.083333333343</v>
      </c>
      <c r="C320" t="s">
        <v>14</v>
      </c>
      <c r="D320" t="s">
        <v>28</v>
      </c>
      <c r="E320" t="s">
        <v>67</v>
      </c>
      <c r="F320" t="s">
        <v>72</v>
      </c>
      <c r="G320">
        <v>4</v>
      </c>
      <c r="H320">
        <v>116.29</v>
      </c>
      <c r="I320">
        <v>10</v>
      </c>
      <c r="J320" t="s">
        <v>73</v>
      </c>
      <c r="K320" t="s">
        <v>77</v>
      </c>
      <c r="L320">
        <v>465.16</v>
      </c>
      <c r="M320">
        <v>46.516000000000012</v>
      </c>
      <c r="N320">
        <v>418.64400000000001</v>
      </c>
      <c r="O3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0" s="9" t="str">
        <f ca="1">IF(OR(ISNUMBER(Table1[[#This Row],[Order_Date]])=FALSE,Table1[[#This Row],[Order_Date]]&lt;DATE(2000,1,1),Table1[[#This Row],[Order_Date]]&gt;TODAY()),"YES","NO")</f>
        <v>NO</v>
      </c>
    </row>
    <row r="321" spans="1:16" x14ac:dyDescent="0.3">
      <c r="A321">
        <v>100316</v>
      </c>
      <c r="B321" s="8">
        <v>45305.125</v>
      </c>
      <c r="C321" t="s">
        <v>15</v>
      </c>
      <c r="D321" t="s">
        <v>49</v>
      </c>
      <c r="E321" t="s">
        <v>67</v>
      </c>
      <c r="F321" t="s">
        <v>71</v>
      </c>
      <c r="G321">
        <v>2</v>
      </c>
      <c r="H321">
        <v>55.57</v>
      </c>
      <c r="I321">
        <v>10</v>
      </c>
      <c r="J321" t="s">
        <v>73</v>
      </c>
      <c r="K321" t="s">
        <v>77</v>
      </c>
      <c r="L321">
        <v>111.14</v>
      </c>
      <c r="M321">
        <v>11.114000000000001</v>
      </c>
      <c r="N321">
        <v>100.026</v>
      </c>
      <c r="O3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1" s="9" t="str">
        <f ca="1">IF(OR(ISNUMBER(Table1[[#This Row],[Order_Date]])=FALSE,Table1[[#This Row],[Order_Date]]&lt;DATE(2000,1,1),Table1[[#This Row],[Order_Date]]&gt;TODAY()),"YES","NO")</f>
        <v>NO</v>
      </c>
    </row>
    <row r="322" spans="1:16" x14ac:dyDescent="0.3">
      <c r="A322">
        <v>100317</v>
      </c>
      <c r="B322" s="8">
        <v>45305.166666666657</v>
      </c>
      <c r="C322" t="s">
        <v>14</v>
      </c>
      <c r="D322" t="s">
        <v>32</v>
      </c>
      <c r="E322" t="s">
        <v>66</v>
      </c>
      <c r="F322" t="s">
        <v>72</v>
      </c>
      <c r="G322">
        <v>3</v>
      </c>
      <c r="H322">
        <v>37.01</v>
      </c>
      <c r="I322">
        <v>5</v>
      </c>
      <c r="J322" t="s">
        <v>75</v>
      </c>
      <c r="K322" t="s">
        <v>77</v>
      </c>
      <c r="L322">
        <v>111.03</v>
      </c>
      <c r="M322">
        <v>5.5515000000000008</v>
      </c>
      <c r="N322">
        <v>105.4785</v>
      </c>
      <c r="O3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2" s="9" t="str">
        <f ca="1">IF(OR(ISNUMBER(Table1[[#This Row],[Order_Date]])=FALSE,Table1[[#This Row],[Order_Date]]&lt;DATE(2000,1,1),Table1[[#This Row],[Order_Date]]&gt;TODAY()),"YES","NO")</f>
        <v>NO</v>
      </c>
    </row>
    <row r="323" spans="1:16" x14ac:dyDescent="0.3">
      <c r="A323">
        <v>100318</v>
      </c>
      <c r="B323" s="8">
        <v>45305.208333333343</v>
      </c>
      <c r="C323" t="s">
        <v>14</v>
      </c>
      <c r="D323" t="s">
        <v>58</v>
      </c>
      <c r="E323" t="s">
        <v>69</v>
      </c>
      <c r="F323" t="s">
        <v>71</v>
      </c>
      <c r="G323">
        <v>1</v>
      </c>
      <c r="H323">
        <v>96.8</v>
      </c>
      <c r="I323">
        <v>15</v>
      </c>
      <c r="J323" t="s">
        <v>74</v>
      </c>
      <c r="K323" t="s">
        <v>77</v>
      </c>
      <c r="L323">
        <v>96.8</v>
      </c>
      <c r="M323">
        <v>14.52</v>
      </c>
      <c r="N323">
        <v>82.28</v>
      </c>
      <c r="O3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3" s="9" t="str">
        <f ca="1">IF(OR(ISNUMBER(Table1[[#This Row],[Order_Date]])=FALSE,Table1[[#This Row],[Order_Date]]&lt;DATE(2000,1,1),Table1[[#This Row],[Order_Date]]&gt;TODAY()),"YES","NO")</f>
        <v>NO</v>
      </c>
    </row>
    <row r="324" spans="1:16" x14ac:dyDescent="0.3">
      <c r="A324">
        <v>100319</v>
      </c>
      <c r="B324" s="8">
        <v>45305.25</v>
      </c>
      <c r="C324" t="s">
        <v>14</v>
      </c>
      <c r="D324" t="s">
        <v>31</v>
      </c>
      <c r="E324" t="s">
        <v>68</v>
      </c>
      <c r="F324" t="s">
        <v>71</v>
      </c>
      <c r="G324">
        <v>3</v>
      </c>
      <c r="H324">
        <v>42.52</v>
      </c>
      <c r="I324">
        <v>10</v>
      </c>
      <c r="J324" t="s">
        <v>74</v>
      </c>
      <c r="K324" t="s">
        <v>77</v>
      </c>
      <c r="L324">
        <v>127.56</v>
      </c>
      <c r="M324">
        <v>12.756</v>
      </c>
      <c r="N324">
        <v>114.804</v>
      </c>
      <c r="O3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4" s="9" t="str">
        <f ca="1">IF(OR(ISNUMBER(Table1[[#This Row],[Order_Date]])=FALSE,Table1[[#This Row],[Order_Date]]&lt;DATE(2000,1,1),Table1[[#This Row],[Order_Date]]&gt;TODAY()),"YES","NO")</f>
        <v>NO</v>
      </c>
    </row>
    <row r="325" spans="1:16" x14ac:dyDescent="0.3">
      <c r="A325">
        <v>100320</v>
      </c>
      <c r="B325" s="8">
        <v>45305.291666666657</v>
      </c>
      <c r="C325" t="s">
        <v>15</v>
      </c>
      <c r="D325" t="s">
        <v>20</v>
      </c>
      <c r="E325" t="s">
        <v>69</v>
      </c>
      <c r="F325" t="s">
        <v>72</v>
      </c>
      <c r="G325">
        <v>1</v>
      </c>
      <c r="H325">
        <v>39.43</v>
      </c>
      <c r="I325">
        <v>5</v>
      </c>
      <c r="J325" t="s">
        <v>74</v>
      </c>
      <c r="K325" t="s">
        <v>77</v>
      </c>
      <c r="L325">
        <v>39.43</v>
      </c>
      <c r="M325">
        <v>1.9715</v>
      </c>
      <c r="N325">
        <v>37.458500000000001</v>
      </c>
      <c r="O3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5" s="9" t="str">
        <f ca="1">IF(OR(ISNUMBER(Table1[[#This Row],[Order_Date]])=FALSE,Table1[[#This Row],[Order_Date]]&lt;DATE(2000,1,1),Table1[[#This Row],[Order_Date]]&gt;TODAY()),"YES","NO")</f>
        <v>NO</v>
      </c>
    </row>
    <row r="326" spans="1:16" x14ac:dyDescent="0.3">
      <c r="A326">
        <v>100321</v>
      </c>
      <c r="B326" s="8">
        <v>45305.333333333343</v>
      </c>
      <c r="C326" t="s">
        <v>15</v>
      </c>
      <c r="D326" t="s">
        <v>54</v>
      </c>
      <c r="E326" t="s">
        <v>67</v>
      </c>
      <c r="F326" t="s">
        <v>71</v>
      </c>
      <c r="G326">
        <v>4</v>
      </c>
      <c r="H326">
        <v>31.74</v>
      </c>
      <c r="I326">
        <v>0</v>
      </c>
      <c r="J326" t="s">
        <v>75</v>
      </c>
      <c r="K326" t="s">
        <v>77</v>
      </c>
      <c r="L326">
        <v>126.96</v>
      </c>
      <c r="M326">
        <v>0</v>
      </c>
      <c r="N326">
        <v>126.96</v>
      </c>
      <c r="O3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6" s="9" t="str">
        <f ca="1">IF(OR(ISNUMBER(Table1[[#This Row],[Order_Date]])=FALSE,Table1[[#This Row],[Order_Date]]&lt;DATE(2000,1,1),Table1[[#This Row],[Order_Date]]&gt;TODAY()),"YES","NO")</f>
        <v>NO</v>
      </c>
    </row>
    <row r="327" spans="1:16" x14ac:dyDescent="0.3">
      <c r="A327">
        <v>100322</v>
      </c>
      <c r="B327" s="8">
        <v>45305.375</v>
      </c>
      <c r="C327" t="s">
        <v>14</v>
      </c>
      <c r="D327" t="s">
        <v>31</v>
      </c>
      <c r="E327" t="s">
        <v>67</v>
      </c>
      <c r="F327" t="s">
        <v>71</v>
      </c>
      <c r="G327">
        <v>4</v>
      </c>
      <c r="H327">
        <v>19.91</v>
      </c>
      <c r="I327">
        <v>0</v>
      </c>
      <c r="J327" t="s">
        <v>74</v>
      </c>
      <c r="K327" t="s">
        <v>77</v>
      </c>
      <c r="L327">
        <v>79.64</v>
      </c>
      <c r="M327">
        <v>0</v>
      </c>
      <c r="N327">
        <v>79.64</v>
      </c>
      <c r="O3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7" s="9" t="str">
        <f ca="1">IF(OR(ISNUMBER(Table1[[#This Row],[Order_Date]])=FALSE,Table1[[#This Row],[Order_Date]]&lt;DATE(2000,1,1),Table1[[#This Row],[Order_Date]]&gt;TODAY()),"YES","NO")</f>
        <v>NO</v>
      </c>
    </row>
    <row r="328" spans="1:16" x14ac:dyDescent="0.3">
      <c r="A328">
        <v>100323</v>
      </c>
      <c r="B328" s="8">
        <v>45305.416666666657</v>
      </c>
      <c r="C328" t="s">
        <v>15</v>
      </c>
      <c r="D328" t="s">
        <v>19</v>
      </c>
      <c r="E328" t="s">
        <v>69</v>
      </c>
      <c r="F328" t="s">
        <v>71</v>
      </c>
      <c r="G328">
        <v>5</v>
      </c>
      <c r="H328">
        <v>34.49</v>
      </c>
      <c r="I328">
        <v>10</v>
      </c>
      <c r="J328" t="s">
        <v>76</v>
      </c>
      <c r="K328" t="s">
        <v>77</v>
      </c>
      <c r="L328">
        <v>172.45</v>
      </c>
      <c r="M328">
        <v>17.245000000000001</v>
      </c>
      <c r="N328">
        <v>155.20500000000001</v>
      </c>
      <c r="O3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28" s="9" t="str">
        <f ca="1">IF(OR(ISNUMBER(Table1[[#This Row],[Order_Date]])=FALSE,Table1[[#This Row],[Order_Date]]&lt;DATE(2000,1,1),Table1[[#This Row],[Order_Date]]&gt;TODAY()),"YES","NO")</f>
        <v>NO</v>
      </c>
    </row>
    <row r="329" spans="1:16" x14ac:dyDescent="0.3">
      <c r="A329">
        <v>100324</v>
      </c>
      <c r="B329" s="8">
        <v>45305.458333333343</v>
      </c>
      <c r="C329" t="s">
        <v>15</v>
      </c>
      <c r="D329" t="s">
        <v>36</v>
      </c>
      <c r="E329" t="s">
        <v>69</v>
      </c>
      <c r="F329" t="s">
        <v>71</v>
      </c>
      <c r="G329">
        <v>3</v>
      </c>
      <c r="H329">
        <v>45.86</v>
      </c>
      <c r="I329">
        <v>10</v>
      </c>
      <c r="J329" t="s">
        <v>76</v>
      </c>
      <c r="K329" t="s">
        <v>78</v>
      </c>
      <c r="L329">
        <v>137.58000000000001</v>
      </c>
      <c r="M329">
        <v>13.757999999999999</v>
      </c>
      <c r="N329">
        <v>123.822</v>
      </c>
      <c r="O3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29" s="9" t="str">
        <f ca="1">IF(OR(ISNUMBER(Table1[[#This Row],[Order_Date]])=FALSE,Table1[[#This Row],[Order_Date]]&lt;DATE(2000,1,1),Table1[[#This Row],[Order_Date]]&gt;TODAY()),"YES","NO")</f>
        <v>NO</v>
      </c>
    </row>
    <row r="330" spans="1:16" x14ac:dyDescent="0.3">
      <c r="A330">
        <v>100325</v>
      </c>
      <c r="B330" s="8">
        <v>45305.5</v>
      </c>
      <c r="C330" t="s">
        <v>15</v>
      </c>
      <c r="D330" t="s">
        <v>50</v>
      </c>
      <c r="E330" t="s">
        <v>67</v>
      </c>
      <c r="F330" t="s">
        <v>72</v>
      </c>
      <c r="G330">
        <v>1</v>
      </c>
      <c r="H330">
        <v>82.51</v>
      </c>
      <c r="I330">
        <v>15</v>
      </c>
      <c r="J330" t="s">
        <v>76</v>
      </c>
      <c r="K330" t="s">
        <v>77</v>
      </c>
      <c r="L330">
        <v>82.51</v>
      </c>
      <c r="M330">
        <v>12.3765</v>
      </c>
      <c r="N330">
        <v>70.133499999999998</v>
      </c>
      <c r="O3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0" s="9" t="str">
        <f ca="1">IF(OR(ISNUMBER(Table1[[#This Row],[Order_Date]])=FALSE,Table1[[#This Row],[Order_Date]]&lt;DATE(2000,1,1),Table1[[#This Row],[Order_Date]]&gt;TODAY()),"YES","NO")</f>
        <v>NO</v>
      </c>
    </row>
    <row r="331" spans="1:16" x14ac:dyDescent="0.3">
      <c r="A331">
        <v>100326</v>
      </c>
      <c r="B331" s="8">
        <v>45305.541666666657</v>
      </c>
      <c r="C331" t="s">
        <v>15</v>
      </c>
      <c r="D331" t="s">
        <v>17</v>
      </c>
      <c r="E331" t="s">
        <v>68</v>
      </c>
      <c r="F331" t="s">
        <v>72</v>
      </c>
      <c r="G331">
        <v>4</v>
      </c>
      <c r="H331">
        <v>12.19</v>
      </c>
      <c r="I331">
        <v>15</v>
      </c>
      <c r="J331" t="s">
        <v>76</v>
      </c>
      <c r="K331" t="s">
        <v>77</v>
      </c>
      <c r="L331">
        <v>48.76</v>
      </c>
      <c r="M331">
        <v>7.3139999999999992</v>
      </c>
      <c r="N331">
        <v>41.445999999999998</v>
      </c>
      <c r="O3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1" s="9" t="str">
        <f ca="1">IF(OR(ISNUMBER(Table1[[#This Row],[Order_Date]])=FALSE,Table1[[#This Row],[Order_Date]]&lt;DATE(2000,1,1),Table1[[#This Row],[Order_Date]]&gt;TODAY()),"YES","NO")</f>
        <v>NO</v>
      </c>
    </row>
    <row r="332" spans="1:16" x14ac:dyDescent="0.3">
      <c r="A332">
        <v>100327</v>
      </c>
      <c r="B332" s="8">
        <v>45305.583333333343</v>
      </c>
      <c r="C332" t="s">
        <v>14</v>
      </c>
      <c r="D332" t="s">
        <v>16</v>
      </c>
      <c r="E332" t="s">
        <v>66</v>
      </c>
      <c r="F332" t="s">
        <v>72</v>
      </c>
      <c r="G332">
        <v>2</v>
      </c>
      <c r="H332">
        <v>29.21</v>
      </c>
      <c r="I332">
        <v>10</v>
      </c>
      <c r="J332" t="s">
        <v>73</v>
      </c>
      <c r="K332" t="s">
        <v>77</v>
      </c>
      <c r="L332">
        <v>58.42</v>
      </c>
      <c r="M332">
        <v>5.8420000000000014</v>
      </c>
      <c r="N332">
        <v>52.578000000000003</v>
      </c>
      <c r="O3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2" s="9" t="str">
        <f ca="1">IF(OR(ISNUMBER(Table1[[#This Row],[Order_Date]])=FALSE,Table1[[#This Row],[Order_Date]]&lt;DATE(2000,1,1),Table1[[#This Row],[Order_Date]]&gt;TODAY()),"YES","NO")</f>
        <v>NO</v>
      </c>
    </row>
    <row r="333" spans="1:16" x14ac:dyDescent="0.3">
      <c r="A333">
        <v>100328</v>
      </c>
      <c r="B333" s="8">
        <v>45305.625</v>
      </c>
      <c r="C333" t="s">
        <v>14</v>
      </c>
      <c r="D333" t="s">
        <v>17</v>
      </c>
      <c r="E333" t="s">
        <v>66</v>
      </c>
      <c r="F333" t="s">
        <v>72</v>
      </c>
      <c r="G333">
        <v>4</v>
      </c>
      <c r="H333">
        <v>98.04</v>
      </c>
      <c r="I333">
        <v>5</v>
      </c>
      <c r="J333" t="s">
        <v>76</v>
      </c>
      <c r="K333" t="s">
        <v>77</v>
      </c>
      <c r="L333">
        <v>392.16</v>
      </c>
      <c r="M333">
        <v>19.608000000000001</v>
      </c>
      <c r="N333">
        <v>372.55200000000002</v>
      </c>
      <c r="O3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3" s="9" t="str">
        <f ca="1">IF(OR(ISNUMBER(Table1[[#This Row],[Order_Date]])=FALSE,Table1[[#This Row],[Order_Date]]&lt;DATE(2000,1,1),Table1[[#This Row],[Order_Date]]&gt;TODAY()),"YES","NO")</f>
        <v>NO</v>
      </c>
    </row>
    <row r="334" spans="1:16" x14ac:dyDescent="0.3">
      <c r="A334">
        <v>100329</v>
      </c>
      <c r="B334" s="8">
        <v>45305.666666666657</v>
      </c>
      <c r="C334" t="s">
        <v>15</v>
      </c>
      <c r="D334" t="s">
        <v>39</v>
      </c>
      <c r="E334" t="s">
        <v>69</v>
      </c>
      <c r="F334" t="s">
        <v>72</v>
      </c>
      <c r="G334">
        <v>2</v>
      </c>
      <c r="H334">
        <v>21.9</v>
      </c>
      <c r="I334">
        <v>15</v>
      </c>
      <c r="J334" t="s">
        <v>74</v>
      </c>
      <c r="K334" t="s">
        <v>78</v>
      </c>
      <c r="L334">
        <v>43.8</v>
      </c>
      <c r="M334">
        <v>6.5699999999999994</v>
      </c>
      <c r="N334">
        <v>37.229999999999997</v>
      </c>
      <c r="O3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34" s="9" t="str">
        <f ca="1">IF(OR(ISNUMBER(Table1[[#This Row],[Order_Date]])=FALSE,Table1[[#This Row],[Order_Date]]&lt;DATE(2000,1,1),Table1[[#This Row],[Order_Date]]&gt;TODAY()),"YES","NO")</f>
        <v>NO</v>
      </c>
    </row>
    <row r="335" spans="1:16" x14ac:dyDescent="0.3">
      <c r="A335">
        <v>100330</v>
      </c>
      <c r="B335" s="8">
        <v>45305.708333333343</v>
      </c>
      <c r="C335" t="s">
        <v>15</v>
      </c>
      <c r="D335" t="s">
        <v>59</v>
      </c>
      <c r="E335" t="s">
        <v>66</v>
      </c>
      <c r="F335" t="s">
        <v>72</v>
      </c>
      <c r="G335">
        <v>1</v>
      </c>
      <c r="H335">
        <v>44.4</v>
      </c>
      <c r="I335">
        <v>10</v>
      </c>
      <c r="J335" t="s">
        <v>75</v>
      </c>
      <c r="K335" t="s">
        <v>77</v>
      </c>
      <c r="L335">
        <v>44.4</v>
      </c>
      <c r="M335">
        <v>4.4400000000000004</v>
      </c>
      <c r="N335">
        <v>39.96</v>
      </c>
      <c r="O3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5" s="9" t="str">
        <f ca="1">IF(OR(ISNUMBER(Table1[[#This Row],[Order_Date]])=FALSE,Table1[[#This Row],[Order_Date]]&lt;DATE(2000,1,1),Table1[[#This Row],[Order_Date]]&gt;TODAY()),"YES","NO")</f>
        <v>NO</v>
      </c>
    </row>
    <row r="336" spans="1:16" x14ac:dyDescent="0.3">
      <c r="A336">
        <v>100331</v>
      </c>
      <c r="B336" s="8">
        <v>45305.75</v>
      </c>
      <c r="C336" t="s">
        <v>14</v>
      </c>
      <c r="D336" t="s">
        <v>60</v>
      </c>
      <c r="E336" t="s">
        <v>67</v>
      </c>
      <c r="F336" t="s">
        <v>72</v>
      </c>
      <c r="G336">
        <v>4</v>
      </c>
      <c r="H336">
        <v>104.44</v>
      </c>
      <c r="I336">
        <v>15</v>
      </c>
      <c r="J336" t="s">
        <v>74</v>
      </c>
      <c r="K336" t="s">
        <v>77</v>
      </c>
      <c r="L336">
        <v>417.76</v>
      </c>
      <c r="M336">
        <v>62.663999999999987</v>
      </c>
      <c r="N336">
        <v>355.096</v>
      </c>
      <c r="O3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6" s="9" t="str">
        <f ca="1">IF(OR(ISNUMBER(Table1[[#This Row],[Order_Date]])=FALSE,Table1[[#This Row],[Order_Date]]&lt;DATE(2000,1,1),Table1[[#This Row],[Order_Date]]&gt;TODAY()),"YES","NO")</f>
        <v>NO</v>
      </c>
    </row>
    <row r="337" spans="1:16" x14ac:dyDescent="0.3">
      <c r="A337">
        <v>100332</v>
      </c>
      <c r="B337" s="8">
        <v>45305.791666666657</v>
      </c>
      <c r="C337" t="s">
        <v>14</v>
      </c>
      <c r="D337" t="s">
        <v>47</v>
      </c>
      <c r="E337" t="s">
        <v>67</v>
      </c>
      <c r="F337" t="s">
        <v>72</v>
      </c>
      <c r="G337">
        <v>4</v>
      </c>
      <c r="H337">
        <v>22.82</v>
      </c>
      <c r="I337">
        <v>10</v>
      </c>
      <c r="J337" t="s">
        <v>76</v>
      </c>
      <c r="K337" t="s">
        <v>77</v>
      </c>
      <c r="L337">
        <v>91.28</v>
      </c>
      <c r="M337">
        <v>9.1280000000000001</v>
      </c>
      <c r="N337">
        <v>82.152000000000001</v>
      </c>
      <c r="O3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7" s="9" t="str">
        <f ca="1">IF(OR(ISNUMBER(Table1[[#This Row],[Order_Date]])=FALSE,Table1[[#This Row],[Order_Date]]&lt;DATE(2000,1,1),Table1[[#This Row],[Order_Date]]&gt;TODAY()),"YES","NO")</f>
        <v>NO</v>
      </c>
    </row>
    <row r="338" spans="1:16" x14ac:dyDescent="0.3">
      <c r="A338">
        <v>100333</v>
      </c>
      <c r="B338" s="8">
        <v>45305.833333333343</v>
      </c>
      <c r="C338" t="s">
        <v>15</v>
      </c>
      <c r="D338" t="s">
        <v>25</v>
      </c>
      <c r="E338" t="s">
        <v>69</v>
      </c>
      <c r="F338" t="s">
        <v>72</v>
      </c>
      <c r="G338">
        <v>1</v>
      </c>
      <c r="H338">
        <v>14.51</v>
      </c>
      <c r="I338">
        <v>0</v>
      </c>
      <c r="J338" t="s">
        <v>73</v>
      </c>
      <c r="K338" t="s">
        <v>77</v>
      </c>
      <c r="L338">
        <v>14.51</v>
      </c>
      <c r="M338">
        <v>0</v>
      </c>
      <c r="N338">
        <v>14.51</v>
      </c>
      <c r="O3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8" s="9" t="str">
        <f ca="1">IF(OR(ISNUMBER(Table1[[#This Row],[Order_Date]])=FALSE,Table1[[#This Row],[Order_Date]]&lt;DATE(2000,1,1),Table1[[#This Row],[Order_Date]]&gt;TODAY()),"YES","NO")</f>
        <v>NO</v>
      </c>
    </row>
    <row r="339" spans="1:16" x14ac:dyDescent="0.3">
      <c r="A339">
        <v>100334</v>
      </c>
      <c r="B339" s="8">
        <v>45305.875</v>
      </c>
      <c r="C339" t="s">
        <v>14</v>
      </c>
      <c r="D339" t="s">
        <v>33</v>
      </c>
      <c r="E339" t="s">
        <v>69</v>
      </c>
      <c r="F339" t="s">
        <v>72</v>
      </c>
      <c r="G339">
        <v>4</v>
      </c>
      <c r="H339">
        <v>60.72</v>
      </c>
      <c r="I339">
        <v>10</v>
      </c>
      <c r="J339" t="s">
        <v>76</v>
      </c>
      <c r="K339" t="s">
        <v>77</v>
      </c>
      <c r="L339">
        <v>242.88</v>
      </c>
      <c r="M339">
        <v>24.288</v>
      </c>
      <c r="N339">
        <v>218.59200000000001</v>
      </c>
      <c r="O3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39" s="9" t="str">
        <f ca="1">IF(OR(ISNUMBER(Table1[[#This Row],[Order_Date]])=FALSE,Table1[[#This Row],[Order_Date]]&lt;DATE(2000,1,1),Table1[[#This Row],[Order_Date]]&gt;TODAY()),"YES","NO")</f>
        <v>NO</v>
      </c>
    </row>
    <row r="340" spans="1:16" x14ac:dyDescent="0.3">
      <c r="A340">
        <v>100335</v>
      </c>
      <c r="B340" s="8">
        <v>45305.916666666657</v>
      </c>
      <c r="C340" t="s">
        <v>15</v>
      </c>
      <c r="D340" t="s">
        <v>46</v>
      </c>
      <c r="E340" t="s">
        <v>69</v>
      </c>
      <c r="F340" t="s">
        <v>71</v>
      </c>
      <c r="G340">
        <v>2</v>
      </c>
      <c r="H340">
        <v>39.78</v>
      </c>
      <c r="I340">
        <v>0</v>
      </c>
      <c r="J340" t="s">
        <v>75</v>
      </c>
      <c r="K340" t="s">
        <v>77</v>
      </c>
      <c r="L340">
        <v>79.56</v>
      </c>
      <c r="M340">
        <v>0</v>
      </c>
      <c r="N340">
        <v>79.56</v>
      </c>
      <c r="O3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0" s="9" t="str">
        <f ca="1">IF(OR(ISNUMBER(Table1[[#This Row],[Order_Date]])=FALSE,Table1[[#This Row],[Order_Date]]&lt;DATE(2000,1,1),Table1[[#This Row],[Order_Date]]&gt;TODAY()),"YES","NO")</f>
        <v>NO</v>
      </c>
    </row>
    <row r="341" spans="1:16" x14ac:dyDescent="0.3">
      <c r="A341">
        <v>100336</v>
      </c>
      <c r="B341" s="8">
        <v>45305.958333333343</v>
      </c>
      <c r="C341" t="s">
        <v>15</v>
      </c>
      <c r="D341" t="s">
        <v>38</v>
      </c>
      <c r="E341" t="s">
        <v>68</v>
      </c>
      <c r="F341" t="s">
        <v>72</v>
      </c>
      <c r="G341">
        <v>4</v>
      </c>
      <c r="H341">
        <v>69.790000000000006</v>
      </c>
      <c r="I341">
        <v>15</v>
      </c>
      <c r="J341" t="s">
        <v>74</v>
      </c>
      <c r="K341" t="s">
        <v>77</v>
      </c>
      <c r="L341">
        <v>279.16000000000003</v>
      </c>
      <c r="M341">
        <v>41.874000000000002</v>
      </c>
      <c r="N341">
        <v>237.286</v>
      </c>
      <c r="O3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1" s="9" t="str">
        <f ca="1">IF(OR(ISNUMBER(Table1[[#This Row],[Order_Date]])=FALSE,Table1[[#This Row],[Order_Date]]&lt;DATE(2000,1,1),Table1[[#This Row],[Order_Date]]&gt;TODAY()),"YES","NO")</f>
        <v>NO</v>
      </c>
    </row>
    <row r="342" spans="1:16" x14ac:dyDescent="0.3">
      <c r="A342">
        <v>100337</v>
      </c>
      <c r="B342" s="8">
        <v>45306</v>
      </c>
      <c r="C342" t="s">
        <v>14</v>
      </c>
      <c r="D342" t="s">
        <v>28</v>
      </c>
      <c r="E342" t="s">
        <v>66</v>
      </c>
      <c r="F342" t="s">
        <v>71</v>
      </c>
      <c r="G342">
        <v>3</v>
      </c>
      <c r="H342">
        <v>97.44</v>
      </c>
      <c r="I342">
        <v>10</v>
      </c>
      <c r="J342" t="s">
        <v>75</v>
      </c>
      <c r="K342" t="s">
        <v>77</v>
      </c>
      <c r="L342">
        <v>292.32</v>
      </c>
      <c r="M342">
        <v>29.231999999999999</v>
      </c>
      <c r="N342">
        <v>263.08800000000002</v>
      </c>
      <c r="O3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2" s="9" t="str">
        <f ca="1">IF(OR(ISNUMBER(Table1[[#This Row],[Order_Date]])=FALSE,Table1[[#This Row],[Order_Date]]&lt;DATE(2000,1,1),Table1[[#This Row],[Order_Date]]&gt;TODAY()),"YES","NO")</f>
        <v>NO</v>
      </c>
    </row>
    <row r="343" spans="1:16" x14ac:dyDescent="0.3">
      <c r="A343">
        <v>100338</v>
      </c>
      <c r="B343" s="8">
        <v>45306.041666666657</v>
      </c>
      <c r="C343" t="s">
        <v>14</v>
      </c>
      <c r="D343" t="s">
        <v>58</v>
      </c>
      <c r="E343" t="s">
        <v>69</v>
      </c>
      <c r="F343" t="s">
        <v>71</v>
      </c>
      <c r="G343">
        <v>5</v>
      </c>
      <c r="H343">
        <v>20.77</v>
      </c>
      <c r="I343">
        <v>15</v>
      </c>
      <c r="J343" t="s">
        <v>75</v>
      </c>
      <c r="K343" t="s">
        <v>77</v>
      </c>
      <c r="L343">
        <v>103.85</v>
      </c>
      <c r="M343">
        <v>15.577500000000001</v>
      </c>
      <c r="N343">
        <v>88.272499999999994</v>
      </c>
      <c r="O3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3" s="9" t="str">
        <f ca="1">IF(OR(ISNUMBER(Table1[[#This Row],[Order_Date]])=FALSE,Table1[[#This Row],[Order_Date]]&lt;DATE(2000,1,1),Table1[[#This Row],[Order_Date]]&gt;TODAY()),"YES","NO")</f>
        <v>NO</v>
      </c>
    </row>
    <row r="344" spans="1:16" x14ac:dyDescent="0.3">
      <c r="A344">
        <v>100339</v>
      </c>
      <c r="B344" s="8">
        <v>45306.083333333343</v>
      </c>
      <c r="C344" t="s">
        <v>15</v>
      </c>
      <c r="D344" t="s">
        <v>34</v>
      </c>
      <c r="E344" t="s">
        <v>70</v>
      </c>
      <c r="F344" t="s">
        <v>71</v>
      </c>
      <c r="G344">
        <v>2</v>
      </c>
      <c r="H344">
        <v>71.78</v>
      </c>
      <c r="I344">
        <v>0</v>
      </c>
      <c r="J344" t="s">
        <v>75</v>
      </c>
      <c r="K344" t="s">
        <v>78</v>
      </c>
      <c r="L344">
        <v>143.56</v>
      </c>
      <c r="M344">
        <v>0</v>
      </c>
      <c r="N344">
        <v>143.56</v>
      </c>
      <c r="O3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44" s="9" t="str">
        <f ca="1">IF(OR(ISNUMBER(Table1[[#This Row],[Order_Date]])=FALSE,Table1[[#This Row],[Order_Date]]&lt;DATE(2000,1,1),Table1[[#This Row],[Order_Date]]&gt;TODAY()),"YES","NO")</f>
        <v>NO</v>
      </c>
    </row>
    <row r="345" spans="1:16" x14ac:dyDescent="0.3">
      <c r="A345">
        <v>100340</v>
      </c>
      <c r="B345" s="8">
        <v>45306.125</v>
      </c>
      <c r="C345" t="s">
        <v>15</v>
      </c>
      <c r="D345" t="s">
        <v>52</v>
      </c>
      <c r="E345" t="s">
        <v>70</v>
      </c>
      <c r="F345" t="s">
        <v>71</v>
      </c>
      <c r="G345">
        <v>3</v>
      </c>
      <c r="H345">
        <v>63.13</v>
      </c>
      <c r="I345">
        <v>10</v>
      </c>
      <c r="J345" t="s">
        <v>74</v>
      </c>
      <c r="K345" t="s">
        <v>77</v>
      </c>
      <c r="L345">
        <v>189.39</v>
      </c>
      <c r="M345">
        <v>18.939</v>
      </c>
      <c r="N345">
        <v>170.45099999999999</v>
      </c>
      <c r="O3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5" s="9" t="str">
        <f ca="1">IF(OR(ISNUMBER(Table1[[#This Row],[Order_Date]])=FALSE,Table1[[#This Row],[Order_Date]]&lt;DATE(2000,1,1),Table1[[#This Row],[Order_Date]]&gt;TODAY()),"YES","NO")</f>
        <v>NO</v>
      </c>
    </row>
    <row r="346" spans="1:16" x14ac:dyDescent="0.3">
      <c r="A346">
        <v>100341</v>
      </c>
      <c r="B346" s="8">
        <v>45306.166666666657</v>
      </c>
      <c r="C346" t="s">
        <v>14</v>
      </c>
      <c r="D346" t="s">
        <v>39</v>
      </c>
      <c r="E346" t="s">
        <v>67</v>
      </c>
      <c r="F346" t="s">
        <v>72</v>
      </c>
      <c r="G346">
        <v>1</v>
      </c>
      <c r="H346">
        <v>21.57</v>
      </c>
      <c r="I346">
        <v>15</v>
      </c>
      <c r="J346" t="s">
        <v>76</v>
      </c>
      <c r="K346" t="s">
        <v>77</v>
      </c>
      <c r="L346">
        <v>21.57</v>
      </c>
      <c r="M346">
        <v>3.2355</v>
      </c>
      <c r="N346">
        <v>18.334499999999998</v>
      </c>
      <c r="O3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6" s="9" t="str">
        <f ca="1">IF(OR(ISNUMBER(Table1[[#This Row],[Order_Date]])=FALSE,Table1[[#This Row],[Order_Date]]&lt;DATE(2000,1,1),Table1[[#This Row],[Order_Date]]&gt;TODAY()),"YES","NO")</f>
        <v>NO</v>
      </c>
    </row>
    <row r="347" spans="1:16" x14ac:dyDescent="0.3">
      <c r="A347">
        <v>100342</v>
      </c>
      <c r="B347" s="8">
        <v>45306.208333333343</v>
      </c>
      <c r="C347" t="s">
        <v>15</v>
      </c>
      <c r="D347" t="s">
        <v>17</v>
      </c>
      <c r="E347" t="s">
        <v>66</v>
      </c>
      <c r="F347" t="s">
        <v>71</v>
      </c>
      <c r="G347">
        <v>2</v>
      </c>
      <c r="H347">
        <v>76.760000000000005</v>
      </c>
      <c r="I347">
        <v>0</v>
      </c>
      <c r="J347" t="s">
        <v>75</v>
      </c>
      <c r="K347" t="s">
        <v>77</v>
      </c>
      <c r="L347">
        <v>153.52000000000001</v>
      </c>
      <c r="M347">
        <v>0</v>
      </c>
      <c r="N347">
        <v>153.52000000000001</v>
      </c>
      <c r="O3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7" s="9" t="str">
        <f ca="1">IF(OR(ISNUMBER(Table1[[#This Row],[Order_Date]])=FALSE,Table1[[#This Row],[Order_Date]]&lt;DATE(2000,1,1),Table1[[#This Row],[Order_Date]]&gt;TODAY()),"YES","NO")</f>
        <v>NO</v>
      </c>
    </row>
    <row r="348" spans="1:16" x14ac:dyDescent="0.3">
      <c r="A348">
        <v>100343</v>
      </c>
      <c r="B348" s="8">
        <v>45306.25</v>
      </c>
      <c r="C348" t="s">
        <v>14</v>
      </c>
      <c r="D348" t="s">
        <v>44</v>
      </c>
      <c r="E348" t="s">
        <v>69</v>
      </c>
      <c r="F348" t="s">
        <v>72</v>
      </c>
      <c r="G348">
        <v>5</v>
      </c>
      <c r="H348">
        <v>36.47</v>
      </c>
      <c r="I348">
        <v>15</v>
      </c>
      <c r="J348" t="s">
        <v>74</v>
      </c>
      <c r="K348" t="s">
        <v>77</v>
      </c>
      <c r="L348">
        <v>182.35</v>
      </c>
      <c r="M348">
        <v>27.352499999999999</v>
      </c>
      <c r="N348">
        <v>154.9975</v>
      </c>
      <c r="O3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8" s="9" t="str">
        <f ca="1">IF(OR(ISNUMBER(Table1[[#This Row],[Order_Date]])=FALSE,Table1[[#This Row],[Order_Date]]&lt;DATE(2000,1,1),Table1[[#This Row],[Order_Date]]&gt;TODAY()),"YES","NO")</f>
        <v>NO</v>
      </c>
    </row>
    <row r="349" spans="1:16" x14ac:dyDescent="0.3">
      <c r="A349">
        <v>100344</v>
      </c>
      <c r="B349" s="8">
        <v>45306.291666666657</v>
      </c>
      <c r="C349" t="s">
        <v>15</v>
      </c>
      <c r="D349" t="s">
        <v>57</v>
      </c>
      <c r="E349" t="s">
        <v>70</v>
      </c>
      <c r="F349" t="s">
        <v>72</v>
      </c>
      <c r="G349">
        <v>5</v>
      </c>
      <c r="H349">
        <v>61.1</v>
      </c>
      <c r="I349">
        <v>5</v>
      </c>
      <c r="J349" t="s">
        <v>73</v>
      </c>
      <c r="K349" t="s">
        <v>77</v>
      </c>
      <c r="L349">
        <v>305.5</v>
      </c>
      <c r="M349">
        <v>15.275</v>
      </c>
      <c r="N349">
        <v>290.22500000000002</v>
      </c>
      <c r="O3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49" s="9" t="str">
        <f ca="1">IF(OR(ISNUMBER(Table1[[#This Row],[Order_Date]])=FALSE,Table1[[#This Row],[Order_Date]]&lt;DATE(2000,1,1),Table1[[#This Row],[Order_Date]]&gt;TODAY()),"YES","NO")</f>
        <v>NO</v>
      </c>
    </row>
    <row r="350" spans="1:16" x14ac:dyDescent="0.3">
      <c r="A350">
        <v>100345</v>
      </c>
      <c r="B350" s="8">
        <v>45306.333333333343</v>
      </c>
      <c r="C350" t="s">
        <v>14</v>
      </c>
      <c r="D350" t="s">
        <v>25</v>
      </c>
      <c r="E350" t="s">
        <v>66</v>
      </c>
      <c r="F350" t="s">
        <v>71</v>
      </c>
      <c r="G350">
        <v>1</v>
      </c>
      <c r="H350">
        <v>14.46</v>
      </c>
      <c r="I350">
        <v>0</v>
      </c>
      <c r="J350" t="s">
        <v>74</v>
      </c>
      <c r="K350" t="s">
        <v>77</v>
      </c>
      <c r="L350">
        <v>14.46</v>
      </c>
      <c r="M350">
        <v>0</v>
      </c>
      <c r="N350">
        <v>14.46</v>
      </c>
      <c r="O3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0" s="9" t="str">
        <f ca="1">IF(OR(ISNUMBER(Table1[[#This Row],[Order_Date]])=FALSE,Table1[[#This Row],[Order_Date]]&lt;DATE(2000,1,1),Table1[[#This Row],[Order_Date]]&gt;TODAY()),"YES","NO")</f>
        <v>NO</v>
      </c>
    </row>
    <row r="351" spans="1:16" x14ac:dyDescent="0.3">
      <c r="A351">
        <v>100346</v>
      </c>
      <c r="B351" s="8">
        <v>45306.375</v>
      </c>
      <c r="C351" t="s">
        <v>14</v>
      </c>
      <c r="D351" t="s">
        <v>25</v>
      </c>
      <c r="E351" t="s">
        <v>67</v>
      </c>
      <c r="F351" t="s">
        <v>72</v>
      </c>
      <c r="G351">
        <v>1</v>
      </c>
      <c r="H351">
        <v>57.85</v>
      </c>
      <c r="I351">
        <v>0</v>
      </c>
      <c r="J351" t="s">
        <v>73</v>
      </c>
      <c r="K351" t="s">
        <v>77</v>
      </c>
      <c r="L351">
        <v>57.85</v>
      </c>
      <c r="M351">
        <v>0</v>
      </c>
      <c r="N351">
        <v>57.85</v>
      </c>
      <c r="O3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1" s="9" t="str">
        <f ca="1">IF(OR(ISNUMBER(Table1[[#This Row],[Order_Date]])=FALSE,Table1[[#This Row],[Order_Date]]&lt;DATE(2000,1,1),Table1[[#This Row],[Order_Date]]&gt;TODAY()),"YES","NO")</f>
        <v>NO</v>
      </c>
    </row>
    <row r="352" spans="1:16" x14ac:dyDescent="0.3">
      <c r="A352">
        <v>100347</v>
      </c>
      <c r="B352" s="8">
        <v>45306.416666666657</v>
      </c>
      <c r="C352" t="s">
        <v>14</v>
      </c>
      <c r="D352" t="s">
        <v>36</v>
      </c>
      <c r="E352" t="s">
        <v>68</v>
      </c>
      <c r="F352" t="s">
        <v>71</v>
      </c>
      <c r="G352">
        <v>2</v>
      </c>
      <c r="H352">
        <v>40.24</v>
      </c>
      <c r="I352">
        <v>0</v>
      </c>
      <c r="J352" t="s">
        <v>74</v>
      </c>
      <c r="K352" t="s">
        <v>77</v>
      </c>
      <c r="L352">
        <v>80.48</v>
      </c>
      <c r="M352">
        <v>0</v>
      </c>
      <c r="N352">
        <v>80.48</v>
      </c>
      <c r="O3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2" s="9" t="str">
        <f ca="1">IF(OR(ISNUMBER(Table1[[#This Row],[Order_Date]])=FALSE,Table1[[#This Row],[Order_Date]]&lt;DATE(2000,1,1),Table1[[#This Row],[Order_Date]]&gt;TODAY()),"YES","NO")</f>
        <v>NO</v>
      </c>
    </row>
    <row r="353" spans="1:16" x14ac:dyDescent="0.3">
      <c r="A353">
        <v>100348</v>
      </c>
      <c r="B353" s="8">
        <v>45306.458333333343</v>
      </c>
      <c r="C353" t="s">
        <v>15</v>
      </c>
      <c r="D353" t="s">
        <v>54</v>
      </c>
      <c r="E353" t="s">
        <v>66</v>
      </c>
      <c r="F353" t="s">
        <v>71</v>
      </c>
      <c r="G353">
        <v>4</v>
      </c>
      <c r="H353">
        <v>99.57</v>
      </c>
      <c r="I353">
        <v>10</v>
      </c>
      <c r="J353" t="s">
        <v>76</v>
      </c>
      <c r="K353" t="s">
        <v>79</v>
      </c>
      <c r="L353">
        <v>398.28</v>
      </c>
      <c r="M353">
        <v>39.828000000000003</v>
      </c>
      <c r="N353">
        <v>358.452</v>
      </c>
      <c r="O3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53" s="9" t="str">
        <f ca="1">IF(OR(ISNUMBER(Table1[[#This Row],[Order_Date]])=FALSE,Table1[[#This Row],[Order_Date]]&lt;DATE(2000,1,1),Table1[[#This Row],[Order_Date]]&gt;TODAY()),"YES","NO")</f>
        <v>NO</v>
      </c>
    </row>
    <row r="354" spans="1:16" x14ac:dyDescent="0.3">
      <c r="A354">
        <v>100349</v>
      </c>
      <c r="B354" s="8">
        <v>45306.5</v>
      </c>
      <c r="C354" t="s">
        <v>15</v>
      </c>
      <c r="D354" t="s">
        <v>42</v>
      </c>
      <c r="E354" t="s">
        <v>66</v>
      </c>
      <c r="F354" t="s">
        <v>72</v>
      </c>
      <c r="G354">
        <v>1</v>
      </c>
      <c r="H354">
        <v>11.55</v>
      </c>
      <c r="I354">
        <v>10</v>
      </c>
      <c r="J354" t="s">
        <v>75</v>
      </c>
      <c r="K354" t="s">
        <v>77</v>
      </c>
      <c r="L354">
        <v>11.55</v>
      </c>
      <c r="M354">
        <v>1.155</v>
      </c>
      <c r="N354">
        <v>10.395</v>
      </c>
      <c r="O3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4" s="9" t="str">
        <f ca="1">IF(OR(ISNUMBER(Table1[[#This Row],[Order_Date]])=FALSE,Table1[[#This Row],[Order_Date]]&lt;DATE(2000,1,1),Table1[[#This Row],[Order_Date]]&gt;TODAY()),"YES","NO")</f>
        <v>NO</v>
      </c>
    </row>
    <row r="355" spans="1:16" x14ac:dyDescent="0.3">
      <c r="A355">
        <v>100350</v>
      </c>
      <c r="B355" s="8">
        <v>45306.541666666657</v>
      </c>
      <c r="C355" t="s">
        <v>14</v>
      </c>
      <c r="D355" t="s">
        <v>23</v>
      </c>
      <c r="E355" t="s">
        <v>68</v>
      </c>
      <c r="F355" t="s">
        <v>72</v>
      </c>
      <c r="G355">
        <v>4</v>
      </c>
      <c r="H355">
        <v>53.14</v>
      </c>
      <c r="I355">
        <v>10</v>
      </c>
      <c r="J355" t="s">
        <v>76</v>
      </c>
      <c r="K355" t="s">
        <v>77</v>
      </c>
      <c r="L355">
        <v>212.56</v>
      </c>
      <c r="M355">
        <v>21.256</v>
      </c>
      <c r="N355">
        <v>191.304</v>
      </c>
      <c r="O3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5" s="9" t="str">
        <f ca="1">IF(OR(ISNUMBER(Table1[[#This Row],[Order_Date]])=FALSE,Table1[[#This Row],[Order_Date]]&lt;DATE(2000,1,1),Table1[[#This Row],[Order_Date]]&gt;TODAY()),"YES","NO")</f>
        <v>NO</v>
      </c>
    </row>
    <row r="356" spans="1:16" x14ac:dyDescent="0.3">
      <c r="A356">
        <v>100351</v>
      </c>
      <c r="B356" s="8">
        <v>45306.583333333343</v>
      </c>
      <c r="C356" t="s">
        <v>15</v>
      </c>
      <c r="D356" t="s">
        <v>55</v>
      </c>
      <c r="E356" t="s">
        <v>66</v>
      </c>
      <c r="F356" t="s">
        <v>71</v>
      </c>
      <c r="G356">
        <v>3</v>
      </c>
      <c r="H356">
        <v>57.72</v>
      </c>
      <c r="I356">
        <v>5</v>
      </c>
      <c r="J356" t="s">
        <v>74</v>
      </c>
      <c r="K356" t="s">
        <v>78</v>
      </c>
      <c r="L356">
        <v>173.16</v>
      </c>
      <c r="M356">
        <v>8.6579999999999995</v>
      </c>
      <c r="N356">
        <v>164.50200000000001</v>
      </c>
      <c r="O3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56" s="9" t="str">
        <f ca="1">IF(OR(ISNUMBER(Table1[[#This Row],[Order_Date]])=FALSE,Table1[[#This Row],[Order_Date]]&lt;DATE(2000,1,1),Table1[[#This Row],[Order_Date]]&gt;TODAY()),"YES","NO")</f>
        <v>NO</v>
      </c>
    </row>
    <row r="357" spans="1:16" x14ac:dyDescent="0.3">
      <c r="A357">
        <v>100352</v>
      </c>
      <c r="B357" s="8">
        <v>45306.625</v>
      </c>
      <c r="C357" t="s">
        <v>14</v>
      </c>
      <c r="D357" t="s">
        <v>39</v>
      </c>
      <c r="E357" t="s">
        <v>67</v>
      </c>
      <c r="F357" t="s">
        <v>72</v>
      </c>
      <c r="G357">
        <v>5</v>
      </c>
      <c r="H357">
        <v>88.38</v>
      </c>
      <c r="I357">
        <v>5</v>
      </c>
      <c r="J357" t="s">
        <v>75</v>
      </c>
      <c r="K357" t="s">
        <v>77</v>
      </c>
      <c r="L357">
        <v>441.9</v>
      </c>
      <c r="M357">
        <v>22.094999999999999</v>
      </c>
      <c r="N357">
        <v>419.80499999999989</v>
      </c>
      <c r="O3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7" s="9" t="str">
        <f ca="1">IF(OR(ISNUMBER(Table1[[#This Row],[Order_Date]])=FALSE,Table1[[#This Row],[Order_Date]]&lt;DATE(2000,1,1),Table1[[#This Row],[Order_Date]]&gt;TODAY()),"YES","NO")</f>
        <v>NO</v>
      </c>
    </row>
    <row r="358" spans="1:16" x14ac:dyDescent="0.3">
      <c r="A358">
        <v>100353</v>
      </c>
      <c r="B358" s="8">
        <v>45306.666666666657</v>
      </c>
      <c r="C358" t="s">
        <v>14</v>
      </c>
      <c r="D358" t="s">
        <v>45</v>
      </c>
      <c r="E358" t="s">
        <v>67</v>
      </c>
      <c r="F358" t="s">
        <v>72</v>
      </c>
      <c r="G358">
        <v>4</v>
      </c>
      <c r="H358">
        <v>71.040000000000006</v>
      </c>
      <c r="I358">
        <v>0</v>
      </c>
      <c r="J358" t="s">
        <v>73</v>
      </c>
      <c r="K358" t="s">
        <v>77</v>
      </c>
      <c r="L358">
        <v>284.16000000000003</v>
      </c>
      <c r="M358">
        <v>0</v>
      </c>
      <c r="N358">
        <v>284.16000000000003</v>
      </c>
      <c r="O3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8" s="9" t="str">
        <f ca="1">IF(OR(ISNUMBER(Table1[[#This Row],[Order_Date]])=FALSE,Table1[[#This Row],[Order_Date]]&lt;DATE(2000,1,1),Table1[[#This Row],[Order_Date]]&gt;TODAY()),"YES","NO")</f>
        <v>NO</v>
      </c>
    </row>
    <row r="359" spans="1:16" x14ac:dyDescent="0.3">
      <c r="A359">
        <v>100354</v>
      </c>
      <c r="B359" s="8">
        <v>45306.708333333343</v>
      </c>
      <c r="C359" t="s">
        <v>15</v>
      </c>
      <c r="D359" t="s">
        <v>50</v>
      </c>
      <c r="E359" t="s">
        <v>68</v>
      </c>
      <c r="F359" t="s">
        <v>72</v>
      </c>
      <c r="G359">
        <v>5</v>
      </c>
      <c r="H359">
        <v>81.73</v>
      </c>
      <c r="I359">
        <v>5</v>
      </c>
      <c r="J359" t="s">
        <v>74</v>
      </c>
      <c r="K359" t="s">
        <v>77</v>
      </c>
      <c r="L359">
        <v>408.65</v>
      </c>
      <c r="M359">
        <v>20.432500000000001</v>
      </c>
      <c r="N359">
        <v>388.21749999999997</v>
      </c>
      <c r="O3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59" s="9" t="str">
        <f ca="1">IF(OR(ISNUMBER(Table1[[#This Row],[Order_Date]])=FALSE,Table1[[#This Row],[Order_Date]]&lt;DATE(2000,1,1),Table1[[#This Row],[Order_Date]]&gt;TODAY()),"YES","NO")</f>
        <v>NO</v>
      </c>
    </row>
    <row r="360" spans="1:16" x14ac:dyDescent="0.3">
      <c r="A360">
        <v>100355</v>
      </c>
      <c r="B360" s="8">
        <v>45306.75</v>
      </c>
      <c r="C360" t="s">
        <v>15</v>
      </c>
      <c r="D360" t="s">
        <v>52</v>
      </c>
      <c r="E360" t="s">
        <v>69</v>
      </c>
      <c r="F360" t="s">
        <v>71</v>
      </c>
      <c r="G360">
        <v>4</v>
      </c>
      <c r="H360">
        <v>94.36</v>
      </c>
      <c r="I360">
        <v>15</v>
      </c>
      <c r="J360" t="s">
        <v>75</v>
      </c>
      <c r="K360" t="s">
        <v>77</v>
      </c>
      <c r="L360">
        <v>377.44</v>
      </c>
      <c r="M360">
        <v>56.616</v>
      </c>
      <c r="N360">
        <v>320.82400000000001</v>
      </c>
      <c r="O3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0" s="9" t="str">
        <f ca="1">IF(OR(ISNUMBER(Table1[[#This Row],[Order_Date]])=FALSE,Table1[[#This Row],[Order_Date]]&lt;DATE(2000,1,1),Table1[[#This Row],[Order_Date]]&gt;TODAY()),"YES","NO")</f>
        <v>NO</v>
      </c>
    </row>
    <row r="361" spans="1:16" x14ac:dyDescent="0.3">
      <c r="A361">
        <v>100356</v>
      </c>
      <c r="B361" s="8">
        <v>45306.791666666657</v>
      </c>
      <c r="C361" t="s">
        <v>14</v>
      </c>
      <c r="D361" t="s">
        <v>33</v>
      </c>
      <c r="E361" t="s">
        <v>70</v>
      </c>
      <c r="F361" t="s">
        <v>71</v>
      </c>
      <c r="G361">
        <v>3</v>
      </c>
      <c r="H361">
        <v>104.15</v>
      </c>
      <c r="I361">
        <v>0</v>
      </c>
      <c r="J361" t="s">
        <v>73</v>
      </c>
      <c r="K361" t="s">
        <v>79</v>
      </c>
      <c r="L361">
        <v>312.45</v>
      </c>
      <c r="M361">
        <v>0</v>
      </c>
      <c r="N361">
        <v>312.45</v>
      </c>
      <c r="O3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61" s="9" t="str">
        <f ca="1">IF(OR(ISNUMBER(Table1[[#This Row],[Order_Date]])=FALSE,Table1[[#This Row],[Order_Date]]&lt;DATE(2000,1,1),Table1[[#This Row],[Order_Date]]&gt;TODAY()),"YES","NO")</f>
        <v>NO</v>
      </c>
    </row>
    <row r="362" spans="1:16" x14ac:dyDescent="0.3">
      <c r="A362">
        <v>100357</v>
      </c>
      <c r="B362" s="8">
        <v>45306.833333333343</v>
      </c>
      <c r="C362" t="s">
        <v>15</v>
      </c>
      <c r="D362" t="s">
        <v>25</v>
      </c>
      <c r="E362" t="s">
        <v>69</v>
      </c>
      <c r="F362" t="s">
        <v>72</v>
      </c>
      <c r="G362">
        <v>1</v>
      </c>
      <c r="H362">
        <v>41.1</v>
      </c>
      <c r="I362">
        <v>0</v>
      </c>
      <c r="J362" t="s">
        <v>73</v>
      </c>
      <c r="K362" t="s">
        <v>79</v>
      </c>
      <c r="L362">
        <v>41.1</v>
      </c>
      <c r="M362">
        <v>0</v>
      </c>
      <c r="N362">
        <v>41.1</v>
      </c>
      <c r="O3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62" s="9" t="str">
        <f ca="1">IF(OR(ISNUMBER(Table1[[#This Row],[Order_Date]])=FALSE,Table1[[#This Row],[Order_Date]]&lt;DATE(2000,1,1),Table1[[#This Row],[Order_Date]]&gt;TODAY()),"YES","NO")</f>
        <v>NO</v>
      </c>
    </row>
    <row r="363" spans="1:16" x14ac:dyDescent="0.3">
      <c r="A363">
        <v>100358</v>
      </c>
      <c r="B363" s="8">
        <v>45306.875</v>
      </c>
      <c r="C363" t="s">
        <v>15</v>
      </c>
      <c r="D363" t="s">
        <v>40</v>
      </c>
      <c r="E363" t="s">
        <v>66</v>
      </c>
      <c r="F363" t="s">
        <v>72</v>
      </c>
      <c r="G363">
        <v>3</v>
      </c>
      <c r="H363">
        <v>66.87</v>
      </c>
      <c r="I363">
        <v>15</v>
      </c>
      <c r="J363" t="s">
        <v>76</v>
      </c>
      <c r="K363" t="s">
        <v>77</v>
      </c>
      <c r="L363">
        <v>200.61</v>
      </c>
      <c r="M363">
        <v>30.0915</v>
      </c>
      <c r="N363">
        <v>170.51849999999999</v>
      </c>
      <c r="O3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3" s="9" t="str">
        <f ca="1">IF(OR(ISNUMBER(Table1[[#This Row],[Order_Date]])=FALSE,Table1[[#This Row],[Order_Date]]&lt;DATE(2000,1,1),Table1[[#This Row],[Order_Date]]&gt;TODAY()),"YES","NO")</f>
        <v>NO</v>
      </c>
    </row>
    <row r="364" spans="1:16" x14ac:dyDescent="0.3">
      <c r="A364">
        <v>100359</v>
      </c>
      <c r="B364" s="8">
        <v>45306.916666666657</v>
      </c>
      <c r="C364" t="s">
        <v>14</v>
      </c>
      <c r="D364" t="s">
        <v>50</v>
      </c>
      <c r="E364" t="s">
        <v>70</v>
      </c>
      <c r="F364" t="s">
        <v>72</v>
      </c>
      <c r="G364">
        <v>1</v>
      </c>
      <c r="H364">
        <v>101.61</v>
      </c>
      <c r="I364">
        <v>0</v>
      </c>
      <c r="J364" t="s">
        <v>74</v>
      </c>
      <c r="K364" t="s">
        <v>77</v>
      </c>
      <c r="L364">
        <v>101.61</v>
      </c>
      <c r="M364">
        <v>0</v>
      </c>
      <c r="N364">
        <v>101.61</v>
      </c>
      <c r="P364" s="9" t="str">
        <f ca="1">IF(OR(ISNUMBER(Table1[[#This Row],[Order_Date]])=FALSE,Table1[[#This Row],[Order_Date]]&lt;DATE(2000,1,1),Table1[[#This Row],[Order_Date]]&gt;TODAY()),"YES","NO")</f>
        <v>NO</v>
      </c>
    </row>
    <row r="365" spans="1:16" x14ac:dyDescent="0.3">
      <c r="A365">
        <v>100360</v>
      </c>
      <c r="B365" s="8">
        <v>45306.958333333343</v>
      </c>
      <c r="C365" t="s">
        <v>14</v>
      </c>
      <c r="D365" t="s">
        <v>28</v>
      </c>
      <c r="E365" t="s">
        <v>68</v>
      </c>
      <c r="F365" t="s">
        <v>72</v>
      </c>
      <c r="G365">
        <v>1</v>
      </c>
      <c r="H365">
        <v>118.79</v>
      </c>
      <c r="I365">
        <v>5</v>
      </c>
      <c r="J365" t="s">
        <v>73</v>
      </c>
      <c r="K365" t="s">
        <v>77</v>
      </c>
      <c r="L365">
        <v>118.79</v>
      </c>
      <c r="M365">
        <v>5.9395000000000007</v>
      </c>
      <c r="N365">
        <v>112.8505</v>
      </c>
      <c r="O3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5" s="9" t="str">
        <f ca="1">IF(OR(ISNUMBER(Table1[[#This Row],[Order_Date]])=FALSE,Table1[[#This Row],[Order_Date]]&lt;DATE(2000,1,1),Table1[[#This Row],[Order_Date]]&gt;TODAY()),"YES","NO")</f>
        <v>NO</v>
      </c>
    </row>
    <row r="366" spans="1:16" x14ac:dyDescent="0.3">
      <c r="A366">
        <v>100361</v>
      </c>
      <c r="B366" s="8">
        <v>45307</v>
      </c>
      <c r="C366" t="s">
        <v>15</v>
      </c>
      <c r="D366" t="s">
        <v>51</v>
      </c>
      <c r="E366" t="s">
        <v>68</v>
      </c>
      <c r="F366" t="s">
        <v>72</v>
      </c>
      <c r="G366">
        <v>5</v>
      </c>
      <c r="H366">
        <v>107.29</v>
      </c>
      <c r="I366">
        <v>10</v>
      </c>
      <c r="J366" t="s">
        <v>75</v>
      </c>
      <c r="K366" t="s">
        <v>77</v>
      </c>
      <c r="L366">
        <v>536.45000000000005</v>
      </c>
      <c r="M366">
        <v>53.64500000000001</v>
      </c>
      <c r="N366">
        <v>482.80500000000012</v>
      </c>
      <c r="O3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6" s="9" t="str">
        <f ca="1">IF(OR(ISNUMBER(Table1[[#This Row],[Order_Date]])=FALSE,Table1[[#This Row],[Order_Date]]&lt;DATE(2000,1,1),Table1[[#This Row],[Order_Date]]&gt;TODAY()),"YES","NO")</f>
        <v>NO</v>
      </c>
    </row>
    <row r="367" spans="1:16" x14ac:dyDescent="0.3">
      <c r="A367">
        <v>100362</v>
      </c>
      <c r="B367" s="8">
        <v>45307.041666666657</v>
      </c>
      <c r="C367" t="s">
        <v>14</v>
      </c>
      <c r="D367" t="s">
        <v>52</v>
      </c>
      <c r="E367" t="s">
        <v>70</v>
      </c>
      <c r="F367" t="s">
        <v>71</v>
      </c>
      <c r="G367">
        <v>3</v>
      </c>
      <c r="H367">
        <v>47.72</v>
      </c>
      <c r="I367">
        <v>15</v>
      </c>
      <c r="J367" t="s">
        <v>73</v>
      </c>
      <c r="K367" t="s">
        <v>77</v>
      </c>
      <c r="L367">
        <v>143.16</v>
      </c>
      <c r="M367">
        <v>21.474</v>
      </c>
      <c r="N367">
        <v>121.68600000000001</v>
      </c>
      <c r="O3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7" s="9" t="str">
        <f ca="1">IF(OR(ISNUMBER(Table1[[#This Row],[Order_Date]])=FALSE,Table1[[#This Row],[Order_Date]]&lt;DATE(2000,1,1),Table1[[#This Row],[Order_Date]]&gt;TODAY()),"YES","NO")</f>
        <v>NO</v>
      </c>
    </row>
    <row r="368" spans="1:16" x14ac:dyDescent="0.3">
      <c r="A368">
        <v>100363</v>
      </c>
      <c r="B368" s="8">
        <v>45307.083333333343</v>
      </c>
      <c r="C368" t="s">
        <v>14</v>
      </c>
      <c r="D368" t="s">
        <v>41</v>
      </c>
      <c r="E368" t="s">
        <v>67</v>
      </c>
      <c r="F368" t="s">
        <v>72</v>
      </c>
      <c r="G368">
        <v>4</v>
      </c>
      <c r="H368">
        <v>27.44</v>
      </c>
      <c r="I368">
        <v>5</v>
      </c>
      <c r="J368" t="s">
        <v>73</v>
      </c>
      <c r="K368" t="s">
        <v>77</v>
      </c>
      <c r="L368">
        <v>109.76</v>
      </c>
      <c r="M368">
        <v>5.4880000000000004</v>
      </c>
      <c r="N368">
        <v>104.27200000000001</v>
      </c>
      <c r="O3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68" s="9" t="str">
        <f ca="1">IF(OR(ISNUMBER(Table1[[#This Row],[Order_Date]])=FALSE,Table1[[#This Row],[Order_Date]]&lt;DATE(2000,1,1),Table1[[#This Row],[Order_Date]]&gt;TODAY()),"YES","NO")</f>
        <v>NO</v>
      </c>
    </row>
    <row r="369" spans="1:16" x14ac:dyDescent="0.3">
      <c r="A369">
        <v>100364</v>
      </c>
      <c r="B369" s="8">
        <v>45307.125</v>
      </c>
      <c r="C369" t="s">
        <v>15</v>
      </c>
      <c r="D369" t="s">
        <v>53</v>
      </c>
      <c r="E369" t="s">
        <v>70</v>
      </c>
      <c r="F369" t="s">
        <v>71</v>
      </c>
      <c r="G369">
        <v>3</v>
      </c>
      <c r="H369">
        <v>61.28</v>
      </c>
      <c r="I369">
        <v>15</v>
      </c>
      <c r="J369" t="s">
        <v>76</v>
      </c>
      <c r="K369" t="s">
        <v>79</v>
      </c>
      <c r="L369">
        <v>183.84</v>
      </c>
      <c r="M369">
        <v>27.576000000000001</v>
      </c>
      <c r="N369">
        <v>156.26400000000001</v>
      </c>
      <c r="O3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69" s="9" t="str">
        <f ca="1">IF(OR(ISNUMBER(Table1[[#This Row],[Order_Date]])=FALSE,Table1[[#This Row],[Order_Date]]&lt;DATE(2000,1,1),Table1[[#This Row],[Order_Date]]&gt;TODAY()),"YES","NO")</f>
        <v>NO</v>
      </c>
    </row>
    <row r="370" spans="1:16" x14ac:dyDescent="0.3">
      <c r="A370">
        <v>100365</v>
      </c>
      <c r="B370" s="8">
        <v>45307.166666666657</v>
      </c>
      <c r="C370" t="s">
        <v>14</v>
      </c>
      <c r="D370" t="s">
        <v>30</v>
      </c>
      <c r="E370" t="s">
        <v>66</v>
      </c>
      <c r="F370" t="s">
        <v>72</v>
      </c>
      <c r="G370">
        <v>5</v>
      </c>
      <c r="H370">
        <v>90.29</v>
      </c>
      <c r="I370">
        <v>15</v>
      </c>
      <c r="J370" t="s">
        <v>76</v>
      </c>
      <c r="K370" t="s">
        <v>78</v>
      </c>
      <c r="L370">
        <v>451.45</v>
      </c>
      <c r="M370">
        <v>67.717500000000001</v>
      </c>
      <c r="N370">
        <v>383.73250000000007</v>
      </c>
      <c r="O3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70" s="9" t="str">
        <f ca="1">IF(OR(ISNUMBER(Table1[[#This Row],[Order_Date]])=FALSE,Table1[[#This Row],[Order_Date]]&lt;DATE(2000,1,1),Table1[[#This Row],[Order_Date]]&gt;TODAY()),"YES","NO")</f>
        <v>NO</v>
      </c>
    </row>
    <row r="371" spans="1:16" x14ac:dyDescent="0.3">
      <c r="A371">
        <v>100366</v>
      </c>
      <c r="B371" s="8">
        <v>45307.208333333343</v>
      </c>
      <c r="C371" t="s">
        <v>14</v>
      </c>
      <c r="D371" t="s">
        <v>35</v>
      </c>
      <c r="E371" t="s">
        <v>67</v>
      </c>
      <c r="F371" t="s">
        <v>71</v>
      </c>
      <c r="G371">
        <v>1</v>
      </c>
      <c r="H371">
        <v>61.65</v>
      </c>
      <c r="I371">
        <v>0</v>
      </c>
      <c r="J371" t="s">
        <v>75</v>
      </c>
      <c r="K371" t="s">
        <v>77</v>
      </c>
      <c r="L371">
        <v>61.65</v>
      </c>
      <c r="M371">
        <v>0</v>
      </c>
      <c r="N371">
        <v>61.65</v>
      </c>
      <c r="O3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1" s="9" t="str">
        <f ca="1">IF(OR(ISNUMBER(Table1[[#This Row],[Order_Date]])=FALSE,Table1[[#This Row],[Order_Date]]&lt;DATE(2000,1,1),Table1[[#This Row],[Order_Date]]&gt;TODAY()),"YES","NO")</f>
        <v>NO</v>
      </c>
    </row>
    <row r="372" spans="1:16" x14ac:dyDescent="0.3">
      <c r="A372">
        <v>100367</v>
      </c>
      <c r="B372" s="8">
        <v>45307.25</v>
      </c>
      <c r="C372" t="s">
        <v>15</v>
      </c>
      <c r="D372" t="s">
        <v>61</v>
      </c>
      <c r="E372" t="s">
        <v>68</v>
      </c>
      <c r="F372" t="s">
        <v>72</v>
      </c>
      <c r="G372">
        <v>5</v>
      </c>
      <c r="H372">
        <v>60.57</v>
      </c>
      <c r="I372">
        <v>0</v>
      </c>
      <c r="J372" t="s">
        <v>76</v>
      </c>
      <c r="K372" t="s">
        <v>77</v>
      </c>
      <c r="L372">
        <v>302.85000000000002</v>
      </c>
      <c r="M372">
        <v>0</v>
      </c>
      <c r="N372">
        <v>302.85000000000002</v>
      </c>
      <c r="O3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2" s="9" t="str">
        <f ca="1">IF(OR(ISNUMBER(Table1[[#This Row],[Order_Date]])=FALSE,Table1[[#This Row],[Order_Date]]&lt;DATE(2000,1,1),Table1[[#This Row],[Order_Date]]&gt;TODAY()),"YES","NO")</f>
        <v>NO</v>
      </c>
    </row>
    <row r="373" spans="1:16" x14ac:dyDescent="0.3">
      <c r="A373">
        <v>100368</v>
      </c>
      <c r="B373" s="8">
        <v>45307.291666666657</v>
      </c>
      <c r="C373" t="s">
        <v>15</v>
      </c>
      <c r="D373" t="s">
        <v>30</v>
      </c>
      <c r="E373" t="s">
        <v>70</v>
      </c>
      <c r="F373" t="s">
        <v>71</v>
      </c>
      <c r="G373">
        <v>2</v>
      </c>
      <c r="H373">
        <v>101.4</v>
      </c>
      <c r="I373">
        <v>5</v>
      </c>
      <c r="J373" t="s">
        <v>73</v>
      </c>
      <c r="K373" t="s">
        <v>77</v>
      </c>
      <c r="L373">
        <v>202.8</v>
      </c>
      <c r="M373">
        <v>10.14</v>
      </c>
      <c r="N373">
        <v>192.66</v>
      </c>
      <c r="O3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3" s="9" t="str">
        <f ca="1">IF(OR(ISNUMBER(Table1[[#This Row],[Order_Date]])=FALSE,Table1[[#This Row],[Order_Date]]&lt;DATE(2000,1,1),Table1[[#This Row],[Order_Date]]&gt;TODAY()),"YES","NO")</f>
        <v>NO</v>
      </c>
    </row>
    <row r="374" spans="1:16" x14ac:dyDescent="0.3">
      <c r="A374">
        <v>100369</v>
      </c>
      <c r="B374" s="8">
        <v>45307.333333333343</v>
      </c>
      <c r="C374" t="s">
        <v>14</v>
      </c>
      <c r="D374" t="s">
        <v>27</v>
      </c>
      <c r="E374" t="s">
        <v>69</v>
      </c>
      <c r="F374" t="s">
        <v>72</v>
      </c>
      <c r="G374">
        <v>2</v>
      </c>
      <c r="H374">
        <v>46.56</v>
      </c>
      <c r="I374">
        <v>15</v>
      </c>
      <c r="J374" t="s">
        <v>73</v>
      </c>
      <c r="K374" t="s">
        <v>77</v>
      </c>
      <c r="L374">
        <v>93.12</v>
      </c>
      <c r="M374">
        <v>13.968</v>
      </c>
      <c r="N374">
        <v>79.152000000000001</v>
      </c>
      <c r="O3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4" s="9" t="str">
        <f ca="1">IF(OR(ISNUMBER(Table1[[#This Row],[Order_Date]])=FALSE,Table1[[#This Row],[Order_Date]]&lt;DATE(2000,1,1),Table1[[#This Row],[Order_Date]]&gt;TODAY()),"YES","NO")</f>
        <v>NO</v>
      </c>
    </row>
    <row r="375" spans="1:16" x14ac:dyDescent="0.3">
      <c r="A375">
        <v>100370</v>
      </c>
      <c r="B375" s="8">
        <v>45307.375</v>
      </c>
      <c r="C375" t="s">
        <v>14</v>
      </c>
      <c r="D375" t="s">
        <v>54</v>
      </c>
      <c r="E375" t="s">
        <v>69</v>
      </c>
      <c r="F375" t="s">
        <v>71</v>
      </c>
      <c r="G375">
        <v>4</v>
      </c>
      <c r="H375">
        <v>103.88</v>
      </c>
      <c r="I375">
        <v>0</v>
      </c>
      <c r="J375" t="s">
        <v>76</v>
      </c>
      <c r="K375" t="s">
        <v>77</v>
      </c>
      <c r="L375">
        <v>415.52</v>
      </c>
      <c r="M375">
        <v>0</v>
      </c>
      <c r="N375">
        <v>415.52</v>
      </c>
      <c r="O3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5" s="9" t="str">
        <f ca="1">IF(OR(ISNUMBER(Table1[[#This Row],[Order_Date]])=FALSE,Table1[[#This Row],[Order_Date]]&lt;DATE(2000,1,1),Table1[[#This Row],[Order_Date]]&gt;TODAY()),"YES","NO")</f>
        <v>NO</v>
      </c>
    </row>
    <row r="376" spans="1:16" x14ac:dyDescent="0.3">
      <c r="A376">
        <v>100371</v>
      </c>
      <c r="B376" s="8">
        <v>45307.416666666657</v>
      </c>
      <c r="C376" t="s">
        <v>15</v>
      </c>
      <c r="D376" t="s">
        <v>55</v>
      </c>
      <c r="E376" t="s">
        <v>66</v>
      </c>
      <c r="F376" t="s">
        <v>71</v>
      </c>
      <c r="G376">
        <v>5</v>
      </c>
      <c r="H376">
        <v>51.78</v>
      </c>
      <c r="I376">
        <v>0</v>
      </c>
      <c r="J376" t="s">
        <v>73</v>
      </c>
      <c r="K376" t="s">
        <v>77</v>
      </c>
      <c r="L376">
        <v>258.89999999999998</v>
      </c>
      <c r="M376">
        <v>0</v>
      </c>
      <c r="N376">
        <v>258.89999999999998</v>
      </c>
      <c r="O3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6" s="9" t="str">
        <f ca="1">IF(OR(ISNUMBER(Table1[[#This Row],[Order_Date]])=FALSE,Table1[[#This Row],[Order_Date]]&lt;DATE(2000,1,1),Table1[[#This Row],[Order_Date]]&gt;TODAY()),"YES","NO")</f>
        <v>NO</v>
      </c>
    </row>
    <row r="377" spans="1:16" x14ac:dyDescent="0.3">
      <c r="A377">
        <v>100372</v>
      </c>
      <c r="B377" s="8">
        <v>45307.458333333343</v>
      </c>
      <c r="C377" t="s">
        <v>15</v>
      </c>
      <c r="D377" t="s">
        <v>56</v>
      </c>
      <c r="E377" t="s">
        <v>69</v>
      </c>
      <c r="F377" t="s">
        <v>71</v>
      </c>
      <c r="G377">
        <v>4</v>
      </c>
      <c r="H377">
        <v>42.75</v>
      </c>
      <c r="I377">
        <v>15</v>
      </c>
      <c r="J377" t="s">
        <v>73</v>
      </c>
      <c r="K377" t="s">
        <v>77</v>
      </c>
      <c r="L377">
        <v>171</v>
      </c>
      <c r="M377">
        <v>25.65</v>
      </c>
      <c r="N377">
        <v>145.35</v>
      </c>
      <c r="O3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7" s="9" t="str">
        <f ca="1">IF(OR(ISNUMBER(Table1[[#This Row],[Order_Date]])=FALSE,Table1[[#This Row],[Order_Date]]&lt;DATE(2000,1,1),Table1[[#This Row],[Order_Date]]&gt;TODAY()),"YES","NO")</f>
        <v>NO</v>
      </c>
    </row>
    <row r="378" spans="1:16" x14ac:dyDescent="0.3">
      <c r="A378">
        <v>100373</v>
      </c>
      <c r="B378" s="8">
        <v>45307.5</v>
      </c>
      <c r="C378" t="s">
        <v>15</v>
      </c>
      <c r="D378" t="s">
        <v>54</v>
      </c>
      <c r="E378" t="s">
        <v>70</v>
      </c>
      <c r="F378" t="s">
        <v>71</v>
      </c>
      <c r="G378">
        <v>4</v>
      </c>
      <c r="H378">
        <v>57.21</v>
      </c>
      <c r="I378">
        <v>5</v>
      </c>
      <c r="J378" t="s">
        <v>75</v>
      </c>
      <c r="K378" t="s">
        <v>77</v>
      </c>
      <c r="L378">
        <v>228.84</v>
      </c>
      <c r="M378">
        <v>11.442</v>
      </c>
      <c r="N378">
        <v>217.398</v>
      </c>
      <c r="O3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8" s="9" t="str">
        <f ca="1">IF(OR(ISNUMBER(Table1[[#This Row],[Order_Date]])=FALSE,Table1[[#This Row],[Order_Date]]&lt;DATE(2000,1,1),Table1[[#This Row],[Order_Date]]&gt;TODAY()),"YES","NO")</f>
        <v>NO</v>
      </c>
    </row>
    <row r="379" spans="1:16" x14ac:dyDescent="0.3">
      <c r="A379">
        <v>100374</v>
      </c>
      <c r="B379" s="8">
        <v>45307.541666666657</v>
      </c>
      <c r="C379" t="s">
        <v>15</v>
      </c>
      <c r="D379" t="s">
        <v>52</v>
      </c>
      <c r="E379" t="s">
        <v>70</v>
      </c>
      <c r="F379" t="s">
        <v>71</v>
      </c>
      <c r="G379">
        <v>2</v>
      </c>
      <c r="H379">
        <v>92.68</v>
      </c>
      <c r="I379">
        <v>5</v>
      </c>
      <c r="J379" t="s">
        <v>76</v>
      </c>
      <c r="K379" t="s">
        <v>77</v>
      </c>
      <c r="L379">
        <v>185.36</v>
      </c>
      <c r="M379">
        <v>9.2680000000000007</v>
      </c>
      <c r="N379">
        <v>176.09200000000001</v>
      </c>
      <c r="O3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79" s="9" t="str">
        <f ca="1">IF(OR(ISNUMBER(Table1[[#This Row],[Order_Date]])=FALSE,Table1[[#This Row],[Order_Date]]&lt;DATE(2000,1,1),Table1[[#This Row],[Order_Date]]&gt;TODAY()),"YES","NO")</f>
        <v>NO</v>
      </c>
    </row>
    <row r="380" spans="1:16" x14ac:dyDescent="0.3">
      <c r="A380">
        <v>100375</v>
      </c>
      <c r="B380" s="8">
        <v>45307.583333333343</v>
      </c>
      <c r="C380" t="s">
        <v>14</v>
      </c>
      <c r="D380" t="s">
        <v>37</v>
      </c>
      <c r="E380" t="s">
        <v>69</v>
      </c>
      <c r="F380" t="s">
        <v>71</v>
      </c>
      <c r="G380">
        <v>4</v>
      </c>
      <c r="H380">
        <v>19.489999999999998</v>
      </c>
      <c r="I380">
        <v>15</v>
      </c>
      <c r="J380" t="s">
        <v>73</v>
      </c>
      <c r="K380" t="s">
        <v>78</v>
      </c>
      <c r="L380">
        <v>77.959999999999994</v>
      </c>
      <c r="M380">
        <v>11.694000000000001</v>
      </c>
      <c r="N380">
        <v>66.265999999999991</v>
      </c>
      <c r="O3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80" s="9" t="str">
        <f ca="1">IF(OR(ISNUMBER(Table1[[#This Row],[Order_Date]])=FALSE,Table1[[#This Row],[Order_Date]]&lt;DATE(2000,1,1),Table1[[#This Row],[Order_Date]]&gt;TODAY()),"YES","NO")</f>
        <v>NO</v>
      </c>
    </row>
    <row r="381" spans="1:16" x14ac:dyDescent="0.3">
      <c r="A381">
        <v>100376</v>
      </c>
      <c r="B381" s="8">
        <v>45307.625</v>
      </c>
      <c r="C381" t="s">
        <v>15</v>
      </c>
      <c r="D381" t="s">
        <v>47</v>
      </c>
      <c r="E381" t="s">
        <v>70</v>
      </c>
      <c r="F381" t="s">
        <v>72</v>
      </c>
      <c r="G381">
        <v>2</v>
      </c>
      <c r="H381">
        <v>27.59</v>
      </c>
      <c r="I381">
        <v>5</v>
      </c>
      <c r="J381" t="s">
        <v>76</v>
      </c>
      <c r="K381" t="s">
        <v>77</v>
      </c>
      <c r="L381">
        <v>55.18</v>
      </c>
      <c r="M381">
        <v>2.7589999999999999</v>
      </c>
      <c r="N381">
        <v>52.420999999999999</v>
      </c>
      <c r="O3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1" s="9" t="str">
        <f ca="1">IF(OR(ISNUMBER(Table1[[#This Row],[Order_Date]])=FALSE,Table1[[#This Row],[Order_Date]]&lt;DATE(2000,1,1),Table1[[#This Row],[Order_Date]]&gt;TODAY()),"YES","NO")</f>
        <v>NO</v>
      </c>
    </row>
    <row r="382" spans="1:16" x14ac:dyDescent="0.3">
      <c r="A382">
        <v>100377</v>
      </c>
      <c r="B382" s="8">
        <v>45307.666666666657</v>
      </c>
      <c r="C382" t="s">
        <v>15</v>
      </c>
      <c r="D382" t="s">
        <v>18</v>
      </c>
      <c r="E382" t="s">
        <v>66</v>
      </c>
      <c r="F382" t="s">
        <v>71</v>
      </c>
      <c r="G382">
        <v>1</v>
      </c>
      <c r="H382">
        <v>114.42</v>
      </c>
      <c r="I382">
        <v>0</v>
      </c>
      <c r="J382" t="s">
        <v>75</v>
      </c>
      <c r="K382" t="s">
        <v>77</v>
      </c>
      <c r="L382">
        <v>114.42</v>
      </c>
      <c r="M382">
        <v>0</v>
      </c>
      <c r="N382">
        <v>114.42</v>
      </c>
      <c r="O3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2" s="9" t="str">
        <f ca="1">IF(OR(ISNUMBER(Table1[[#This Row],[Order_Date]])=FALSE,Table1[[#This Row],[Order_Date]]&lt;DATE(2000,1,1),Table1[[#This Row],[Order_Date]]&gt;TODAY()),"YES","NO")</f>
        <v>NO</v>
      </c>
    </row>
    <row r="383" spans="1:16" x14ac:dyDescent="0.3">
      <c r="A383">
        <v>100378</v>
      </c>
      <c r="B383" s="8">
        <v>45307.708333333343</v>
      </c>
      <c r="C383" t="s">
        <v>14</v>
      </c>
      <c r="D383" t="s">
        <v>49</v>
      </c>
      <c r="E383" t="s">
        <v>67</v>
      </c>
      <c r="F383" t="s">
        <v>72</v>
      </c>
      <c r="G383">
        <v>5</v>
      </c>
      <c r="H383">
        <v>25.18</v>
      </c>
      <c r="I383">
        <v>15</v>
      </c>
      <c r="J383" t="s">
        <v>76</v>
      </c>
      <c r="K383" t="s">
        <v>77</v>
      </c>
      <c r="L383">
        <v>125.9</v>
      </c>
      <c r="M383">
        <v>18.885000000000002</v>
      </c>
      <c r="N383">
        <v>107.015</v>
      </c>
      <c r="O3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3" s="9" t="str">
        <f ca="1">IF(OR(ISNUMBER(Table1[[#This Row],[Order_Date]])=FALSE,Table1[[#This Row],[Order_Date]]&lt;DATE(2000,1,1),Table1[[#This Row],[Order_Date]]&gt;TODAY()),"YES","NO")</f>
        <v>NO</v>
      </c>
    </row>
    <row r="384" spans="1:16" x14ac:dyDescent="0.3">
      <c r="A384">
        <v>100379</v>
      </c>
      <c r="B384" s="8">
        <v>45307.75</v>
      </c>
      <c r="C384" t="s">
        <v>15</v>
      </c>
      <c r="D384" t="s">
        <v>59</v>
      </c>
      <c r="E384" t="s">
        <v>66</v>
      </c>
      <c r="F384" t="s">
        <v>72</v>
      </c>
      <c r="G384">
        <v>4</v>
      </c>
      <c r="H384">
        <v>70.290000000000006</v>
      </c>
      <c r="I384">
        <v>0</v>
      </c>
      <c r="J384" t="s">
        <v>73</v>
      </c>
      <c r="K384" t="s">
        <v>77</v>
      </c>
      <c r="L384">
        <v>281.16000000000003</v>
      </c>
      <c r="M384">
        <v>0</v>
      </c>
      <c r="N384">
        <v>281.16000000000003</v>
      </c>
      <c r="O3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4" s="9" t="str">
        <f ca="1">IF(OR(ISNUMBER(Table1[[#This Row],[Order_Date]])=FALSE,Table1[[#This Row],[Order_Date]]&lt;DATE(2000,1,1),Table1[[#This Row],[Order_Date]]&gt;TODAY()),"YES","NO")</f>
        <v>NO</v>
      </c>
    </row>
    <row r="385" spans="1:16" x14ac:dyDescent="0.3">
      <c r="A385">
        <v>100380</v>
      </c>
      <c r="B385" s="8">
        <v>45307.791666666657</v>
      </c>
      <c r="C385" t="s">
        <v>14</v>
      </c>
      <c r="D385" t="s">
        <v>18</v>
      </c>
      <c r="E385" t="s">
        <v>66</v>
      </c>
      <c r="F385" t="s">
        <v>72</v>
      </c>
      <c r="G385">
        <v>2</v>
      </c>
      <c r="H385">
        <v>71.62</v>
      </c>
      <c r="I385">
        <v>10</v>
      </c>
      <c r="J385" t="s">
        <v>76</v>
      </c>
      <c r="K385" t="s">
        <v>79</v>
      </c>
      <c r="L385">
        <v>143.24</v>
      </c>
      <c r="M385">
        <v>14.324</v>
      </c>
      <c r="N385">
        <v>128.916</v>
      </c>
      <c r="O3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85" s="9" t="str">
        <f ca="1">IF(OR(ISNUMBER(Table1[[#This Row],[Order_Date]])=FALSE,Table1[[#This Row],[Order_Date]]&lt;DATE(2000,1,1),Table1[[#This Row],[Order_Date]]&gt;TODAY()),"YES","NO")</f>
        <v>NO</v>
      </c>
    </row>
    <row r="386" spans="1:16" x14ac:dyDescent="0.3">
      <c r="A386">
        <v>100381</v>
      </c>
      <c r="B386" s="8">
        <v>45307.833333333343</v>
      </c>
      <c r="C386" t="s">
        <v>15</v>
      </c>
      <c r="D386" t="s">
        <v>30</v>
      </c>
      <c r="E386" t="s">
        <v>70</v>
      </c>
      <c r="F386" t="s">
        <v>72</v>
      </c>
      <c r="G386">
        <v>3</v>
      </c>
      <c r="H386">
        <v>61.31</v>
      </c>
      <c r="I386">
        <v>10</v>
      </c>
      <c r="J386" t="s">
        <v>73</v>
      </c>
      <c r="K386" t="s">
        <v>77</v>
      </c>
      <c r="L386">
        <v>183.93</v>
      </c>
      <c r="M386">
        <v>18.393000000000001</v>
      </c>
      <c r="N386">
        <v>165.53700000000001</v>
      </c>
      <c r="O3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6" s="9" t="str">
        <f ca="1">IF(OR(ISNUMBER(Table1[[#This Row],[Order_Date]])=FALSE,Table1[[#This Row],[Order_Date]]&lt;DATE(2000,1,1),Table1[[#This Row],[Order_Date]]&gt;TODAY()),"YES","NO")</f>
        <v>NO</v>
      </c>
    </row>
    <row r="387" spans="1:16" x14ac:dyDescent="0.3">
      <c r="A387">
        <v>100382</v>
      </c>
      <c r="B387" s="8">
        <v>45307.875</v>
      </c>
      <c r="C387" t="s">
        <v>15</v>
      </c>
      <c r="D387" t="s">
        <v>16</v>
      </c>
      <c r="E387" t="s">
        <v>67</v>
      </c>
      <c r="F387" t="s">
        <v>72</v>
      </c>
      <c r="G387">
        <v>4</v>
      </c>
      <c r="H387">
        <v>79.150000000000006</v>
      </c>
      <c r="I387">
        <v>5</v>
      </c>
      <c r="J387" t="s">
        <v>73</v>
      </c>
      <c r="K387" t="s">
        <v>77</v>
      </c>
      <c r="L387">
        <v>316.60000000000002</v>
      </c>
      <c r="M387">
        <v>15.83</v>
      </c>
      <c r="N387">
        <v>300.77</v>
      </c>
      <c r="O3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7" s="9" t="str">
        <f ca="1">IF(OR(ISNUMBER(Table1[[#This Row],[Order_Date]])=FALSE,Table1[[#This Row],[Order_Date]]&lt;DATE(2000,1,1),Table1[[#This Row],[Order_Date]]&gt;TODAY()),"YES","NO")</f>
        <v>NO</v>
      </c>
    </row>
    <row r="388" spans="1:16" x14ac:dyDescent="0.3">
      <c r="A388">
        <v>100383</v>
      </c>
      <c r="B388" s="8">
        <v>45307.916666666657</v>
      </c>
      <c r="C388" t="s">
        <v>15</v>
      </c>
      <c r="D388" t="s">
        <v>18</v>
      </c>
      <c r="E388" t="s">
        <v>70</v>
      </c>
      <c r="F388" t="s">
        <v>71</v>
      </c>
      <c r="G388">
        <v>1</v>
      </c>
      <c r="H388">
        <v>31.43</v>
      </c>
      <c r="I388">
        <v>10</v>
      </c>
      <c r="J388" t="s">
        <v>73</v>
      </c>
      <c r="K388" t="s">
        <v>77</v>
      </c>
      <c r="L388">
        <v>31.43</v>
      </c>
      <c r="M388">
        <v>3.1429999999999998</v>
      </c>
      <c r="N388">
        <v>28.286999999999999</v>
      </c>
      <c r="O3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8" s="9" t="str">
        <f ca="1">IF(OR(ISNUMBER(Table1[[#This Row],[Order_Date]])=FALSE,Table1[[#This Row],[Order_Date]]&lt;DATE(2000,1,1),Table1[[#This Row],[Order_Date]]&gt;TODAY()),"YES","NO")</f>
        <v>NO</v>
      </c>
    </row>
    <row r="389" spans="1:16" x14ac:dyDescent="0.3">
      <c r="A389">
        <v>100384</v>
      </c>
      <c r="B389" s="8">
        <v>45307.958333333343</v>
      </c>
      <c r="C389" t="s">
        <v>14</v>
      </c>
      <c r="D389" t="s">
        <v>29</v>
      </c>
      <c r="E389" t="s">
        <v>68</v>
      </c>
      <c r="F389" t="s">
        <v>71</v>
      </c>
      <c r="G389">
        <v>1</v>
      </c>
      <c r="H389">
        <v>68.56</v>
      </c>
      <c r="I389">
        <v>0</v>
      </c>
      <c r="J389" t="s">
        <v>75</v>
      </c>
      <c r="K389" t="s">
        <v>77</v>
      </c>
      <c r="L389">
        <v>68.56</v>
      </c>
      <c r="M389">
        <v>0</v>
      </c>
      <c r="N389">
        <v>68.56</v>
      </c>
      <c r="O3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89" s="9" t="str">
        <f ca="1">IF(OR(ISNUMBER(Table1[[#This Row],[Order_Date]])=FALSE,Table1[[#This Row],[Order_Date]]&lt;DATE(2000,1,1),Table1[[#This Row],[Order_Date]]&gt;TODAY()),"YES","NO")</f>
        <v>NO</v>
      </c>
    </row>
    <row r="390" spans="1:16" x14ac:dyDescent="0.3">
      <c r="A390">
        <v>100385</v>
      </c>
      <c r="B390" s="8">
        <v>45308</v>
      </c>
      <c r="C390" t="s">
        <v>14</v>
      </c>
      <c r="D390" t="s">
        <v>31</v>
      </c>
      <c r="E390" t="s">
        <v>70</v>
      </c>
      <c r="F390" t="s">
        <v>71</v>
      </c>
      <c r="G390">
        <v>3</v>
      </c>
      <c r="H390">
        <v>47.8</v>
      </c>
      <c r="I390">
        <v>10</v>
      </c>
      <c r="J390" t="s">
        <v>76</v>
      </c>
      <c r="K390" t="s">
        <v>77</v>
      </c>
      <c r="L390">
        <v>143.4</v>
      </c>
      <c r="M390">
        <v>14.34</v>
      </c>
      <c r="N390">
        <v>129.06</v>
      </c>
      <c r="O3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0" s="9" t="str">
        <f ca="1">IF(OR(ISNUMBER(Table1[[#This Row],[Order_Date]])=FALSE,Table1[[#This Row],[Order_Date]]&lt;DATE(2000,1,1),Table1[[#This Row],[Order_Date]]&gt;TODAY()),"YES","NO")</f>
        <v>NO</v>
      </c>
    </row>
    <row r="391" spans="1:16" x14ac:dyDescent="0.3">
      <c r="A391">
        <v>100386</v>
      </c>
      <c r="B391" s="8">
        <v>45308.041666666657</v>
      </c>
      <c r="C391" t="s">
        <v>15</v>
      </c>
      <c r="D391" t="s">
        <v>52</v>
      </c>
      <c r="E391" t="s">
        <v>70</v>
      </c>
      <c r="F391" t="s">
        <v>72</v>
      </c>
      <c r="G391">
        <v>2</v>
      </c>
      <c r="H391">
        <v>81.09</v>
      </c>
      <c r="I391">
        <v>0</v>
      </c>
      <c r="J391" t="s">
        <v>75</v>
      </c>
      <c r="K391" t="s">
        <v>77</v>
      </c>
      <c r="L391">
        <v>162.18</v>
      </c>
      <c r="M391">
        <v>0</v>
      </c>
      <c r="N391">
        <v>162.18</v>
      </c>
      <c r="O3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1" s="9" t="str">
        <f ca="1">IF(OR(ISNUMBER(Table1[[#This Row],[Order_Date]])=FALSE,Table1[[#This Row],[Order_Date]]&lt;DATE(2000,1,1),Table1[[#This Row],[Order_Date]]&gt;TODAY()),"YES","NO")</f>
        <v>NO</v>
      </c>
    </row>
    <row r="392" spans="1:16" x14ac:dyDescent="0.3">
      <c r="A392">
        <v>100387</v>
      </c>
      <c r="B392" s="8">
        <v>45308.083333333343</v>
      </c>
      <c r="C392" t="s">
        <v>14</v>
      </c>
      <c r="D392" t="s">
        <v>54</v>
      </c>
      <c r="E392" t="s">
        <v>70</v>
      </c>
      <c r="F392" t="s">
        <v>71</v>
      </c>
      <c r="G392">
        <v>4</v>
      </c>
      <c r="H392">
        <v>21.24</v>
      </c>
      <c r="I392">
        <v>5</v>
      </c>
      <c r="J392" t="s">
        <v>76</v>
      </c>
      <c r="K392" t="s">
        <v>77</v>
      </c>
      <c r="L392">
        <v>84.96</v>
      </c>
      <c r="M392">
        <v>4.2480000000000002</v>
      </c>
      <c r="N392">
        <v>80.711999999999989</v>
      </c>
      <c r="O3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2" s="9" t="str">
        <f ca="1">IF(OR(ISNUMBER(Table1[[#This Row],[Order_Date]])=FALSE,Table1[[#This Row],[Order_Date]]&lt;DATE(2000,1,1),Table1[[#This Row],[Order_Date]]&gt;TODAY()),"YES","NO")</f>
        <v>NO</v>
      </c>
    </row>
    <row r="393" spans="1:16" x14ac:dyDescent="0.3">
      <c r="A393">
        <v>100388</v>
      </c>
      <c r="B393" s="8">
        <v>45308.125</v>
      </c>
      <c r="C393" t="s">
        <v>14</v>
      </c>
      <c r="D393" t="s">
        <v>54</v>
      </c>
      <c r="E393" t="s">
        <v>67</v>
      </c>
      <c r="F393" t="s">
        <v>71</v>
      </c>
      <c r="G393">
        <v>2</v>
      </c>
      <c r="H393">
        <v>70.650000000000006</v>
      </c>
      <c r="I393">
        <v>5</v>
      </c>
      <c r="J393" t="s">
        <v>75</v>
      </c>
      <c r="K393" t="s">
        <v>77</v>
      </c>
      <c r="L393">
        <v>141.30000000000001</v>
      </c>
      <c r="M393">
        <v>7.0650000000000013</v>
      </c>
      <c r="N393">
        <v>134.23500000000001</v>
      </c>
      <c r="O3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3" s="9" t="str">
        <f ca="1">IF(OR(ISNUMBER(Table1[[#This Row],[Order_Date]])=FALSE,Table1[[#This Row],[Order_Date]]&lt;DATE(2000,1,1),Table1[[#This Row],[Order_Date]]&gt;TODAY()),"YES","NO")</f>
        <v>NO</v>
      </c>
    </row>
    <row r="394" spans="1:16" x14ac:dyDescent="0.3">
      <c r="A394">
        <v>100389</v>
      </c>
      <c r="B394" s="8">
        <v>45308.166666666657</v>
      </c>
      <c r="C394" t="s">
        <v>14</v>
      </c>
      <c r="D394" t="s">
        <v>56</v>
      </c>
      <c r="E394" t="s">
        <v>70</v>
      </c>
      <c r="F394" t="s">
        <v>71</v>
      </c>
      <c r="G394">
        <v>1</v>
      </c>
      <c r="H394">
        <v>26.31</v>
      </c>
      <c r="I394">
        <v>0</v>
      </c>
      <c r="J394" t="s">
        <v>74</v>
      </c>
      <c r="K394" t="s">
        <v>77</v>
      </c>
      <c r="L394">
        <v>26.31</v>
      </c>
      <c r="M394">
        <v>0</v>
      </c>
      <c r="N394">
        <v>26.31</v>
      </c>
      <c r="O3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4" s="9" t="str">
        <f ca="1">IF(OR(ISNUMBER(Table1[[#This Row],[Order_Date]])=FALSE,Table1[[#This Row],[Order_Date]]&lt;DATE(2000,1,1),Table1[[#This Row],[Order_Date]]&gt;TODAY()),"YES","NO")</f>
        <v>NO</v>
      </c>
    </row>
    <row r="395" spans="1:16" x14ac:dyDescent="0.3">
      <c r="A395">
        <v>100390</v>
      </c>
      <c r="B395" s="8">
        <v>45308.208333333343</v>
      </c>
      <c r="C395" t="s">
        <v>14</v>
      </c>
      <c r="D395" t="s">
        <v>26</v>
      </c>
      <c r="E395" t="s">
        <v>67</v>
      </c>
      <c r="F395" t="s">
        <v>71</v>
      </c>
      <c r="G395">
        <v>2</v>
      </c>
      <c r="H395">
        <v>37.04</v>
      </c>
      <c r="I395">
        <v>10</v>
      </c>
      <c r="J395" t="s">
        <v>73</v>
      </c>
      <c r="K395" t="s">
        <v>77</v>
      </c>
      <c r="L395">
        <v>74.08</v>
      </c>
      <c r="M395">
        <v>7.4080000000000004</v>
      </c>
      <c r="N395">
        <v>66.671999999999997</v>
      </c>
      <c r="O3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5" s="9" t="str">
        <f ca="1">IF(OR(ISNUMBER(Table1[[#This Row],[Order_Date]])=FALSE,Table1[[#This Row],[Order_Date]]&lt;DATE(2000,1,1),Table1[[#This Row],[Order_Date]]&gt;TODAY()),"YES","NO")</f>
        <v>NO</v>
      </c>
    </row>
    <row r="396" spans="1:16" x14ac:dyDescent="0.3">
      <c r="A396">
        <v>100391</v>
      </c>
      <c r="B396" s="8">
        <v>45308.25</v>
      </c>
      <c r="C396" t="s">
        <v>14</v>
      </c>
      <c r="D396" t="s">
        <v>26</v>
      </c>
      <c r="E396" t="s">
        <v>69</v>
      </c>
      <c r="F396" t="s">
        <v>71</v>
      </c>
      <c r="G396">
        <v>1</v>
      </c>
      <c r="H396">
        <v>30.15</v>
      </c>
      <c r="I396">
        <v>5</v>
      </c>
      <c r="J396" t="s">
        <v>73</v>
      </c>
      <c r="K396" t="s">
        <v>77</v>
      </c>
      <c r="L396">
        <v>30.15</v>
      </c>
      <c r="M396">
        <v>1.5075000000000001</v>
      </c>
      <c r="N396">
        <v>28.642499999999998</v>
      </c>
      <c r="O3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6" s="9" t="str">
        <f ca="1">IF(OR(ISNUMBER(Table1[[#This Row],[Order_Date]])=FALSE,Table1[[#This Row],[Order_Date]]&lt;DATE(2000,1,1),Table1[[#This Row],[Order_Date]]&gt;TODAY()),"YES","NO")</f>
        <v>NO</v>
      </c>
    </row>
    <row r="397" spans="1:16" x14ac:dyDescent="0.3">
      <c r="A397">
        <v>100392</v>
      </c>
      <c r="B397" s="8">
        <v>45308.291666666657</v>
      </c>
      <c r="C397" t="s">
        <v>14</v>
      </c>
      <c r="D397" t="s">
        <v>48</v>
      </c>
      <c r="E397" t="s">
        <v>68</v>
      </c>
      <c r="F397" t="s">
        <v>72</v>
      </c>
      <c r="G397">
        <v>2</v>
      </c>
      <c r="H397">
        <v>26.03</v>
      </c>
      <c r="I397">
        <v>15</v>
      </c>
      <c r="J397" t="s">
        <v>75</v>
      </c>
      <c r="K397" t="s">
        <v>77</v>
      </c>
      <c r="L397">
        <v>52.06</v>
      </c>
      <c r="M397">
        <v>7.8090000000000002</v>
      </c>
      <c r="N397">
        <v>44.250999999999998</v>
      </c>
      <c r="O3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397" s="9" t="str">
        <f ca="1">IF(OR(ISNUMBER(Table1[[#This Row],[Order_Date]])=FALSE,Table1[[#This Row],[Order_Date]]&lt;DATE(2000,1,1),Table1[[#This Row],[Order_Date]]&gt;TODAY()),"YES","NO")</f>
        <v>NO</v>
      </c>
    </row>
    <row r="398" spans="1:16" x14ac:dyDescent="0.3">
      <c r="A398">
        <v>100393</v>
      </c>
      <c r="B398" s="8">
        <v>45308.333333333343</v>
      </c>
      <c r="C398" t="s">
        <v>15</v>
      </c>
      <c r="D398" t="s">
        <v>65</v>
      </c>
      <c r="E398" t="s">
        <v>67</v>
      </c>
      <c r="F398" t="s">
        <v>71</v>
      </c>
      <c r="G398">
        <v>3</v>
      </c>
      <c r="H398">
        <v>99.96</v>
      </c>
      <c r="I398">
        <v>5</v>
      </c>
      <c r="J398" t="s">
        <v>74</v>
      </c>
      <c r="K398" t="s">
        <v>78</v>
      </c>
      <c r="L398">
        <v>299.88</v>
      </c>
      <c r="M398">
        <v>14.994</v>
      </c>
      <c r="N398">
        <v>284.88600000000002</v>
      </c>
      <c r="O3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98" s="9" t="str">
        <f ca="1">IF(OR(ISNUMBER(Table1[[#This Row],[Order_Date]])=FALSE,Table1[[#This Row],[Order_Date]]&lt;DATE(2000,1,1),Table1[[#This Row],[Order_Date]]&gt;TODAY()),"YES","NO")</f>
        <v>NO</v>
      </c>
    </row>
    <row r="399" spans="1:16" x14ac:dyDescent="0.3">
      <c r="A399">
        <v>100394</v>
      </c>
      <c r="B399" s="8">
        <v>45308.375</v>
      </c>
      <c r="C399" t="s">
        <v>15</v>
      </c>
      <c r="D399" t="s">
        <v>55</v>
      </c>
      <c r="E399" t="s">
        <v>69</v>
      </c>
      <c r="F399" t="s">
        <v>72</v>
      </c>
      <c r="G399">
        <v>5</v>
      </c>
      <c r="H399">
        <v>37.86</v>
      </c>
      <c r="I399">
        <v>10</v>
      </c>
      <c r="J399" t="s">
        <v>73</v>
      </c>
      <c r="K399" t="s">
        <v>78</v>
      </c>
      <c r="L399">
        <v>189.3</v>
      </c>
      <c r="M399">
        <v>18.93</v>
      </c>
      <c r="N399">
        <v>170.37</v>
      </c>
      <c r="O3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399" s="9" t="str">
        <f ca="1">IF(OR(ISNUMBER(Table1[[#This Row],[Order_Date]])=FALSE,Table1[[#This Row],[Order_Date]]&lt;DATE(2000,1,1),Table1[[#This Row],[Order_Date]]&gt;TODAY()),"YES","NO")</f>
        <v>NO</v>
      </c>
    </row>
    <row r="400" spans="1:16" x14ac:dyDescent="0.3">
      <c r="A400">
        <v>100395</v>
      </c>
      <c r="B400" s="8">
        <v>45308.416666666657</v>
      </c>
      <c r="C400" t="s">
        <v>14</v>
      </c>
      <c r="D400" t="s">
        <v>61</v>
      </c>
      <c r="E400" t="s">
        <v>67</v>
      </c>
      <c r="F400" t="s">
        <v>72</v>
      </c>
      <c r="G400">
        <v>3</v>
      </c>
      <c r="H400">
        <v>111.62</v>
      </c>
      <c r="I400">
        <v>15</v>
      </c>
      <c r="J400" t="s">
        <v>76</v>
      </c>
      <c r="K400" t="s">
        <v>77</v>
      </c>
      <c r="L400">
        <v>334.86</v>
      </c>
      <c r="M400">
        <v>50.228999999999999</v>
      </c>
      <c r="N400">
        <v>284.63099999999997</v>
      </c>
      <c r="O4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0" s="9" t="str">
        <f ca="1">IF(OR(ISNUMBER(Table1[[#This Row],[Order_Date]])=FALSE,Table1[[#This Row],[Order_Date]]&lt;DATE(2000,1,1),Table1[[#This Row],[Order_Date]]&gt;TODAY()),"YES","NO")</f>
        <v>NO</v>
      </c>
    </row>
    <row r="401" spans="1:16" x14ac:dyDescent="0.3">
      <c r="A401">
        <v>100396</v>
      </c>
      <c r="B401" s="8">
        <v>45308.458333333343</v>
      </c>
      <c r="C401" t="s">
        <v>15</v>
      </c>
      <c r="D401" t="s">
        <v>59</v>
      </c>
      <c r="E401" t="s">
        <v>67</v>
      </c>
      <c r="F401" t="s">
        <v>72</v>
      </c>
      <c r="G401">
        <v>3</v>
      </c>
      <c r="H401">
        <v>116.54</v>
      </c>
      <c r="I401">
        <v>10</v>
      </c>
      <c r="J401" t="s">
        <v>75</v>
      </c>
      <c r="K401" t="s">
        <v>77</v>
      </c>
      <c r="L401">
        <v>349.62</v>
      </c>
      <c r="M401">
        <v>34.962000000000003</v>
      </c>
      <c r="N401">
        <v>314.65800000000002</v>
      </c>
      <c r="O4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1" s="9" t="str">
        <f ca="1">IF(OR(ISNUMBER(Table1[[#This Row],[Order_Date]])=FALSE,Table1[[#This Row],[Order_Date]]&lt;DATE(2000,1,1),Table1[[#This Row],[Order_Date]]&gt;TODAY()),"YES","NO")</f>
        <v>NO</v>
      </c>
    </row>
    <row r="402" spans="1:16" x14ac:dyDescent="0.3">
      <c r="A402">
        <v>100397</v>
      </c>
      <c r="B402" s="8">
        <v>45308.5</v>
      </c>
      <c r="C402" t="s">
        <v>15</v>
      </c>
      <c r="D402" t="s">
        <v>29</v>
      </c>
      <c r="E402" t="s">
        <v>68</v>
      </c>
      <c r="F402" t="s">
        <v>72</v>
      </c>
      <c r="G402">
        <v>5</v>
      </c>
      <c r="H402">
        <v>70.69</v>
      </c>
      <c r="I402">
        <v>0</v>
      </c>
      <c r="J402" t="s">
        <v>73</v>
      </c>
      <c r="K402" t="s">
        <v>77</v>
      </c>
      <c r="L402">
        <v>353.45</v>
      </c>
      <c r="M402">
        <v>0</v>
      </c>
      <c r="N402">
        <v>353.45</v>
      </c>
      <c r="O4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2" s="9" t="str">
        <f ca="1">IF(OR(ISNUMBER(Table1[[#This Row],[Order_Date]])=FALSE,Table1[[#This Row],[Order_Date]]&lt;DATE(2000,1,1),Table1[[#This Row],[Order_Date]]&gt;TODAY()),"YES","NO")</f>
        <v>NO</v>
      </c>
    </row>
    <row r="403" spans="1:16" x14ac:dyDescent="0.3">
      <c r="A403">
        <v>100398</v>
      </c>
      <c r="B403" s="8">
        <v>45308.541666666657</v>
      </c>
      <c r="C403" t="s">
        <v>15</v>
      </c>
      <c r="D403" t="s">
        <v>23</v>
      </c>
      <c r="E403" t="s">
        <v>66</v>
      </c>
      <c r="F403" t="s">
        <v>72</v>
      </c>
      <c r="G403">
        <v>5</v>
      </c>
      <c r="H403">
        <v>21.45</v>
      </c>
      <c r="I403">
        <v>15</v>
      </c>
      <c r="J403" t="s">
        <v>73</v>
      </c>
      <c r="K403" t="s">
        <v>77</v>
      </c>
      <c r="L403">
        <v>107.25</v>
      </c>
      <c r="M403">
        <v>16.087499999999999</v>
      </c>
      <c r="N403">
        <v>91.162499999999994</v>
      </c>
      <c r="O4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3" s="9" t="str">
        <f ca="1">IF(OR(ISNUMBER(Table1[[#This Row],[Order_Date]])=FALSE,Table1[[#This Row],[Order_Date]]&lt;DATE(2000,1,1),Table1[[#This Row],[Order_Date]]&gt;TODAY()),"YES","NO")</f>
        <v>NO</v>
      </c>
    </row>
    <row r="404" spans="1:16" x14ac:dyDescent="0.3">
      <c r="A404">
        <v>100399</v>
      </c>
      <c r="B404" s="8">
        <v>45308.583333333343</v>
      </c>
      <c r="C404" t="s">
        <v>15</v>
      </c>
      <c r="D404" t="s">
        <v>18</v>
      </c>
      <c r="E404" t="s">
        <v>66</v>
      </c>
      <c r="F404" t="s">
        <v>71</v>
      </c>
      <c r="G404">
        <v>4</v>
      </c>
      <c r="H404">
        <v>48.07</v>
      </c>
      <c r="I404">
        <v>10</v>
      </c>
      <c r="J404" t="s">
        <v>75</v>
      </c>
      <c r="K404" t="s">
        <v>77</v>
      </c>
      <c r="L404">
        <v>192.28</v>
      </c>
      <c r="M404">
        <v>19.228000000000002</v>
      </c>
      <c r="N404">
        <v>173.05199999999999</v>
      </c>
      <c r="O4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4" s="9" t="str">
        <f ca="1">IF(OR(ISNUMBER(Table1[[#This Row],[Order_Date]])=FALSE,Table1[[#This Row],[Order_Date]]&lt;DATE(2000,1,1),Table1[[#This Row],[Order_Date]]&gt;TODAY()),"YES","NO")</f>
        <v>NO</v>
      </c>
    </row>
    <row r="405" spans="1:16" x14ac:dyDescent="0.3">
      <c r="A405">
        <v>100400</v>
      </c>
      <c r="B405" s="8">
        <v>45308.625</v>
      </c>
      <c r="C405" t="s">
        <v>14</v>
      </c>
      <c r="D405" t="s">
        <v>33</v>
      </c>
      <c r="E405" t="s">
        <v>67</v>
      </c>
      <c r="F405" t="s">
        <v>71</v>
      </c>
      <c r="G405">
        <v>4</v>
      </c>
      <c r="H405">
        <v>96.74</v>
      </c>
      <c r="I405">
        <v>15</v>
      </c>
      <c r="J405" t="s">
        <v>75</v>
      </c>
      <c r="K405" t="s">
        <v>77</v>
      </c>
      <c r="L405">
        <v>386.96</v>
      </c>
      <c r="M405">
        <v>58.043999999999997</v>
      </c>
      <c r="N405">
        <v>328.916</v>
      </c>
      <c r="O4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5" s="9" t="str">
        <f ca="1">IF(OR(ISNUMBER(Table1[[#This Row],[Order_Date]])=FALSE,Table1[[#This Row],[Order_Date]]&lt;DATE(2000,1,1),Table1[[#This Row],[Order_Date]]&gt;TODAY()),"YES","NO")</f>
        <v>NO</v>
      </c>
    </row>
    <row r="406" spans="1:16" x14ac:dyDescent="0.3">
      <c r="A406">
        <v>100401</v>
      </c>
      <c r="B406" s="8">
        <v>45308.666666666657</v>
      </c>
      <c r="C406" t="s">
        <v>15</v>
      </c>
      <c r="D406" t="s">
        <v>56</v>
      </c>
      <c r="E406" t="s">
        <v>70</v>
      </c>
      <c r="F406" t="s">
        <v>71</v>
      </c>
      <c r="G406">
        <v>3</v>
      </c>
      <c r="H406">
        <v>47.25</v>
      </c>
      <c r="I406">
        <v>10</v>
      </c>
      <c r="J406" t="s">
        <v>76</v>
      </c>
      <c r="K406" t="s">
        <v>77</v>
      </c>
      <c r="L406">
        <v>141.75</v>
      </c>
      <c r="M406">
        <v>14.175000000000001</v>
      </c>
      <c r="N406">
        <v>127.575</v>
      </c>
      <c r="O4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6" s="9" t="str">
        <f ca="1">IF(OR(ISNUMBER(Table1[[#This Row],[Order_Date]])=FALSE,Table1[[#This Row],[Order_Date]]&lt;DATE(2000,1,1),Table1[[#This Row],[Order_Date]]&gt;TODAY()),"YES","NO")</f>
        <v>NO</v>
      </c>
    </row>
    <row r="407" spans="1:16" x14ac:dyDescent="0.3">
      <c r="A407">
        <v>100402</v>
      </c>
      <c r="B407" s="8">
        <v>45308.708333333343</v>
      </c>
      <c r="C407" t="s">
        <v>15</v>
      </c>
      <c r="D407" t="s">
        <v>43</v>
      </c>
      <c r="E407" t="s">
        <v>69</v>
      </c>
      <c r="F407" t="s">
        <v>72</v>
      </c>
      <c r="G407">
        <v>3</v>
      </c>
      <c r="H407">
        <v>15.01</v>
      </c>
      <c r="I407">
        <v>15</v>
      </c>
      <c r="J407" t="s">
        <v>76</v>
      </c>
      <c r="K407" t="s">
        <v>77</v>
      </c>
      <c r="L407">
        <v>45.03</v>
      </c>
      <c r="M407">
        <v>6.7545000000000002</v>
      </c>
      <c r="N407">
        <v>38.275500000000001</v>
      </c>
      <c r="O4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7" s="9" t="str">
        <f ca="1">IF(OR(ISNUMBER(Table1[[#This Row],[Order_Date]])=FALSE,Table1[[#This Row],[Order_Date]]&lt;DATE(2000,1,1),Table1[[#This Row],[Order_Date]]&gt;TODAY()),"YES","NO")</f>
        <v>NO</v>
      </c>
    </row>
    <row r="408" spans="1:16" x14ac:dyDescent="0.3">
      <c r="A408">
        <v>100403</v>
      </c>
      <c r="B408" s="8">
        <v>45308.75</v>
      </c>
      <c r="C408" t="s">
        <v>14</v>
      </c>
      <c r="D408" t="s">
        <v>64</v>
      </c>
      <c r="E408" t="s">
        <v>70</v>
      </c>
      <c r="F408" t="s">
        <v>71</v>
      </c>
      <c r="G408">
        <v>1</v>
      </c>
      <c r="H408">
        <v>69.03</v>
      </c>
      <c r="I408">
        <v>10</v>
      </c>
      <c r="J408" t="s">
        <v>73</v>
      </c>
      <c r="K408" t="s">
        <v>78</v>
      </c>
      <c r="L408">
        <v>69.03</v>
      </c>
      <c r="M408">
        <v>6.9029999999999996</v>
      </c>
      <c r="N408">
        <v>62.127000000000002</v>
      </c>
      <c r="O4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08" s="9" t="str">
        <f ca="1">IF(OR(ISNUMBER(Table1[[#This Row],[Order_Date]])=FALSE,Table1[[#This Row],[Order_Date]]&lt;DATE(2000,1,1),Table1[[#This Row],[Order_Date]]&gt;TODAY()),"YES","NO")</f>
        <v>NO</v>
      </c>
    </row>
    <row r="409" spans="1:16" x14ac:dyDescent="0.3">
      <c r="A409">
        <v>100404</v>
      </c>
      <c r="B409" s="8">
        <v>45308.791666666657</v>
      </c>
      <c r="C409" t="s">
        <v>14</v>
      </c>
      <c r="D409" t="s">
        <v>23</v>
      </c>
      <c r="E409" t="s">
        <v>70</v>
      </c>
      <c r="F409" t="s">
        <v>71</v>
      </c>
      <c r="G409">
        <v>1</v>
      </c>
      <c r="H409">
        <v>102.19</v>
      </c>
      <c r="I409">
        <v>0</v>
      </c>
      <c r="J409" t="s">
        <v>73</v>
      </c>
      <c r="K409" t="s">
        <v>77</v>
      </c>
      <c r="L409">
        <v>102.19</v>
      </c>
      <c r="M409">
        <v>0</v>
      </c>
      <c r="N409">
        <v>102.19</v>
      </c>
      <c r="O4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09" s="9" t="str">
        <f ca="1">IF(OR(ISNUMBER(Table1[[#This Row],[Order_Date]])=FALSE,Table1[[#This Row],[Order_Date]]&lt;DATE(2000,1,1),Table1[[#This Row],[Order_Date]]&gt;TODAY()),"YES","NO")</f>
        <v>NO</v>
      </c>
    </row>
    <row r="410" spans="1:16" x14ac:dyDescent="0.3">
      <c r="A410">
        <v>100405</v>
      </c>
      <c r="B410" s="8">
        <v>45308.833333333343</v>
      </c>
      <c r="C410" t="s">
        <v>15</v>
      </c>
      <c r="D410" t="s">
        <v>47</v>
      </c>
      <c r="E410" t="s">
        <v>67</v>
      </c>
      <c r="F410" t="s">
        <v>72</v>
      </c>
      <c r="G410">
        <v>4</v>
      </c>
      <c r="H410">
        <v>96.53</v>
      </c>
      <c r="I410">
        <v>15</v>
      </c>
      <c r="J410" t="s">
        <v>75</v>
      </c>
      <c r="K410" t="s">
        <v>77</v>
      </c>
      <c r="L410">
        <v>386.12</v>
      </c>
      <c r="M410">
        <v>57.917999999999999</v>
      </c>
      <c r="N410">
        <v>328.202</v>
      </c>
      <c r="O4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0" s="9" t="str">
        <f ca="1">IF(OR(ISNUMBER(Table1[[#This Row],[Order_Date]])=FALSE,Table1[[#This Row],[Order_Date]]&lt;DATE(2000,1,1),Table1[[#This Row],[Order_Date]]&gt;TODAY()),"YES","NO")</f>
        <v>NO</v>
      </c>
    </row>
    <row r="411" spans="1:16" x14ac:dyDescent="0.3">
      <c r="A411">
        <v>100406</v>
      </c>
      <c r="B411" s="8">
        <v>45308.875</v>
      </c>
      <c r="C411" t="s">
        <v>15</v>
      </c>
      <c r="D411" t="s">
        <v>18</v>
      </c>
      <c r="E411" t="s">
        <v>67</v>
      </c>
      <c r="F411" t="s">
        <v>72</v>
      </c>
      <c r="G411">
        <v>4</v>
      </c>
      <c r="H411">
        <v>25.14</v>
      </c>
      <c r="I411">
        <v>15</v>
      </c>
      <c r="J411" t="s">
        <v>73</v>
      </c>
      <c r="K411" t="s">
        <v>77</v>
      </c>
      <c r="L411">
        <v>100.56</v>
      </c>
      <c r="M411">
        <v>15.084</v>
      </c>
      <c r="N411">
        <v>85.475999999999999</v>
      </c>
      <c r="O4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1" s="9" t="str">
        <f ca="1">IF(OR(ISNUMBER(Table1[[#This Row],[Order_Date]])=FALSE,Table1[[#This Row],[Order_Date]]&lt;DATE(2000,1,1),Table1[[#This Row],[Order_Date]]&gt;TODAY()),"YES","NO")</f>
        <v>NO</v>
      </c>
    </row>
    <row r="412" spans="1:16" x14ac:dyDescent="0.3">
      <c r="A412">
        <v>100407</v>
      </c>
      <c r="B412" s="8">
        <v>45308.916666666657</v>
      </c>
      <c r="C412" t="s">
        <v>15</v>
      </c>
      <c r="D412" t="s">
        <v>50</v>
      </c>
      <c r="E412" t="s">
        <v>67</v>
      </c>
      <c r="F412" t="s">
        <v>72</v>
      </c>
      <c r="G412">
        <v>1</v>
      </c>
      <c r="H412">
        <v>82.37</v>
      </c>
      <c r="I412">
        <v>15</v>
      </c>
      <c r="J412" t="s">
        <v>73</v>
      </c>
      <c r="K412" t="s">
        <v>77</v>
      </c>
      <c r="L412">
        <v>82.37</v>
      </c>
      <c r="M412">
        <v>12.355499999999999</v>
      </c>
      <c r="N412">
        <v>70.014499999999998</v>
      </c>
      <c r="O4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2" s="9" t="str">
        <f ca="1">IF(OR(ISNUMBER(Table1[[#This Row],[Order_Date]])=FALSE,Table1[[#This Row],[Order_Date]]&lt;DATE(2000,1,1),Table1[[#This Row],[Order_Date]]&gt;TODAY()),"YES","NO")</f>
        <v>NO</v>
      </c>
    </row>
    <row r="413" spans="1:16" x14ac:dyDescent="0.3">
      <c r="A413">
        <v>100408</v>
      </c>
      <c r="B413" s="8">
        <v>45308.958333333343</v>
      </c>
      <c r="C413" t="s">
        <v>15</v>
      </c>
      <c r="D413" t="s">
        <v>43</v>
      </c>
      <c r="E413" t="s">
        <v>67</v>
      </c>
      <c r="F413" t="s">
        <v>72</v>
      </c>
      <c r="G413">
        <v>1</v>
      </c>
      <c r="H413">
        <v>30.36</v>
      </c>
      <c r="I413">
        <v>15</v>
      </c>
      <c r="J413" t="s">
        <v>75</v>
      </c>
      <c r="K413" t="s">
        <v>78</v>
      </c>
      <c r="L413">
        <v>30.36</v>
      </c>
      <c r="M413">
        <v>4.5539999999999994</v>
      </c>
      <c r="N413">
        <v>25.806000000000001</v>
      </c>
      <c r="O4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13" s="9" t="str">
        <f ca="1">IF(OR(ISNUMBER(Table1[[#This Row],[Order_Date]])=FALSE,Table1[[#This Row],[Order_Date]]&lt;DATE(2000,1,1),Table1[[#This Row],[Order_Date]]&gt;TODAY()),"YES","NO")</f>
        <v>NO</v>
      </c>
    </row>
    <row r="414" spans="1:16" x14ac:dyDescent="0.3">
      <c r="A414">
        <v>100409</v>
      </c>
      <c r="B414" s="8">
        <v>45309</v>
      </c>
      <c r="C414" t="s">
        <v>15</v>
      </c>
      <c r="D414" t="s">
        <v>18</v>
      </c>
      <c r="E414" t="s">
        <v>66</v>
      </c>
      <c r="F414" t="s">
        <v>71</v>
      </c>
      <c r="G414">
        <v>2</v>
      </c>
      <c r="H414">
        <v>30.09</v>
      </c>
      <c r="I414">
        <v>0</v>
      </c>
      <c r="J414" t="s">
        <v>73</v>
      </c>
      <c r="K414" t="s">
        <v>77</v>
      </c>
      <c r="L414">
        <v>60.18</v>
      </c>
      <c r="M414">
        <v>0</v>
      </c>
      <c r="N414">
        <v>60.18</v>
      </c>
      <c r="O4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4" s="9" t="str">
        <f ca="1">IF(OR(ISNUMBER(Table1[[#This Row],[Order_Date]])=FALSE,Table1[[#This Row],[Order_Date]]&lt;DATE(2000,1,1),Table1[[#This Row],[Order_Date]]&gt;TODAY()),"YES","NO")</f>
        <v>NO</v>
      </c>
    </row>
    <row r="415" spans="1:16" x14ac:dyDescent="0.3">
      <c r="A415">
        <v>100410</v>
      </c>
      <c r="B415" s="8">
        <v>45309.041666666657</v>
      </c>
      <c r="C415" t="s">
        <v>15</v>
      </c>
      <c r="D415" t="s">
        <v>53</v>
      </c>
      <c r="E415" t="s">
        <v>67</v>
      </c>
      <c r="F415" t="s">
        <v>72</v>
      </c>
      <c r="G415">
        <v>2</v>
      </c>
      <c r="H415">
        <v>105.52</v>
      </c>
      <c r="I415">
        <v>15</v>
      </c>
      <c r="J415" t="s">
        <v>73</v>
      </c>
      <c r="K415" t="s">
        <v>77</v>
      </c>
      <c r="L415">
        <v>211.04</v>
      </c>
      <c r="M415">
        <v>31.655999999999999</v>
      </c>
      <c r="N415">
        <v>179.38399999999999</v>
      </c>
      <c r="O4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5" s="9" t="str">
        <f ca="1">IF(OR(ISNUMBER(Table1[[#This Row],[Order_Date]])=FALSE,Table1[[#This Row],[Order_Date]]&lt;DATE(2000,1,1),Table1[[#This Row],[Order_Date]]&gt;TODAY()),"YES","NO")</f>
        <v>NO</v>
      </c>
    </row>
    <row r="416" spans="1:16" x14ac:dyDescent="0.3">
      <c r="A416">
        <v>100411</v>
      </c>
      <c r="B416" s="8">
        <v>45309.083333333343</v>
      </c>
      <c r="C416" t="s">
        <v>14</v>
      </c>
      <c r="D416" t="s">
        <v>42</v>
      </c>
      <c r="E416" t="s">
        <v>66</v>
      </c>
      <c r="F416" t="s">
        <v>72</v>
      </c>
      <c r="G416">
        <v>1</v>
      </c>
      <c r="H416">
        <v>33.71</v>
      </c>
      <c r="I416">
        <v>5</v>
      </c>
      <c r="J416" t="s">
        <v>74</v>
      </c>
      <c r="K416" t="s">
        <v>77</v>
      </c>
      <c r="L416">
        <v>33.71</v>
      </c>
      <c r="M416">
        <v>1.6855</v>
      </c>
      <c r="N416">
        <v>32.024500000000003</v>
      </c>
      <c r="O4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6" s="9" t="str">
        <f ca="1">IF(OR(ISNUMBER(Table1[[#This Row],[Order_Date]])=FALSE,Table1[[#This Row],[Order_Date]]&lt;DATE(2000,1,1),Table1[[#This Row],[Order_Date]]&gt;TODAY()),"YES","NO")</f>
        <v>NO</v>
      </c>
    </row>
    <row r="417" spans="1:16" x14ac:dyDescent="0.3">
      <c r="A417">
        <v>100412</v>
      </c>
      <c r="B417" s="8">
        <v>45309.125</v>
      </c>
      <c r="C417" t="s">
        <v>15</v>
      </c>
      <c r="D417" t="s">
        <v>31</v>
      </c>
      <c r="E417" t="s">
        <v>66</v>
      </c>
      <c r="F417" t="s">
        <v>71</v>
      </c>
      <c r="G417">
        <v>2</v>
      </c>
      <c r="H417">
        <v>35.270000000000003</v>
      </c>
      <c r="I417">
        <v>0</v>
      </c>
      <c r="J417" t="s">
        <v>76</v>
      </c>
      <c r="K417" t="s">
        <v>77</v>
      </c>
      <c r="L417">
        <v>70.540000000000006</v>
      </c>
      <c r="M417">
        <v>0</v>
      </c>
      <c r="N417">
        <v>70.540000000000006</v>
      </c>
      <c r="O4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7" s="9" t="str">
        <f ca="1">IF(OR(ISNUMBER(Table1[[#This Row],[Order_Date]])=FALSE,Table1[[#This Row],[Order_Date]]&lt;DATE(2000,1,1),Table1[[#This Row],[Order_Date]]&gt;TODAY()),"YES","NO")</f>
        <v>NO</v>
      </c>
    </row>
    <row r="418" spans="1:16" x14ac:dyDescent="0.3">
      <c r="A418">
        <v>100413</v>
      </c>
      <c r="B418" s="8">
        <v>45309.166666666657</v>
      </c>
      <c r="C418" t="s">
        <v>15</v>
      </c>
      <c r="D418" t="s">
        <v>32</v>
      </c>
      <c r="E418" t="s">
        <v>67</v>
      </c>
      <c r="F418" t="s">
        <v>71</v>
      </c>
      <c r="G418">
        <v>5</v>
      </c>
      <c r="H418">
        <v>5.08</v>
      </c>
      <c r="I418">
        <v>5</v>
      </c>
      <c r="J418" t="s">
        <v>75</v>
      </c>
      <c r="K418" t="s">
        <v>77</v>
      </c>
      <c r="L418">
        <v>25.4</v>
      </c>
      <c r="M418">
        <v>1.27</v>
      </c>
      <c r="N418">
        <v>24.13</v>
      </c>
      <c r="O4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8" s="9" t="str">
        <f ca="1">IF(OR(ISNUMBER(Table1[[#This Row],[Order_Date]])=FALSE,Table1[[#This Row],[Order_Date]]&lt;DATE(2000,1,1),Table1[[#This Row],[Order_Date]]&gt;TODAY()),"YES","NO")</f>
        <v>NO</v>
      </c>
    </row>
    <row r="419" spans="1:16" x14ac:dyDescent="0.3">
      <c r="A419">
        <v>100414</v>
      </c>
      <c r="B419" s="8">
        <v>45309.208333333343</v>
      </c>
      <c r="C419" t="s">
        <v>14</v>
      </c>
      <c r="D419" t="s">
        <v>28</v>
      </c>
      <c r="E419" t="s">
        <v>68</v>
      </c>
      <c r="F419" t="s">
        <v>72</v>
      </c>
      <c r="G419">
        <v>4</v>
      </c>
      <c r="H419">
        <v>105.13</v>
      </c>
      <c r="I419">
        <v>15</v>
      </c>
      <c r="J419" t="s">
        <v>74</v>
      </c>
      <c r="K419" t="s">
        <v>77</v>
      </c>
      <c r="L419">
        <v>420.52</v>
      </c>
      <c r="M419">
        <v>63.078000000000003</v>
      </c>
      <c r="N419">
        <v>357.44200000000001</v>
      </c>
      <c r="O4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19" s="9" t="str">
        <f ca="1">IF(OR(ISNUMBER(Table1[[#This Row],[Order_Date]])=FALSE,Table1[[#This Row],[Order_Date]]&lt;DATE(2000,1,1),Table1[[#This Row],[Order_Date]]&gt;TODAY()),"YES","NO")</f>
        <v>NO</v>
      </c>
    </row>
    <row r="420" spans="1:16" x14ac:dyDescent="0.3">
      <c r="A420">
        <v>100415</v>
      </c>
      <c r="B420" s="8">
        <v>45309.25</v>
      </c>
      <c r="C420" t="s">
        <v>14</v>
      </c>
      <c r="D420" t="s">
        <v>32</v>
      </c>
      <c r="E420" t="s">
        <v>69</v>
      </c>
      <c r="F420" t="s">
        <v>71</v>
      </c>
      <c r="G420">
        <v>4</v>
      </c>
      <c r="H420">
        <v>96.15</v>
      </c>
      <c r="I420">
        <v>10</v>
      </c>
      <c r="J420" t="s">
        <v>76</v>
      </c>
      <c r="K420" t="s">
        <v>77</v>
      </c>
      <c r="L420">
        <v>384.6</v>
      </c>
      <c r="M420">
        <v>38.460000000000008</v>
      </c>
      <c r="N420">
        <v>346.14</v>
      </c>
      <c r="O4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0" s="9" t="str">
        <f ca="1">IF(OR(ISNUMBER(Table1[[#This Row],[Order_Date]])=FALSE,Table1[[#This Row],[Order_Date]]&lt;DATE(2000,1,1),Table1[[#This Row],[Order_Date]]&gt;TODAY()),"YES","NO")</f>
        <v>NO</v>
      </c>
    </row>
    <row r="421" spans="1:16" x14ac:dyDescent="0.3">
      <c r="A421">
        <v>100416</v>
      </c>
      <c r="B421" s="8">
        <v>45309.291666666657</v>
      </c>
      <c r="C421" t="s">
        <v>14</v>
      </c>
      <c r="D421" t="s">
        <v>18</v>
      </c>
      <c r="E421" t="s">
        <v>70</v>
      </c>
      <c r="F421" t="s">
        <v>72</v>
      </c>
      <c r="G421">
        <v>1</v>
      </c>
      <c r="H421">
        <v>77.14</v>
      </c>
      <c r="I421">
        <v>5</v>
      </c>
      <c r="J421" t="s">
        <v>76</v>
      </c>
      <c r="K421" t="s">
        <v>77</v>
      </c>
      <c r="L421">
        <v>77.14</v>
      </c>
      <c r="M421">
        <v>3.8570000000000002</v>
      </c>
      <c r="N421">
        <v>73.283000000000001</v>
      </c>
      <c r="O4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1" s="9" t="str">
        <f ca="1">IF(OR(ISNUMBER(Table1[[#This Row],[Order_Date]])=FALSE,Table1[[#This Row],[Order_Date]]&lt;DATE(2000,1,1),Table1[[#This Row],[Order_Date]]&gt;TODAY()),"YES","NO")</f>
        <v>NO</v>
      </c>
    </row>
    <row r="422" spans="1:16" x14ac:dyDescent="0.3">
      <c r="A422">
        <v>100417</v>
      </c>
      <c r="B422" s="8">
        <v>45309.333333333343</v>
      </c>
      <c r="C422" t="s">
        <v>14</v>
      </c>
      <c r="D422" t="s">
        <v>47</v>
      </c>
      <c r="E422" t="s">
        <v>66</v>
      </c>
      <c r="F422" t="s">
        <v>72</v>
      </c>
      <c r="G422">
        <v>3</v>
      </c>
      <c r="H422">
        <v>91.28</v>
      </c>
      <c r="I422">
        <v>15</v>
      </c>
      <c r="J422" t="s">
        <v>76</v>
      </c>
      <c r="K422" t="s">
        <v>77</v>
      </c>
      <c r="L422">
        <v>273.83999999999997</v>
      </c>
      <c r="M422">
        <v>41.076000000000001</v>
      </c>
      <c r="N422">
        <v>232.76400000000001</v>
      </c>
      <c r="O4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2" s="9" t="str">
        <f ca="1">IF(OR(ISNUMBER(Table1[[#This Row],[Order_Date]])=FALSE,Table1[[#This Row],[Order_Date]]&lt;DATE(2000,1,1),Table1[[#This Row],[Order_Date]]&gt;TODAY()),"YES","NO")</f>
        <v>NO</v>
      </c>
    </row>
    <row r="423" spans="1:16" x14ac:dyDescent="0.3">
      <c r="A423">
        <v>100418</v>
      </c>
      <c r="B423" s="8">
        <v>45309.375</v>
      </c>
      <c r="C423" t="s">
        <v>15</v>
      </c>
      <c r="D423" t="s">
        <v>20</v>
      </c>
      <c r="E423" t="s">
        <v>69</v>
      </c>
      <c r="F423" t="s">
        <v>71</v>
      </c>
      <c r="G423">
        <v>1</v>
      </c>
      <c r="H423">
        <v>22.49</v>
      </c>
      <c r="I423">
        <v>5</v>
      </c>
      <c r="J423" t="s">
        <v>74</v>
      </c>
      <c r="K423" t="s">
        <v>77</v>
      </c>
      <c r="L423">
        <v>22.49</v>
      </c>
      <c r="M423">
        <v>1.1245000000000001</v>
      </c>
      <c r="N423">
        <v>21.365500000000001</v>
      </c>
      <c r="O4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3" s="9" t="str">
        <f ca="1">IF(OR(ISNUMBER(Table1[[#This Row],[Order_Date]])=FALSE,Table1[[#This Row],[Order_Date]]&lt;DATE(2000,1,1),Table1[[#This Row],[Order_Date]]&gt;TODAY()),"YES","NO")</f>
        <v>NO</v>
      </c>
    </row>
    <row r="424" spans="1:16" x14ac:dyDescent="0.3">
      <c r="A424">
        <v>100419</v>
      </c>
      <c r="B424" s="8">
        <v>45309.416666666657</v>
      </c>
      <c r="C424" t="s">
        <v>15</v>
      </c>
      <c r="D424" t="s">
        <v>46</v>
      </c>
      <c r="E424" t="s">
        <v>68</v>
      </c>
      <c r="F424" t="s">
        <v>71</v>
      </c>
      <c r="G424">
        <v>2</v>
      </c>
      <c r="H424">
        <v>57.71</v>
      </c>
      <c r="I424">
        <v>15</v>
      </c>
      <c r="J424" t="s">
        <v>74</v>
      </c>
      <c r="K424" t="s">
        <v>77</v>
      </c>
      <c r="L424">
        <v>115.42</v>
      </c>
      <c r="M424">
        <v>17.312999999999999</v>
      </c>
      <c r="N424">
        <v>98.106999999999999</v>
      </c>
      <c r="O4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4" s="9" t="str">
        <f ca="1">IF(OR(ISNUMBER(Table1[[#This Row],[Order_Date]])=FALSE,Table1[[#This Row],[Order_Date]]&lt;DATE(2000,1,1),Table1[[#This Row],[Order_Date]]&gt;TODAY()),"YES","NO")</f>
        <v>NO</v>
      </c>
    </row>
    <row r="425" spans="1:16" x14ac:dyDescent="0.3">
      <c r="A425">
        <v>100420</v>
      </c>
      <c r="B425" s="8">
        <v>45309.458333333343</v>
      </c>
      <c r="C425" t="s">
        <v>15</v>
      </c>
      <c r="D425" t="s">
        <v>29</v>
      </c>
      <c r="E425" t="s">
        <v>70</v>
      </c>
      <c r="F425" t="s">
        <v>72</v>
      </c>
      <c r="G425">
        <v>3</v>
      </c>
      <c r="H425">
        <v>45.39</v>
      </c>
      <c r="I425">
        <v>15</v>
      </c>
      <c r="J425" t="s">
        <v>76</v>
      </c>
      <c r="K425" t="s">
        <v>77</v>
      </c>
      <c r="L425">
        <v>136.16999999999999</v>
      </c>
      <c r="M425">
        <v>20.4255</v>
      </c>
      <c r="N425">
        <v>115.7445</v>
      </c>
      <c r="O4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5" s="9" t="str">
        <f ca="1">IF(OR(ISNUMBER(Table1[[#This Row],[Order_Date]])=FALSE,Table1[[#This Row],[Order_Date]]&lt;DATE(2000,1,1),Table1[[#This Row],[Order_Date]]&gt;TODAY()),"YES","NO")</f>
        <v>NO</v>
      </c>
    </row>
    <row r="426" spans="1:16" x14ac:dyDescent="0.3">
      <c r="A426">
        <v>100421</v>
      </c>
      <c r="B426" s="8">
        <v>45309.5</v>
      </c>
      <c r="C426" t="s">
        <v>15</v>
      </c>
      <c r="D426" t="s">
        <v>64</v>
      </c>
      <c r="E426" t="s">
        <v>70</v>
      </c>
      <c r="F426" t="s">
        <v>72</v>
      </c>
      <c r="G426">
        <v>2</v>
      </c>
      <c r="H426">
        <v>15.78</v>
      </c>
      <c r="I426">
        <v>15</v>
      </c>
      <c r="J426" t="s">
        <v>73</v>
      </c>
      <c r="K426" t="s">
        <v>77</v>
      </c>
      <c r="L426">
        <v>31.56</v>
      </c>
      <c r="M426">
        <v>4.734</v>
      </c>
      <c r="N426">
        <v>26.826000000000001</v>
      </c>
      <c r="O4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6" s="9" t="str">
        <f ca="1">IF(OR(ISNUMBER(Table1[[#This Row],[Order_Date]])=FALSE,Table1[[#This Row],[Order_Date]]&lt;DATE(2000,1,1),Table1[[#This Row],[Order_Date]]&gt;TODAY()),"YES","NO")</f>
        <v>NO</v>
      </c>
    </row>
    <row r="427" spans="1:16" x14ac:dyDescent="0.3">
      <c r="A427">
        <v>100422</v>
      </c>
      <c r="B427" s="8">
        <v>45309.541666666657</v>
      </c>
      <c r="C427" t="s">
        <v>15</v>
      </c>
      <c r="D427" t="s">
        <v>35</v>
      </c>
      <c r="E427" t="s">
        <v>66</v>
      </c>
      <c r="F427" t="s">
        <v>72</v>
      </c>
      <c r="G427">
        <v>5</v>
      </c>
      <c r="H427">
        <v>60.91</v>
      </c>
      <c r="I427">
        <v>10</v>
      </c>
      <c r="J427" t="s">
        <v>73</v>
      </c>
      <c r="K427" t="s">
        <v>77</v>
      </c>
      <c r="L427">
        <v>304.55</v>
      </c>
      <c r="M427">
        <v>30.454999999999998</v>
      </c>
      <c r="N427">
        <v>274.09500000000003</v>
      </c>
      <c r="O4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7" s="9" t="str">
        <f ca="1">IF(OR(ISNUMBER(Table1[[#This Row],[Order_Date]])=FALSE,Table1[[#This Row],[Order_Date]]&lt;DATE(2000,1,1),Table1[[#This Row],[Order_Date]]&gt;TODAY()),"YES","NO")</f>
        <v>NO</v>
      </c>
    </row>
    <row r="428" spans="1:16" x14ac:dyDescent="0.3">
      <c r="A428">
        <v>100423</v>
      </c>
      <c r="B428" s="8">
        <v>45309.583333333343</v>
      </c>
      <c r="C428" t="s">
        <v>15</v>
      </c>
      <c r="D428" t="s">
        <v>60</v>
      </c>
      <c r="E428" t="s">
        <v>67</v>
      </c>
      <c r="F428" t="s">
        <v>71</v>
      </c>
      <c r="G428">
        <v>2</v>
      </c>
      <c r="H428">
        <v>110.89</v>
      </c>
      <c r="I428">
        <v>5</v>
      </c>
      <c r="J428" t="s">
        <v>74</v>
      </c>
      <c r="K428" t="s">
        <v>77</v>
      </c>
      <c r="L428">
        <v>221.78</v>
      </c>
      <c r="M428">
        <v>11.089</v>
      </c>
      <c r="N428">
        <v>210.691</v>
      </c>
      <c r="O4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8" s="9" t="str">
        <f ca="1">IF(OR(ISNUMBER(Table1[[#This Row],[Order_Date]])=FALSE,Table1[[#This Row],[Order_Date]]&lt;DATE(2000,1,1),Table1[[#This Row],[Order_Date]]&gt;TODAY()),"YES","NO")</f>
        <v>NO</v>
      </c>
    </row>
    <row r="429" spans="1:16" x14ac:dyDescent="0.3">
      <c r="A429">
        <v>100424</v>
      </c>
      <c r="B429" s="8">
        <v>45309.625</v>
      </c>
      <c r="C429" t="s">
        <v>14</v>
      </c>
      <c r="D429" t="s">
        <v>59</v>
      </c>
      <c r="E429" t="s">
        <v>68</v>
      </c>
      <c r="F429" t="s">
        <v>72</v>
      </c>
      <c r="G429">
        <v>5</v>
      </c>
      <c r="H429">
        <v>9.61</v>
      </c>
      <c r="I429">
        <v>0</v>
      </c>
      <c r="J429" t="s">
        <v>74</v>
      </c>
      <c r="K429" t="s">
        <v>77</v>
      </c>
      <c r="L429">
        <v>48.05</v>
      </c>
      <c r="M429">
        <v>0</v>
      </c>
      <c r="N429">
        <v>48.05</v>
      </c>
      <c r="O4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29" s="9" t="str">
        <f ca="1">IF(OR(ISNUMBER(Table1[[#This Row],[Order_Date]])=FALSE,Table1[[#This Row],[Order_Date]]&lt;DATE(2000,1,1),Table1[[#This Row],[Order_Date]]&gt;TODAY()),"YES","NO")</f>
        <v>NO</v>
      </c>
    </row>
    <row r="430" spans="1:16" x14ac:dyDescent="0.3">
      <c r="A430">
        <v>100425</v>
      </c>
      <c r="B430" s="8">
        <v>45309.666666666657</v>
      </c>
      <c r="C430" t="s">
        <v>15</v>
      </c>
      <c r="D430" t="s">
        <v>23</v>
      </c>
      <c r="E430" t="s">
        <v>66</v>
      </c>
      <c r="F430" t="s">
        <v>72</v>
      </c>
      <c r="G430">
        <v>5</v>
      </c>
      <c r="H430">
        <v>38.520000000000003</v>
      </c>
      <c r="I430">
        <v>0</v>
      </c>
      <c r="J430" t="s">
        <v>74</v>
      </c>
      <c r="K430" t="s">
        <v>77</v>
      </c>
      <c r="L430">
        <v>192.6</v>
      </c>
      <c r="M430">
        <v>0</v>
      </c>
      <c r="N430">
        <v>192.6</v>
      </c>
      <c r="O4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0" s="9" t="str">
        <f ca="1">IF(OR(ISNUMBER(Table1[[#This Row],[Order_Date]])=FALSE,Table1[[#This Row],[Order_Date]]&lt;DATE(2000,1,1),Table1[[#This Row],[Order_Date]]&gt;TODAY()),"YES","NO")</f>
        <v>NO</v>
      </c>
    </row>
    <row r="431" spans="1:16" x14ac:dyDescent="0.3">
      <c r="A431">
        <v>100426</v>
      </c>
      <c r="B431" s="8">
        <v>45309.708333333343</v>
      </c>
      <c r="C431" t="s">
        <v>14</v>
      </c>
      <c r="D431" t="s">
        <v>55</v>
      </c>
      <c r="E431" t="s">
        <v>68</v>
      </c>
      <c r="F431" t="s">
        <v>72</v>
      </c>
      <c r="G431">
        <v>2</v>
      </c>
      <c r="H431">
        <v>28.87</v>
      </c>
      <c r="I431">
        <v>0</v>
      </c>
      <c r="J431" t="s">
        <v>76</v>
      </c>
      <c r="K431" t="s">
        <v>77</v>
      </c>
      <c r="L431">
        <v>57.74</v>
      </c>
      <c r="M431">
        <v>0</v>
      </c>
      <c r="N431">
        <v>57.74</v>
      </c>
      <c r="O4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1" s="9" t="str">
        <f ca="1">IF(OR(ISNUMBER(Table1[[#This Row],[Order_Date]])=FALSE,Table1[[#This Row],[Order_Date]]&lt;DATE(2000,1,1),Table1[[#This Row],[Order_Date]]&gt;TODAY()),"YES","NO")</f>
        <v>NO</v>
      </c>
    </row>
    <row r="432" spans="1:16" x14ac:dyDescent="0.3">
      <c r="A432">
        <v>100427</v>
      </c>
      <c r="B432" s="8">
        <v>45309.75</v>
      </c>
      <c r="C432" t="s">
        <v>14</v>
      </c>
      <c r="D432" t="s">
        <v>28</v>
      </c>
      <c r="E432" t="s">
        <v>67</v>
      </c>
      <c r="F432" t="s">
        <v>72</v>
      </c>
      <c r="G432">
        <v>2</v>
      </c>
      <c r="H432">
        <v>32.39</v>
      </c>
      <c r="I432">
        <v>0</v>
      </c>
      <c r="J432" t="s">
        <v>73</v>
      </c>
      <c r="K432" t="s">
        <v>77</v>
      </c>
      <c r="L432">
        <v>64.78</v>
      </c>
      <c r="M432">
        <v>0</v>
      </c>
      <c r="N432">
        <v>64.78</v>
      </c>
      <c r="O4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2" s="9" t="str">
        <f ca="1">IF(OR(ISNUMBER(Table1[[#This Row],[Order_Date]])=FALSE,Table1[[#This Row],[Order_Date]]&lt;DATE(2000,1,1),Table1[[#This Row],[Order_Date]]&gt;TODAY()),"YES","NO")</f>
        <v>NO</v>
      </c>
    </row>
    <row r="433" spans="1:16" x14ac:dyDescent="0.3">
      <c r="A433">
        <v>100428</v>
      </c>
      <c r="B433" s="8">
        <v>45309.791666666657</v>
      </c>
      <c r="C433" t="s">
        <v>15</v>
      </c>
      <c r="D433" t="s">
        <v>23</v>
      </c>
      <c r="E433" t="s">
        <v>67</v>
      </c>
      <c r="F433" t="s">
        <v>72</v>
      </c>
      <c r="G433">
        <v>5</v>
      </c>
      <c r="H433">
        <v>109.47</v>
      </c>
      <c r="I433">
        <v>15</v>
      </c>
      <c r="J433" t="s">
        <v>74</v>
      </c>
      <c r="K433" t="s">
        <v>77</v>
      </c>
      <c r="L433">
        <v>547.35</v>
      </c>
      <c r="M433">
        <v>82.102500000000006</v>
      </c>
      <c r="N433">
        <v>465.2475</v>
      </c>
      <c r="O4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3" s="9" t="str">
        <f ca="1">IF(OR(ISNUMBER(Table1[[#This Row],[Order_Date]])=FALSE,Table1[[#This Row],[Order_Date]]&lt;DATE(2000,1,1),Table1[[#This Row],[Order_Date]]&gt;TODAY()),"YES","NO")</f>
        <v>NO</v>
      </c>
    </row>
    <row r="434" spans="1:16" x14ac:dyDescent="0.3">
      <c r="A434">
        <v>100429</v>
      </c>
      <c r="B434" s="8">
        <v>45309.833333333343</v>
      </c>
      <c r="C434" t="s">
        <v>14</v>
      </c>
      <c r="D434" t="s">
        <v>29</v>
      </c>
      <c r="E434" t="s">
        <v>66</v>
      </c>
      <c r="F434" t="s">
        <v>71</v>
      </c>
      <c r="G434">
        <v>3</v>
      </c>
      <c r="H434">
        <v>58.83</v>
      </c>
      <c r="I434">
        <v>5</v>
      </c>
      <c r="J434" t="s">
        <v>74</v>
      </c>
      <c r="K434" t="s">
        <v>77</v>
      </c>
      <c r="L434">
        <v>176.49</v>
      </c>
      <c r="M434">
        <v>8.8245000000000005</v>
      </c>
      <c r="N434">
        <v>167.66550000000001</v>
      </c>
      <c r="O4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4" s="9" t="str">
        <f ca="1">IF(OR(ISNUMBER(Table1[[#This Row],[Order_Date]])=FALSE,Table1[[#This Row],[Order_Date]]&lt;DATE(2000,1,1),Table1[[#This Row],[Order_Date]]&gt;TODAY()),"YES","NO")</f>
        <v>NO</v>
      </c>
    </row>
    <row r="435" spans="1:16" x14ac:dyDescent="0.3">
      <c r="A435">
        <v>100430</v>
      </c>
      <c r="B435" s="8">
        <v>45309.875</v>
      </c>
      <c r="C435" t="s">
        <v>15</v>
      </c>
      <c r="D435" t="s">
        <v>53</v>
      </c>
      <c r="E435" t="s">
        <v>67</v>
      </c>
      <c r="F435" t="s">
        <v>72</v>
      </c>
      <c r="G435">
        <v>5</v>
      </c>
      <c r="H435">
        <v>58.62</v>
      </c>
      <c r="I435">
        <v>5</v>
      </c>
      <c r="J435" t="s">
        <v>75</v>
      </c>
      <c r="K435" t="s">
        <v>77</v>
      </c>
      <c r="L435">
        <v>293.10000000000002</v>
      </c>
      <c r="M435">
        <v>14.654999999999999</v>
      </c>
      <c r="N435">
        <v>278.44499999999999</v>
      </c>
      <c r="O4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5" s="9" t="str">
        <f ca="1">IF(OR(ISNUMBER(Table1[[#This Row],[Order_Date]])=FALSE,Table1[[#This Row],[Order_Date]]&lt;DATE(2000,1,1),Table1[[#This Row],[Order_Date]]&gt;TODAY()),"YES","NO")</f>
        <v>NO</v>
      </c>
    </row>
    <row r="436" spans="1:16" x14ac:dyDescent="0.3">
      <c r="A436">
        <v>100431</v>
      </c>
      <c r="B436" s="8">
        <v>45309.916666666657</v>
      </c>
      <c r="C436" t="s">
        <v>14</v>
      </c>
      <c r="D436" t="s">
        <v>57</v>
      </c>
      <c r="E436" t="s">
        <v>69</v>
      </c>
      <c r="F436" t="s">
        <v>72</v>
      </c>
      <c r="G436">
        <v>4</v>
      </c>
      <c r="H436">
        <v>92.47</v>
      </c>
      <c r="I436">
        <v>10</v>
      </c>
      <c r="J436" t="s">
        <v>76</v>
      </c>
      <c r="K436" t="s">
        <v>77</v>
      </c>
      <c r="L436">
        <v>369.88</v>
      </c>
      <c r="M436">
        <v>36.988</v>
      </c>
      <c r="N436">
        <v>332.892</v>
      </c>
      <c r="O4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6" s="9" t="str">
        <f ca="1">IF(OR(ISNUMBER(Table1[[#This Row],[Order_Date]])=FALSE,Table1[[#This Row],[Order_Date]]&lt;DATE(2000,1,1),Table1[[#This Row],[Order_Date]]&gt;TODAY()),"YES","NO")</f>
        <v>NO</v>
      </c>
    </row>
    <row r="437" spans="1:16" x14ac:dyDescent="0.3">
      <c r="A437">
        <v>100432</v>
      </c>
      <c r="B437" s="8">
        <v>45309.958333333343</v>
      </c>
      <c r="C437" t="s">
        <v>15</v>
      </c>
      <c r="D437" t="s">
        <v>35</v>
      </c>
      <c r="E437" t="s">
        <v>70</v>
      </c>
      <c r="F437" t="s">
        <v>72</v>
      </c>
      <c r="G437">
        <v>5</v>
      </c>
      <c r="H437">
        <v>22.77</v>
      </c>
      <c r="I437">
        <v>5</v>
      </c>
      <c r="J437" t="s">
        <v>75</v>
      </c>
      <c r="K437" t="s">
        <v>77</v>
      </c>
      <c r="L437">
        <v>113.85</v>
      </c>
      <c r="M437">
        <v>5.6924999999999999</v>
      </c>
      <c r="N437">
        <v>108.1575</v>
      </c>
      <c r="O4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7" s="9" t="str">
        <f ca="1">IF(OR(ISNUMBER(Table1[[#This Row],[Order_Date]])=FALSE,Table1[[#This Row],[Order_Date]]&lt;DATE(2000,1,1),Table1[[#This Row],[Order_Date]]&gt;TODAY()),"YES","NO")</f>
        <v>NO</v>
      </c>
    </row>
    <row r="438" spans="1:16" x14ac:dyDescent="0.3">
      <c r="A438">
        <v>100433</v>
      </c>
      <c r="B438" s="8">
        <v>45310</v>
      </c>
      <c r="C438" t="s">
        <v>14</v>
      </c>
      <c r="D438" t="s">
        <v>31</v>
      </c>
      <c r="E438" t="s">
        <v>66</v>
      </c>
      <c r="F438" t="s">
        <v>72</v>
      </c>
      <c r="G438">
        <v>3</v>
      </c>
      <c r="H438">
        <v>61.04</v>
      </c>
      <c r="I438">
        <v>5</v>
      </c>
      <c r="J438" t="s">
        <v>73</v>
      </c>
      <c r="K438" t="s">
        <v>77</v>
      </c>
      <c r="L438">
        <v>183.12</v>
      </c>
      <c r="M438">
        <v>9.1560000000000006</v>
      </c>
      <c r="N438">
        <v>173.964</v>
      </c>
      <c r="O4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8" s="9" t="str">
        <f ca="1">IF(OR(ISNUMBER(Table1[[#This Row],[Order_Date]])=FALSE,Table1[[#This Row],[Order_Date]]&lt;DATE(2000,1,1),Table1[[#This Row],[Order_Date]]&gt;TODAY()),"YES","NO")</f>
        <v>NO</v>
      </c>
    </row>
    <row r="439" spans="1:16" x14ac:dyDescent="0.3">
      <c r="A439">
        <v>100434</v>
      </c>
      <c r="B439" s="8">
        <v>45310.041666666657</v>
      </c>
      <c r="C439" t="s">
        <v>15</v>
      </c>
      <c r="D439" t="s">
        <v>43</v>
      </c>
      <c r="E439" t="s">
        <v>68</v>
      </c>
      <c r="F439" t="s">
        <v>71</v>
      </c>
      <c r="G439">
        <v>4</v>
      </c>
      <c r="H439">
        <v>54.45</v>
      </c>
      <c r="I439">
        <v>5</v>
      </c>
      <c r="J439" t="s">
        <v>75</v>
      </c>
      <c r="K439" t="s">
        <v>77</v>
      </c>
      <c r="L439">
        <v>217.8</v>
      </c>
      <c r="M439">
        <v>10.89</v>
      </c>
      <c r="N439">
        <v>206.91</v>
      </c>
      <c r="O4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39" s="9" t="str">
        <f ca="1">IF(OR(ISNUMBER(Table1[[#This Row],[Order_Date]])=FALSE,Table1[[#This Row],[Order_Date]]&lt;DATE(2000,1,1),Table1[[#This Row],[Order_Date]]&gt;TODAY()),"YES","NO")</f>
        <v>NO</v>
      </c>
    </row>
    <row r="440" spans="1:16" x14ac:dyDescent="0.3">
      <c r="A440">
        <v>100435</v>
      </c>
      <c r="B440" s="8">
        <v>45310.083333333343</v>
      </c>
      <c r="C440" t="s">
        <v>15</v>
      </c>
      <c r="D440" t="s">
        <v>46</v>
      </c>
      <c r="E440" t="s">
        <v>69</v>
      </c>
      <c r="F440" t="s">
        <v>71</v>
      </c>
      <c r="G440">
        <v>1</v>
      </c>
      <c r="H440">
        <v>73.64</v>
      </c>
      <c r="I440">
        <v>10</v>
      </c>
      <c r="J440" t="s">
        <v>75</v>
      </c>
      <c r="K440" t="s">
        <v>77</v>
      </c>
      <c r="L440">
        <v>73.64</v>
      </c>
      <c r="M440">
        <v>7.3640000000000008</v>
      </c>
      <c r="N440">
        <v>66.275999999999996</v>
      </c>
      <c r="O4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0" s="9" t="str">
        <f ca="1">IF(OR(ISNUMBER(Table1[[#This Row],[Order_Date]])=FALSE,Table1[[#This Row],[Order_Date]]&lt;DATE(2000,1,1),Table1[[#This Row],[Order_Date]]&gt;TODAY()),"YES","NO")</f>
        <v>NO</v>
      </c>
    </row>
    <row r="441" spans="1:16" x14ac:dyDescent="0.3">
      <c r="A441">
        <v>100436</v>
      </c>
      <c r="B441" s="8">
        <v>45310.125</v>
      </c>
      <c r="C441" t="s">
        <v>15</v>
      </c>
      <c r="D441" t="s">
        <v>64</v>
      </c>
      <c r="E441" t="s">
        <v>66</v>
      </c>
      <c r="F441" t="s">
        <v>71</v>
      </c>
      <c r="G441">
        <v>1</v>
      </c>
      <c r="H441">
        <v>119.95</v>
      </c>
      <c r="I441">
        <v>0</v>
      </c>
      <c r="J441" t="s">
        <v>75</v>
      </c>
      <c r="K441" t="s">
        <v>77</v>
      </c>
      <c r="L441">
        <v>119.95</v>
      </c>
      <c r="M441">
        <v>0</v>
      </c>
      <c r="N441">
        <v>119.95</v>
      </c>
      <c r="O4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1" s="9" t="str">
        <f ca="1">IF(OR(ISNUMBER(Table1[[#This Row],[Order_Date]])=FALSE,Table1[[#This Row],[Order_Date]]&lt;DATE(2000,1,1),Table1[[#This Row],[Order_Date]]&gt;TODAY()),"YES","NO")</f>
        <v>NO</v>
      </c>
    </row>
    <row r="442" spans="1:16" x14ac:dyDescent="0.3">
      <c r="A442">
        <v>100437</v>
      </c>
      <c r="B442" s="8">
        <v>45310.166666666657</v>
      </c>
      <c r="C442" t="s">
        <v>15</v>
      </c>
      <c r="D442" t="s">
        <v>64</v>
      </c>
      <c r="E442" t="s">
        <v>67</v>
      </c>
      <c r="F442" t="s">
        <v>72</v>
      </c>
      <c r="G442">
        <v>3</v>
      </c>
      <c r="H442">
        <v>93.49</v>
      </c>
      <c r="I442">
        <v>5</v>
      </c>
      <c r="J442" t="s">
        <v>76</v>
      </c>
      <c r="K442" t="s">
        <v>77</v>
      </c>
      <c r="L442">
        <v>280.47000000000003</v>
      </c>
      <c r="M442">
        <v>14.0235</v>
      </c>
      <c r="N442">
        <v>266.44650000000001</v>
      </c>
      <c r="O4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2" s="9" t="str">
        <f ca="1">IF(OR(ISNUMBER(Table1[[#This Row],[Order_Date]])=FALSE,Table1[[#This Row],[Order_Date]]&lt;DATE(2000,1,1),Table1[[#This Row],[Order_Date]]&gt;TODAY()),"YES","NO")</f>
        <v>NO</v>
      </c>
    </row>
    <row r="443" spans="1:16" x14ac:dyDescent="0.3">
      <c r="A443">
        <v>100438</v>
      </c>
      <c r="B443" s="8">
        <v>45310.208333333343</v>
      </c>
      <c r="C443" t="s">
        <v>15</v>
      </c>
      <c r="D443" t="s">
        <v>41</v>
      </c>
      <c r="E443" t="s">
        <v>67</v>
      </c>
      <c r="F443" t="s">
        <v>72</v>
      </c>
      <c r="G443">
        <v>5</v>
      </c>
      <c r="H443">
        <v>50.75</v>
      </c>
      <c r="I443">
        <v>10</v>
      </c>
      <c r="J443" t="s">
        <v>73</v>
      </c>
      <c r="K443" t="s">
        <v>77</v>
      </c>
      <c r="L443">
        <v>253.75</v>
      </c>
      <c r="M443">
        <v>25.375</v>
      </c>
      <c r="N443">
        <v>228.375</v>
      </c>
      <c r="O4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3" s="9" t="str">
        <f ca="1">IF(OR(ISNUMBER(Table1[[#This Row],[Order_Date]])=FALSE,Table1[[#This Row],[Order_Date]]&lt;DATE(2000,1,1),Table1[[#This Row],[Order_Date]]&gt;TODAY()),"YES","NO")</f>
        <v>NO</v>
      </c>
    </row>
    <row r="444" spans="1:16" x14ac:dyDescent="0.3">
      <c r="A444">
        <v>100439</v>
      </c>
      <c r="B444" s="8">
        <v>45310.25</v>
      </c>
      <c r="C444" t="s">
        <v>14</v>
      </c>
      <c r="D444" t="s">
        <v>62</v>
      </c>
      <c r="E444" t="s">
        <v>67</v>
      </c>
      <c r="F444" t="s">
        <v>71</v>
      </c>
      <c r="G444">
        <v>2</v>
      </c>
      <c r="H444">
        <v>100.17</v>
      </c>
      <c r="I444">
        <v>10</v>
      </c>
      <c r="J444" t="s">
        <v>75</v>
      </c>
      <c r="K444" t="s">
        <v>77</v>
      </c>
      <c r="L444">
        <v>200.34</v>
      </c>
      <c r="M444">
        <v>20.033999999999999</v>
      </c>
      <c r="N444">
        <v>180.30600000000001</v>
      </c>
      <c r="O4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4" s="9" t="str">
        <f ca="1">IF(OR(ISNUMBER(Table1[[#This Row],[Order_Date]])=FALSE,Table1[[#This Row],[Order_Date]]&lt;DATE(2000,1,1),Table1[[#This Row],[Order_Date]]&gt;TODAY()),"YES","NO")</f>
        <v>NO</v>
      </c>
    </row>
    <row r="445" spans="1:16" x14ac:dyDescent="0.3">
      <c r="A445">
        <v>100440</v>
      </c>
      <c r="B445" s="8">
        <v>45310.291666666657</v>
      </c>
      <c r="C445" t="s">
        <v>14</v>
      </c>
      <c r="D445" t="s">
        <v>43</v>
      </c>
      <c r="E445" t="s">
        <v>67</v>
      </c>
      <c r="F445" t="s">
        <v>71</v>
      </c>
      <c r="G445">
        <v>3</v>
      </c>
      <c r="H445">
        <v>24.63</v>
      </c>
      <c r="I445">
        <v>15</v>
      </c>
      <c r="J445" t="s">
        <v>76</v>
      </c>
      <c r="K445" t="s">
        <v>77</v>
      </c>
      <c r="L445">
        <v>73.89</v>
      </c>
      <c r="M445">
        <v>11.083500000000001</v>
      </c>
      <c r="N445">
        <v>62.8065</v>
      </c>
      <c r="O4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5" s="9" t="str">
        <f ca="1">IF(OR(ISNUMBER(Table1[[#This Row],[Order_Date]])=FALSE,Table1[[#This Row],[Order_Date]]&lt;DATE(2000,1,1),Table1[[#This Row],[Order_Date]]&gt;TODAY()),"YES","NO")</f>
        <v>NO</v>
      </c>
    </row>
    <row r="446" spans="1:16" x14ac:dyDescent="0.3">
      <c r="A446">
        <v>100441</v>
      </c>
      <c r="B446" s="8">
        <v>45310.333333333343</v>
      </c>
      <c r="C446" t="s">
        <v>14</v>
      </c>
      <c r="D446" t="s">
        <v>28</v>
      </c>
      <c r="E446" t="s">
        <v>68</v>
      </c>
      <c r="F446" t="s">
        <v>71</v>
      </c>
      <c r="G446">
        <v>4</v>
      </c>
      <c r="H446">
        <v>8.5</v>
      </c>
      <c r="I446">
        <v>10</v>
      </c>
      <c r="J446" t="s">
        <v>73</v>
      </c>
      <c r="K446" t="s">
        <v>77</v>
      </c>
      <c r="L446">
        <v>34</v>
      </c>
      <c r="M446">
        <v>3.4</v>
      </c>
      <c r="N446">
        <v>30.6</v>
      </c>
      <c r="O4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6" s="9" t="str">
        <f ca="1">IF(OR(ISNUMBER(Table1[[#This Row],[Order_Date]])=FALSE,Table1[[#This Row],[Order_Date]]&lt;DATE(2000,1,1),Table1[[#This Row],[Order_Date]]&gt;TODAY()),"YES","NO")</f>
        <v>NO</v>
      </c>
    </row>
    <row r="447" spans="1:16" x14ac:dyDescent="0.3">
      <c r="A447">
        <v>100442</v>
      </c>
      <c r="B447" s="8">
        <v>45310.375</v>
      </c>
      <c r="C447" t="s">
        <v>15</v>
      </c>
      <c r="D447" t="s">
        <v>19</v>
      </c>
      <c r="E447" t="s">
        <v>69</v>
      </c>
      <c r="F447" t="s">
        <v>72</v>
      </c>
      <c r="G447">
        <v>4</v>
      </c>
      <c r="H447">
        <v>28.51</v>
      </c>
      <c r="I447">
        <v>0</v>
      </c>
      <c r="J447" t="s">
        <v>74</v>
      </c>
      <c r="K447" t="s">
        <v>77</v>
      </c>
      <c r="L447">
        <v>114.04</v>
      </c>
      <c r="M447">
        <v>0</v>
      </c>
      <c r="N447">
        <v>114.04</v>
      </c>
      <c r="O4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7" s="9" t="str">
        <f ca="1">IF(OR(ISNUMBER(Table1[[#This Row],[Order_Date]])=FALSE,Table1[[#This Row],[Order_Date]]&lt;DATE(2000,1,1),Table1[[#This Row],[Order_Date]]&gt;TODAY()),"YES","NO")</f>
        <v>NO</v>
      </c>
    </row>
    <row r="448" spans="1:16" x14ac:dyDescent="0.3">
      <c r="A448">
        <v>100443</v>
      </c>
      <c r="B448" s="8">
        <v>45310.416666666657</v>
      </c>
      <c r="C448" t="s">
        <v>14</v>
      </c>
      <c r="D448" t="s">
        <v>39</v>
      </c>
      <c r="E448" t="s">
        <v>70</v>
      </c>
      <c r="F448" t="s">
        <v>72</v>
      </c>
      <c r="G448">
        <v>1</v>
      </c>
      <c r="H448">
        <v>44.15</v>
      </c>
      <c r="I448">
        <v>5</v>
      </c>
      <c r="J448" t="s">
        <v>75</v>
      </c>
      <c r="K448" t="s">
        <v>77</v>
      </c>
      <c r="L448">
        <v>44.15</v>
      </c>
      <c r="M448">
        <v>2.2075</v>
      </c>
      <c r="N448">
        <v>41.942500000000003</v>
      </c>
      <c r="O4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48" s="9" t="str">
        <f ca="1">IF(OR(ISNUMBER(Table1[[#This Row],[Order_Date]])=FALSE,Table1[[#This Row],[Order_Date]]&lt;DATE(2000,1,1),Table1[[#This Row],[Order_Date]]&gt;TODAY()),"YES","NO")</f>
        <v>NO</v>
      </c>
    </row>
    <row r="449" spans="1:16" x14ac:dyDescent="0.3">
      <c r="A449">
        <v>100444</v>
      </c>
      <c r="B449" s="8">
        <v>45310.458333333343</v>
      </c>
      <c r="C449" t="s">
        <v>15</v>
      </c>
      <c r="D449" t="s">
        <v>32</v>
      </c>
      <c r="E449" t="s">
        <v>68</v>
      </c>
      <c r="F449" t="s">
        <v>71</v>
      </c>
      <c r="G449">
        <v>4</v>
      </c>
      <c r="H449">
        <v>63.72</v>
      </c>
      <c r="I449">
        <v>10</v>
      </c>
      <c r="J449" t="s">
        <v>73</v>
      </c>
      <c r="K449" t="s">
        <v>78</v>
      </c>
      <c r="L449">
        <v>254.88</v>
      </c>
      <c r="M449">
        <v>25.488</v>
      </c>
      <c r="N449">
        <v>229.392</v>
      </c>
      <c r="O4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49" s="9" t="str">
        <f ca="1">IF(OR(ISNUMBER(Table1[[#This Row],[Order_Date]])=FALSE,Table1[[#This Row],[Order_Date]]&lt;DATE(2000,1,1),Table1[[#This Row],[Order_Date]]&gt;TODAY()),"YES","NO")</f>
        <v>NO</v>
      </c>
    </row>
    <row r="450" spans="1:16" x14ac:dyDescent="0.3">
      <c r="A450">
        <v>100445</v>
      </c>
      <c r="B450" s="8">
        <v>45310.5</v>
      </c>
      <c r="C450" t="s">
        <v>15</v>
      </c>
      <c r="D450" t="s">
        <v>54</v>
      </c>
      <c r="E450" t="s">
        <v>68</v>
      </c>
      <c r="F450" t="s">
        <v>71</v>
      </c>
      <c r="G450">
        <v>3</v>
      </c>
      <c r="H450">
        <v>75.739999999999995</v>
      </c>
      <c r="I450">
        <v>0</v>
      </c>
      <c r="J450" t="s">
        <v>75</v>
      </c>
      <c r="K450" t="s">
        <v>79</v>
      </c>
      <c r="L450">
        <v>227.22</v>
      </c>
      <c r="M450">
        <v>0</v>
      </c>
      <c r="N450">
        <v>227.22</v>
      </c>
      <c r="O4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50" s="9" t="str">
        <f ca="1">IF(OR(ISNUMBER(Table1[[#This Row],[Order_Date]])=FALSE,Table1[[#This Row],[Order_Date]]&lt;DATE(2000,1,1),Table1[[#This Row],[Order_Date]]&gt;TODAY()),"YES","NO")</f>
        <v>NO</v>
      </c>
    </row>
    <row r="451" spans="1:16" x14ac:dyDescent="0.3">
      <c r="A451">
        <v>100446</v>
      </c>
      <c r="B451" s="8">
        <v>45310.541666666657</v>
      </c>
      <c r="C451" t="s">
        <v>14</v>
      </c>
      <c r="D451" t="s">
        <v>47</v>
      </c>
      <c r="E451" t="s">
        <v>70</v>
      </c>
      <c r="F451" t="s">
        <v>71</v>
      </c>
      <c r="G451">
        <v>4</v>
      </c>
      <c r="H451">
        <v>109.72</v>
      </c>
      <c r="I451">
        <v>10</v>
      </c>
      <c r="J451" t="s">
        <v>74</v>
      </c>
      <c r="K451" t="s">
        <v>77</v>
      </c>
      <c r="L451">
        <v>438.88</v>
      </c>
      <c r="M451">
        <v>43.888000000000012</v>
      </c>
      <c r="N451">
        <v>394.99200000000002</v>
      </c>
      <c r="O4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1" s="9" t="str">
        <f ca="1">IF(OR(ISNUMBER(Table1[[#This Row],[Order_Date]])=FALSE,Table1[[#This Row],[Order_Date]]&lt;DATE(2000,1,1),Table1[[#This Row],[Order_Date]]&gt;TODAY()),"YES","NO")</f>
        <v>NO</v>
      </c>
    </row>
    <row r="452" spans="1:16" x14ac:dyDescent="0.3">
      <c r="A452">
        <v>100447</v>
      </c>
      <c r="B452" s="8">
        <v>45310.583333333343</v>
      </c>
      <c r="C452" t="s">
        <v>14</v>
      </c>
      <c r="D452" t="s">
        <v>26</v>
      </c>
      <c r="E452" t="s">
        <v>70</v>
      </c>
      <c r="F452" t="s">
        <v>72</v>
      </c>
      <c r="G452">
        <v>3</v>
      </c>
      <c r="H452">
        <v>63.63</v>
      </c>
      <c r="I452">
        <v>10</v>
      </c>
      <c r="J452" t="s">
        <v>73</v>
      </c>
      <c r="K452" t="s">
        <v>77</v>
      </c>
      <c r="L452">
        <v>190.89</v>
      </c>
      <c r="M452">
        <v>19.088999999999999</v>
      </c>
      <c r="N452">
        <v>171.80099999999999</v>
      </c>
      <c r="O4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2" s="9" t="str">
        <f ca="1">IF(OR(ISNUMBER(Table1[[#This Row],[Order_Date]])=FALSE,Table1[[#This Row],[Order_Date]]&lt;DATE(2000,1,1),Table1[[#This Row],[Order_Date]]&gt;TODAY()),"YES","NO")</f>
        <v>NO</v>
      </c>
    </row>
    <row r="453" spans="1:16" x14ac:dyDescent="0.3">
      <c r="A453">
        <v>100448</v>
      </c>
      <c r="B453" s="8">
        <v>45310.625</v>
      </c>
      <c r="C453" t="s">
        <v>15</v>
      </c>
      <c r="D453" t="s">
        <v>55</v>
      </c>
      <c r="E453" t="s">
        <v>67</v>
      </c>
      <c r="F453" t="s">
        <v>72</v>
      </c>
      <c r="G453">
        <v>2</v>
      </c>
      <c r="H453">
        <v>62.65</v>
      </c>
      <c r="I453">
        <v>10</v>
      </c>
      <c r="J453" t="s">
        <v>76</v>
      </c>
      <c r="K453" t="s">
        <v>77</v>
      </c>
      <c r="L453">
        <v>125.3</v>
      </c>
      <c r="M453">
        <v>12.53</v>
      </c>
      <c r="N453">
        <v>112.77</v>
      </c>
      <c r="O4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3" s="9" t="str">
        <f ca="1">IF(OR(ISNUMBER(Table1[[#This Row],[Order_Date]])=FALSE,Table1[[#This Row],[Order_Date]]&lt;DATE(2000,1,1),Table1[[#This Row],[Order_Date]]&gt;TODAY()),"YES","NO")</f>
        <v>NO</v>
      </c>
    </row>
    <row r="454" spans="1:16" x14ac:dyDescent="0.3">
      <c r="A454">
        <v>100449</v>
      </c>
      <c r="B454" s="8">
        <v>45310.666666666657</v>
      </c>
      <c r="C454" t="s">
        <v>14</v>
      </c>
      <c r="D454" t="s">
        <v>49</v>
      </c>
      <c r="E454" t="s">
        <v>68</v>
      </c>
      <c r="F454" t="s">
        <v>72</v>
      </c>
      <c r="G454">
        <v>1</v>
      </c>
      <c r="H454">
        <v>10.78</v>
      </c>
      <c r="I454">
        <v>10</v>
      </c>
      <c r="J454" t="s">
        <v>73</v>
      </c>
      <c r="K454" t="s">
        <v>77</v>
      </c>
      <c r="L454">
        <v>10.78</v>
      </c>
      <c r="M454">
        <v>1.0780000000000001</v>
      </c>
      <c r="N454">
        <v>9.702</v>
      </c>
      <c r="O4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4" s="9" t="str">
        <f ca="1">IF(OR(ISNUMBER(Table1[[#This Row],[Order_Date]])=FALSE,Table1[[#This Row],[Order_Date]]&lt;DATE(2000,1,1),Table1[[#This Row],[Order_Date]]&gt;TODAY()),"YES","NO")</f>
        <v>NO</v>
      </c>
    </row>
    <row r="455" spans="1:16" x14ac:dyDescent="0.3">
      <c r="A455">
        <v>100450</v>
      </c>
      <c r="B455" s="8">
        <v>45310.708333333343</v>
      </c>
      <c r="C455" t="s">
        <v>15</v>
      </c>
      <c r="D455" t="s">
        <v>29</v>
      </c>
      <c r="E455" t="s">
        <v>66</v>
      </c>
      <c r="F455" t="s">
        <v>71</v>
      </c>
      <c r="G455">
        <v>4</v>
      </c>
      <c r="H455">
        <v>9.01</v>
      </c>
      <c r="I455">
        <v>10</v>
      </c>
      <c r="J455" t="s">
        <v>76</v>
      </c>
      <c r="K455" t="s">
        <v>77</v>
      </c>
      <c r="L455">
        <v>36.04</v>
      </c>
      <c r="M455">
        <v>3.6040000000000001</v>
      </c>
      <c r="N455">
        <v>32.436</v>
      </c>
      <c r="O4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5" s="9" t="str">
        <f ca="1">IF(OR(ISNUMBER(Table1[[#This Row],[Order_Date]])=FALSE,Table1[[#This Row],[Order_Date]]&lt;DATE(2000,1,1),Table1[[#This Row],[Order_Date]]&gt;TODAY()),"YES","NO")</f>
        <v>NO</v>
      </c>
    </row>
    <row r="456" spans="1:16" x14ac:dyDescent="0.3">
      <c r="A456">
        <v>100451</v>
      </c>
      <c r="B456" s="8">
        <v>45310.75</v>
      </c>
      <c r="C456" t="s">
        <v>15</v>
      </c>
      <c r="D456" t="s">
        <v>41</v>
      </c>
      <c r="E456" t="s">
        <v>70</v>
      </c>
      <c r="F456" t="s">
        <v>71</v>
      </c>
      <c r="G456">
        <v>3</v>
      </c>
      <c r="H456">
        <v>68.38</v>
      </c>
      <c r="I456">
        <v>0</v>
      </c>
      <c r="J456" t="s">
        <v>73</v>
      </c>
      <c r="K456" t="s">
        <v>77</v>
      </c>
      <c r="L456">
        <v>205.14</v>
      </c>
      <c r="M456">
        <v>0</v>
      </c>
      <c r="N456">
        <v>205.14</v>
      </c>
      <c r="O4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6" s="9" t="str">
        <f ca="1">IF(OR(ISNUMBER(Table1[[#This Row],[Order_Date]])=FALSE,Table1[[#This Row],[Order_Date]]&lt;DATE(2000,1,1),Table1[[#This Row],[Order_Date]]&gt;TODAY()),"YES","NO")</f>
        <v>NO</v>
      </c>
    </row>
    <row r="457" spans="1:16" x14ac:dyDescent="0.3">
      <c r="A457">
        <v>100452</v>
      </c>
      <c r="B457" s="8">
        <v>45310.791666666657</v>
      </c>
      <c r="C457" t="s">
        <v>15</v>
      </c>
      <c r="D457" t="s">
        <v>24</v>
      </c>
      <c r="E457" t="s">
        <v>70</v>
      </c>
      <c r="F457" t="s">
        <v>72</v>
      </c>
      <c r="G457">
        <v>5</v>
      </c>
      <c r="H457">
        <v>55.39</v>
      </c>
      <c r="I457">
        <v>5</v>
      </c>
      <c r="J457" t="s">
        <v>76</v>
      </c>
      <c r="K457" t="s">
        <v>77</v>
      </c>
      <c r="L457">
        <v>276.95</v>
      </c>
      <c r="M457">
        <v>13.8475</v>
      </c>
      <c r="N457">
        <v>263.10250000000002</v>
      </c>
      <c r="O4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7" s="9" t="str">
        <f ca="1">IF(OR(ISNUMBER(Table1[[#This Row],[Order_Date]])=FALSE,Table1[[#This Row],[Order_Date]]&lt;DATE(2000,1,1),Table1[[#This Row],[Order_Date]]&gt;TODAY()),"YES","NO")</f>
        <v>NO</v>
      </c>
    </row>
    <row r="458" spans="1:16" x14ac:dyDescent="0.3">
      <c r="A458">
        <v>100453</v>
      </c>
      <c r="B458" s="8">
        <v>45310.833333333343</v>
      </c>
      <c r="C458" t="s">
        <v>15</v>
      </c>
      <c r="D458" t="s">
        <v>62</v>
      </c>
      <c r="E458" t="s">
        <v>69</v>
      </c>
      <c r="F458" t="s">
        <v>71</v>
      </c>
      <c r="G458">
        <v>1</v>
      </c>
      <c r="H458">
        <v>101.51</v>
      </c>
      <c r="I458">
        <v>5</v>
      </c>
      <c r="J458" t="s">
        <v>74</v>
      </c>
      <c r="K458" t="s">
        <v>77</v>
      </c>
      <c r="L458">
        <v>101.51</v>
      </c>
      <c r="M458">
        <v>5.0755000000000008</v>
      </c>
      <c r="N458">
        <v>96.4345</v>
      </c>
      <c r="O4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8" s="9" t="str">
        <f ca="1">IF(OR(ISNUMBER(Table1[[#This Row],[Order_Date]])=FALSE,Table1[[#This Row],[Order_Date]]&lt;DATE(2000,1,1),Table1[[#This Row],[Order_Date]]&gt;TODAY()),"YES","NO")</f>
        <v>NO</v>
      </c>
    </row>
    <row r="459" spans="1:16" x14ac:dyDescent="0.3">
      <c r="A459">
        <v>100454</v>
      </c>
      <c r="B459" s="8">
        <v>45310.875</v>
      </c>
      <c r="C459" t="s">
        <v>15</v>
      </c>
      <c r="D459" t="s">
        <v>57</v>
      </c>
      <c r="E459" t="s">
        <v>66</v>
      </c>
      <c r="F459" t="s">
        <v>72</v>
      </c>
      <c r="G459">
        <v>2</v>
      </c>
      <c r="H459">
        <v>23.48</v>
      </c>
      <c r="I459">
        <v>5</v>
      </c>
      <c r="J459" t="s">
        <v>74</v>
      </c>
      <c r="K459" t="s">
        <v>77</v>
      </c>
      <c r="L459">
        <v>46.96</v>
      </c>
      <c r="M459">
        <v>2.3479999999999999</v>
      </c>
      <c r="N459">
        <v>44.612000000000002</v>
      </c>
      <c r="O4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59" s="9" t="str">
        <f ca="1">IF(OR(ISNUMBER(Table1[[#This Row],[Order_Date]])=FALSE,Table1[[#This Row],[Order_Date]]&lt;DATE(2000,1,1),Table1[[#This Row],[Order_Date]]&gt;TODAY()),"YES","NO")</f>
        <v>NO</v>
      </c>
    </row>
    <row r="460" spans="1:16" x14ac:dyDescent="0.3">
      <c r="A460">
        <v>100455</v>
      </c>
      <c r="B460" s="8">
        <v>45310.916666666657</v>
      </c>
      <c r="C460" t="s">
        <v>14</v>
      </c>
      <c r="D460" t="s">
        <v>41</v>
      </c>
      <c r="E460" t="s">
        <v>66</v>
      </c>
      <c r="F460" t="s">
        <v>71</v>
      </c>
      <c r="G460">
        <v>3</v>
      </c>
      <c r="H460">
        <v>7.87</v>
      </c>
      <c r="I460">
        <v>5</v>
      </c>
      <c r="J460" t="s">
        <v>74</v>
      </c>
      <c r="K460" t="s">
        <v>77</v>
      </c>
      <c r="L460">
        <v>23.61</v>
      </c>
      <c r="M460">
        <v>1.1805000000000001</v>
      </c>
      <c r="N460">
        <v>22.429500000000001</v>
      </c>
      <c r="O4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0" s="9" t="str">
        <f ca="1">IF(OR(ISNUMBER(Table1[[#This Row],[Order_Date]])=FALSE,Table1[[#This Row],[Order_Date]]&lt;DATE(2000,1,1),Table1[[#This Row],[Order_Date]]&gt;TODAY()),"YES","NO")</f>
        <v>NO</v>
      </c>
    </row>
    <row r="461" spans="1:16" x14ac:dyDescent="0.3">
      <c r="A461">
        <v>100456</v>
      </c>
      <c r="B461" s="8">
        <v>45310.958333333343</v>
      </c>
      <c r="C461" t="s">
        <v>14</v>
      </c>
      <c r="D461" t="s">
        <v>20</v>
      </c>
      <c r="E461" t="s">
        <v>70</v>
      </c>
      <c r="F461" t="s">
        <v>71</v>
      </c>
      <c r="G461">
        <v>2</v>
      </c>
      <c r="H461">
        <v>56.64</v>
      </c>
      <c r="I461">
        <v>0</v>
      </c>
      <c r="J461" t="s">
        <v>73</v>
      </c>
      <c r="K461" t="s">
        <v>77</v>
      </c>
      <c r="L461">
        <v>113.28</v>
      </c>
      <c r="M461">
        <v>0</v>
      </c>
      <c r="N461">
        <v>113.28</v>
      </c>
      <c r="O4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1" s="9" t="str">
        <f ca="1">IF(OR(ISNUMBER(Table1[[#This Row],[Order_Date]])=FALSE,Table1[[#This Row],[Order_Date]]&lt;DATE(2000,1,1),Table1[[#This Row],[Order_Date]]&gt;TODAY()),"YES","NO")</f>
        <v>NO</v>
      </c>
    </row>
    <row r="462" spans="1:16" x14ac:dyDescent="0.3">
      <c r="A462">
        <v>100457</v>
      </c>
      <c r="B462" s="8">
        <v>45311</v>
      </c>
      <c r="C462" t="s">
        <v>15</v>
      </c>
      <c r="D462" t="s">
        <v>54</v>
      </c>
      <c r="E462" t="s">
        <v>67</v>
      </c>
      <c r="F462" t="s">
        <v>71</v>
      </c>
      <c r="G462">
        <v>2</v>
      </c>
      <c r="H462">
        <v>32.31</v>
      </c>
      <c r="I462">
        <v>15</v>
      </c>
      <c r="J462" t="s">
        <v>74</v>
      </c>
      <c r="K462" t="s">
        <v>78</v>
      </c>
      <c r="L462">
        <v>64.62</v>
      </c>
      <c r="M462">
        <v>9.6929999999999996</v>
      </c>
      <c r="N462">
        <v>54.927000000000007</v>
      </c>
      <c r="O4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62" s="9" t="str">
        <f ca="1">IF(OR(ISNUMBER(Table1[[#This Row],[Order_Date]])=FALSE,Table1[[#This Row],[Order_Date]]&lt;DATE(2000,1,1),Table1[[#This Row],[Order_Date]]&gt;TODAY()),"YES","NO")</f>
        <v>NO</v>
      </c>
    </row>
    <row r="463" spans="1:16" x14ac:dyDescent="0.3">
      <c r="A463">
        <v>100458</v>
      </c>
      <c r="B463" s="8">
        <v>45311.041666666657</v>
      </c>
      <c r="C463" t="s">
        <v>15</v>
      </c>
      <c r="D463" t="s">
        <v>27</v>
      </c>
      <c r="E463" t="s">
        <v>69</v>
      </c>
      <c r="F463" t="s">
        <v>71</v>
      </c>
      <c r="G463">
        <v>4</v>
      </c>
      <c r="H463">
        <v>10.71</v>
      </c>
      <c r="I463">
        <v>15</v>
      </c>
      <c r="J463" t="s">
        <v>75</v>
      </c>
      <c r="K463" t="s">
        <v>77</v>
      </c>
      <c r="L463">
        <v>42.84</v>
      </c>
      <c r="M463">
        <v>6.4260000000000002</v>
      </c>
      <c r="N463">
        <v>36.414000000000001</v>
      </c>
      <c r="O4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3" s="9" t="str">
        <f ca="1">IF(OR(ISNUMBER(Table1[[#This Row],[Order_Date]])=FALSE,Table1[[#This Row],[Order_Date]]&lt;DATE(2000,1,1),Table1[[#This Row],[Order_Date]]&gt;TODAY()),"YES","NO")</f>
        <v>NO</v>
      </c>
    </row>
    <row r="464" spans="1:16" x14ac:dyDescent="0.3">
      <c r="A464">
        <v>100459</v>
      </c>
      <c r="B464" s="8">
        <v>45311.083333333343</v>
      </c>
      <c r="C464" t="s">
        <v>14</v>
      </c>
      <c r="D464" t="s">
        <v>30</v>
      </c>
      <c r="E464" t="s">
        <v>66</v>
      </c>
      <c r="F464" t="s">
        <v>72</v>
      </c>
      <c r="G464">
        <v>4</v>
      </c>
      <c r="H464">
        <v>88.33</v>
      </c>
      <c r="I464">
        <v>0</v>
      </c>
      <c r="J464" t="s">
        <v>74</v>
      </c>
      <c r="K464" t="s">
        <v>77</v>
      </c>
      <c r="L464">
        <v>353.32</v>
      </c>
      <c r="M464">
        <v>0</v>
      </c>
      <c r="N464">
        <v>353.32</v>
      </c>
      <c r="O4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4" s="9" t="str">
        <f ca="1">IF(OR(ISNUMBER(Table1[[#This Row],[Order_Date]])=FALSE,Table1[[#This Row],[Order_Date]]&lt;DATE(2000,1,1),Table1[[#This Row],[Order_Date]]&gt;TODAY()),"YES","NO")</f>
        <v>NO</v>
      </c>
    </row>
    <row r="465" spans="1:16" x14ac:dyDescent="0.3">
      <c r="A465">
        <v>100460</v>
      </c>
      <c r="B465" s="8">
        <v>45311.125</v>
      </c>
      <c r="C465" t="s">
        <v>14</v>
      </c>
      <c r="D465" t="s">
        <v>18</v>
      </c>
      <c r="E465" t="s">
        <v>70</v>
      </c>
      <c r="F465" t="s">
        <v>71</v>
      </c>
      <c r="G465">
        <v>3</v>
      </c>
      <c r="H465">
        <v>17.829999999999998</v>
      </c>
      <c r="I465">
        <v>0</v>
      </c>
      <c r="J465" t="s">
        <v>76</v>
      </c>
      <c r="K465" t="s">
        <v>77</v>
      </c>
      <c r="L465">
        <v>53.489999999999988</v>
      </c>
      <c r="M465">
        <v>0</v>
      </c>
      <c r="N465">
        <v>53.489999999999988</v>
      </c>
      <c r="O4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5" s="9" t="str">
        <f ca="1">IF(OR(ISNUMBER(Table1[[#This Row],[Order_Date]])=FALSE,Table1[[#This Row],[Order_Date]]&lt;DATE(2000,1,1),Table1[[#This Row],[Order_Date]]&gt;TODAY()),"YES","NO")</f>
        <v>NO</v>
      </c>
    </row>
    <row r="466" spans="1:16" x14ac:dyDescent="0.3">
      <c r="A466">
        <v>100461</v>
      </c>
      <c r="B466" s="8">
        <v>45311.166666666657</v>
      </c>
      <c r="C466" t="s">
        <v>15</v>
      </c>
      <c r="D466" t="s">
        <v>29</v>
      </c>
      <c r="E466" t="s">
        <v>66</v>
      </c>
      <c r="F466" t="s">
        <v>72</v>
      </c>
      <c r="G466">
        <v>5</v>
      </c>
      <c r="H466">
        <v>74.959999999999994</v>
      </c>
      <c r="I466">
        <v>10</v>
      </c>
      <c r="J466" t="s">
        <v>76</v>
      </c>
      <c r="K466" t="s">
        <v>79</v>
      </c>
      <c r="L466">
        <v>374.8</v>
      </c>
      <c r="M466">
        <v>37.479999999999997</v>
      </c>
      <c r="N466">
        <v>337.31999999999988</v>
      </c>
      <c r="O4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66" s="9" t="str">
        <f ca="1">IF(OR(ISNUMBER(Table1[[#This Row],[Order_Date]])=FALSE,Table1[[#This Row],[Order_Date]]&lt;DATE(2000,1,1),Table1[[#This Row],[Order_Date]]&gt;TODAY()),"YES","NO")</f>
        <v>NO</v>
      </c>
    </row>
    <row r="467" spans="1:16" x14ac:dyDescent="0.3">
      <c r="A467">
        <v>100462</v>
      </c>
      <c r="B467" s="8">
        <v>45311.208333333343</v>
      </c>
      <c r="C467" t="s">
        <v>14</v>
      </c>
      <c r="D467" t="s">
        <v>54</v>
      </c>
      <c r="E467" t="s">
        <v>69</v>
      </c>
      <c r="F467" t="s">
        <v>72</v>
      </c>
      <c r="G467">
        <v>3</v>
      </c>
      <c r="H467">
        <v>37.32</v>
      </c>
      <c r="I467">
        <v>10</v>
      </c>
      <c r="J467" t="s">
        <v>76</v>
      </c>
      <c r="K467" t="s">
        <v>77</v>
      </c>
      <c r="L467">
        <v>111.96</v>
      </c>
      <c r="M467">
        <v>11.196</v>
      </c>
      <c r="N467">
        <v>100.764</v>
      </c>
      <c r="O4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7" s="9" t="str">
        <f ca="1">IF(OR(ISNUMBER(Table1[[#This Row],[Order_Date]])=FALSE,Table1[[#This Row],[Order_Date]]&lt;DATE(2000,1,1),Table1[[#This Row],[Order_Date]]&gt;TODAY()),"YES","NO")</f>
        <v>NO</v>
      </c>
    </row>
    <row r="468" spans="1:16" x14ac:dyDescent="0.3">
      <c r="A468">
        <v>100463</v>
      </c>
      <c r="B468" s="8">
        <v>45311.25</v>
      </c>
      <c r="C468" t="s">
        <v>15</v>
      </c>
      <c r="D468" t="s">
        <v>62</v>
      </c>
      <c r="E468" t="s">
        <v>69</v>
      </c>
      <c r="F468" t="s">
        <v>72</v>
      </c>
      <c r="G468">
        <v>5</v>
      </c>
      <c r="H468">
        <v>24.95</v>
      </c>
      <c r="I468">
        <v>10</v>
      </c>
      <c r="J468" t="s">
        <v>73</v>
      </c>
      <c r="K468" t="s">
        <v>77</v>
      </c>
      <c r="L468">
        <v>124.75</v>
      </c>
      <c r="M468">
        <v>12.475</v>
      </c>
      <c r="N468">
        <v>112.27500000000001</v>
      </c>
      <c r="O4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8" s="9" t="str">
        <f ca="1">IF(OR(ISNUMBER(Table1[[#This Row],[Order_Date]])=FALSE,Table1[[#This Row],[Order_Date]]&lt;DATE(2000,1,1),Table1[[#This Row],[Order_Date]]&gt;TODAY()),"YES","NO")</f>
        <v>NO</v>
      </c>
    </row>
    <row r="469" spans="1:16" x14ac:dyDescent="0.3">
      <c r="A469">
        <v>100464</v>
      </c>
      <c r="B469" s="8">
        <v>45311.291666666657</v>
      </c>
      <c r="C469" t="s">
        <v>14</v>
      </c>
      <c r="D469" t="s">
        <v>57</v>
      </c>
      <c r="E469" t="s">
        <v>68</v>
      </c>
      <c r="F469" t="s">
        <v>71</v>
      </c>
      <c r="G469">
        <v>2</v>
      </c>
      <c r="H469">
        <v>48.67</v>
      </c>
      <c r="I469">
        <v>5</v>
      </c>
      <c r="J469" t="s">
        <v>75</v>
      </c>
      <c r="K469" t="s">
        <v>77</v>
      </c>
      <c r="L469">
        <v>97.34</v>
      </c>
      <c r="M469">
        <v>4.8670000000000009</v>
      </c>
      <c r="N469">
        <v>92.472999999999999</v>
      </c>
      <c r="O4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69" s="9" t="str">
        <f ca="1">IF(OR(ISNUMBER(Table1[[#This Row],[Order_Date]])=FALSE,Table1[[#This Row],[Order_Date]]&lt;DATE(2000,1,1),Table1[[#This Row],[Order_Date]]&gt;TODAY()),"YES","NO")</f>
        <v>NO</v>
      </c>
    </row>
    <row r="470" spans="1:16" x14ac:dyDescent="0.3">
      <c r="A470">
        <v>100465</v>
      </c>
      <c r="B470" s="8">
        <v>45311.333333333343</v>
      </c>
      <c r="C470" t="s">
        <v>15</v>
      </c>
      <c r="D470" t="s">
        <v>58</v>
      </c>
      <c r="E470" t="s">
        <v>70</v>
      </c>
      <c r="F470" t="s">
        <v>72</v>
      </c>
      <c r="G470">
        <v>1</v>
      </c>
      <c r="H470">
        <v>97.17</v>
      </c>
      <c r="I470">
        <v>10</v>
      </c>
      <c r="J470" t="s">
        <v>74</v>
      </c>
      <c r="K470" t="s">
        <v>77</v>
      </c>
      <c r="L470">
        <v>97.17</v>
      </c>
      <c r="M470">
        <v>9.7170000000000005</v>
      </c>
      <c r="N470">
        <v>87.453000000000003</v>
      </c>
      <c r="O4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0" s="9" t="str">
        <f ca="1">IF(OR(ISNUMBER(Table1[[#This Row],[Order_Date]])=FALSE,Table1[[#This Row],[Order_Date]]&lt;DATE(2000,1,1),Table1[[#This Row],[Order_Date]]&gt;TODAY()),"YES","NO")</f>
        <v>NO</v>
      </c>
    </row>
    <row r="471" spans="1:16" x14ac:dyDescent="0.3">
      <c r="A471">
        <v>100466</v>
      </c>
      <c r="B471" s="8">
        <v>45311.375</v>
      </c>
      <c r="C471" t="s">
        <v>14</v>
      </c>
      <c r="D471" t="s">
        <v>64</v>
      </c>
      <c r="E471" t="s">
        <v>69</v>
      </c>
      <c r="F471" t="s">
        <v>72</v>
      </c>
      <c r="G471">
        <v>3</v>
      </c>
      <c r="H471">
        <v>50.09</v>
      </c>
      <c r="I471">
        <v>15</v>
      </c>
      <c r="J471" t="s">
        <v>75</v>
      </c>
      <c r="K471" t="s">
        <v>77</v>
      </c>
      <c r="L471">
        <v>150.27000000000001</v>
      </c>
      <c r="M471">
        <v>22.540500000000002</v>
      </c>
      <c r="N471">
        <v>127.7295</v>
      </c>
      <c r="O4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1" s="9" t="str">
        <f ca="1">IF(OR(ISNUMBER(Table1[[#This Row],[Order_Date]])=FALSE,Table1[[#This Row],[Order_Date]]&lt;DATE(2000,1,1),Table1[[#This Row],[Order_Date]]&gt;TODAY()),"YES","NO")</f>
        <v>NO</v>
      </c>
    </row>
    <row r="472" spans="1:16" x14ac:dyDescent="0.3">
      <c r="A472">
        <v>100467</v>
      </c>
      <c r="B472" s="8">
        <v>45311.416666666657</v>
      </c>
      <c r="C472" t="s">
        <v>15</v>
      </c>
      <c r="D472" t="s">
        <v>22</v>
      </c>
      <c r="E472" t="s">
        <v>68</v>
      </c>
      <c r="F472" t="s">
        <v>72</v>
      </c>
      <c r="G472">
        <v>3</v>
      </c>
      <c r="H472">
        <v>91.34</v>
      </c>
      <c r="I472">
        <v>5</v>
      </c>
      <c r="J472" t="s">
        <v>75</v>
      </c>
      <c r="K472" t="s">
        <v>77</v>
      </c>
      <c r="L472">
        <v>274.02</v>
      </c>
      <c r="M472">
        <v>13.701000000000001</v>
      </c>
      <c r="N472">
        <v>260.31900000000002</v>
      </c>
      <c r="O4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2" s="9" t="str">
        <f ca="1">IF(OR(ISNUMBER(Table1[[#This Row],[Order_Date]])=FALSE,Table1[[#This Row],[Order_Date]]&lt;DATE(2000,1,1),Table1[[#This Row],[Order_Date]]&gt;TODAY()),"YES","NO")</f>
        <v>NO</v>
      </c>
    </row>
    <row r="473" spans="1:16" x14ac:dyDescent="0.3">
      <c r="A473">
        <v>100468</v>
      </c>
      <c r="B473" s="8">
        <v>45311.458333333343</v>
      </c>
      <c r="C473" t="s">
        <v>14</v>
      </c>
      <c r="D473" t="s">
        <v>53</v>
      </c>
      <c r="E473" t="s">
        <v>68</v>
      </c>
      <c r="F473" t="s">
        <v>71</v>
      </c>
      <c r="G473">
        <v>5</v>
      </c>
      <c r="H473">
        <v>19.43</v>
      </c>
      <c r="I473">
        <v>10</v>
      </c>
      <c r="J473" t="s">
        <v>76</v>
      </c>
      <c r="K473" t="s">
        <v>77</v>
      </c>
      <c r="L473">
        <v>97.15</v>
      </c>
      <c r="M473">
        <v>9.7150000000000016</v>
      </c>
      <c r="N473">
        <v>87.435000000000002</v>
      </c>
      <c r="O4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3" s="9" t="str">
        <f ca="1">IF(OR(ISNUMBER(Table1[[#This Row],[Order_Date]])=FALSE,Table1[[#This Row],[Order_Date]]&lt;DATE(2000,1,1),Table1[[#This Row],[Order_Date]]&gt;TODAY()),"YES","NO")</f>
        <v>NO</v>
      </c>
    </row>
    <row r="474" spans="1:16" x14ac:dyDescent="0.3">
      <c r="A474">
        <v>100469</v>
      </c>
      <c r="B474" s="8">
        <v>45311.5</v>
      </c>
      <c r="C474" t="s">
        <v>14</v>
      </c>
      <c r="D474" t="s">
        <v>28</v>
      </c>
      <c r="E474" t="s">
        <v>66</v>
      </c>
      <c r="F474" t="s">
        <v>71</v>
      </c>
      <c r="G474">
        <v>2</v>
      </c>
      <c r="H474">
        <v>93.87</v>
      </c>
      <c r="I474">
        <v>5</v>
      </c>
      <c r="J474" t="s">
        <v>76</v>
      </c>
      <c r="K474" t="s">
        <v>78</v>
      </c>
      <c r="L474">
        <v>187.74</v>
      </c>
      <c r="M474">
        <v>9.3870000000000005</v>
      </c>
      <c r="N474">
        <v>178.35300000000001</v>
      </c>
      <c r="O4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74" s="9" t="str">
        <f ca="1">IF(OR(ISNUMBER(Table1[[#This Row],[Order_Date]])=FALSE,Table1[[#This Row],[Order_Date]]&lt;DATE(2000,1,1),Table1[[#This Row],[Order_Date]]&gt;TODAY()),"YES","NO")</f>
        <v>NO</v>
      </c>
    </row>
    <row r="475" spans="1:16" x14ac:dyDescent="0.3">
      <c r="A475">
        <v>100470</v>
      </c>
      <c r="B475" s="8">
        <v>45311.541666666657</v>
      </c>
      <c r="C475" t="s">
        <v>15</v>
      </c>
      <c r="D475" t="s">
        <v>50</v>
      </c>
      <c r="E475" t="s">
        <v>66</v>
      </c>
      <c r="F475" t="s">
        <v>72</v>
      </c>
      <c r="G475">
        <v>2</v>
      </c>
      <c r="H475">
        <v>32.25</v>
      </c>
      <c r="I475">
        <v>15</v>
      </c>
      <c r="J475" t="s">
        <v>76</v>
      </c>
      <c r="K475" t="s">
        <v>77</v>
      </c>
      <c r="L475">
        <v>64.5</v>
      </c>
      <c r="M475">
        <v>9.6749999999999989</v>
      </c>
      <c r="N475">
        <v>54.825000000000003</v>
      </c>
      <c r="O4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5" s="9" t="str">
        <f ca="1">IF(OR(ISNUMBER(Table1[[#This Row],[Order_Date]])=FALSE,Table1[[#This Row],[Order_Date]]&lt;DATE(2000,1,1),Table1[[#This Row],[Order_Date]]&gt;TODAY()),"YES","NO")</f>
        <v>NO</v>
      </c>
    </row>
    <row r="476" spans="1:16" x14ac:dyDescent="0.3">
      <c r="A476">
        <v>100471</v>
      </c>
      <c r="B476" s="8">
        <v>45311.583333333343</v>
      </c>
      <c r="C476" t="s">
        <v>14</v>
      </c>
      <c r="D476" t="s">
        <v>55</v>
      </c>
      <c r="E476" t="s">
        <v>68</v>
      </c>
      <c r="F476" t="s">
        <v>71</v>
      </c>
      <c r="G476">
        <v>5</v>
      </c>
      <c r="H476">
        <v>82.9</v>
      </c>
      <c r="I476">
        <v>10</v>
      </c>
      <c r="J476" t="s">
        <v>73</v>
      </c>
      <c r="K476" t="s">
        <v>77</v>
      </c>
      <c r="L476">
        <v>414.5</v>
      </c>
      <c r="M476">
        <v>41.45</v>
      </c>
      <c r="N476">
        <v>373.05</v>
      </c>
      <c r="O4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6" s="9" t="str">
        <f ca="1">IF(OR(ISNUMBER(Table1[[#This Row],[Order_Date]])=FALSE,Table1[[#This Row],[Order_Date]]&lt;DATE(2000,1,1),Table1[[#This Row],[Order_Date]]&gt;TODAY()),"YES","NO")</f>
        <v>NO</v>
      </c>
    </row>
    <row r="477" spans="1:16" x14ac:dyDescent="0.3">
      <c r="A477">
        <v>100472</v>
      </c>
      <c r="B477" s="8">
        <v>45311.625</v>
      </c>
      <c r="C477" t="s">
        <v>15</v>
      </c>
      <c r="D477" t="s">
        <v>61</v>
      </c>
      <c r="E477" t="s">
        <v>66</v>
      </c>
      <c r="F477" t="s">
        <v>72</v>
      </c>
      <c r="G477">
        <v>2</v>
      </c>
      <c r="H477">
        <v>70.06</v>
      </c>
      <c r="I477">
        <v>15</v>
      </c>
      <c r="J477" t="s">
        <v>75</v>
      </c>
      <c r="K477" t="s">
        <v>77</v>
      </c>
      <c r="L477">
        <v>140.12</v>
      </c>
      <c r="M477">
        <v>21.018000000000001</v>
      </c>
      <c r="N477">
        <v>119.102</v>
      </c>
      <c r="O4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7" s="9" t="str">
        <f ca="1">IF(OR(ISNUMBER(Table1[[#This Row],[Order_Date]])=FALSE,Table1[[#This Row],[Order_Date]]&lt;DATE(2000,1,1),Table1[[#This Row],[Order_Date]]&gt;TODAY()),"YES","NO")</f>
        <v>NO</v>
      </c>
    </row>
    <row r="478" spans="1:16" x14ac:dyDescent="0.3">
      <c r="A478">
        <v>100473</v>
      </c>
      <c r="B478" s="8">
        <v>45311.666666666657</v>
      </c>
      <c r="C478" t="s">
        <v>14</v>
      </c>
      <c r="D478" t="s">
        <v>38</v>
      </c>
      <c r="E478" t="s">
        <v>69</v>
      </c>
      <c r="F478" t="s">
        <v>72</v>
      </c>
      <c r="G478">
        <v>4</v>
      </c>
      <c r="H478">
        <v>111.85</v>
      </c>
      <c r="I478">
        <v>15</v>
      </c>
      <c r="J478" t="s">
        <v>75</v>
      </c>
      <c r="K478" t="s">
        <v>77</v>
      </c>
      <c r="L478">
        <v>447.4</v>
      </c>
      <c r="M478">
        <v>67.11</v>
      </c>
      <c r="N478">
        <v>380.29</v>
      </c>
      <c r="O4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78" s="9" t="str">
        <f ca="1">IF(OR(ISNUMBER(Table1[[#This Row],[Order_Date]])=FALSE,Table1[[#This Row],[Order_Date]]&lt;DATE(2000,1,1),Table1[[#This Row],[Order_Date]]&gt;TODAY()),"YES","NO")</f>
        <v>NO</v>
      </c>
    </row>
    <row r="479" spans="1:16" x14ac:dyDescent="0.3">
      <c r="A479">
        <v>100474</v>
      </c>
      <c r="B479" s="8">
        <v>45311.708333333343</v>
      </c>
      <c r="C479" t="s">
        <v>15</v>
      </c>
      <c r="D479" t="s">
        <v>21</v>
      </c>
      <c r="E479" t="s">
        <v>67</v>
      </c>
      <c r="F479" t="s">
        <v>71</v>
      </c>
      <c r="G479">
        <v>1</v>
      </c>
      <c r="H479">
        <v>49.54</v>
      </c>
      <c r="I479">
        <v>15</v>
      </c>
      <c r="J479" t="s">
        <v>73</v>
      </c>
      <c r="K479" t="s">
        <v>78</v>
      </c>
      <c r="L479">
        <v>49.54</v>
      </c>
      <c r="M479">
        <v>7.4309999999999992</v>
      </c>
      <c r="N479">
        <v>42.109000000000002</v>
      </c>
      <c r="O4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79" s="9" t="str">
        <f ca="1">IF(OR(ISNUMBER(Table1[[#This Row],[Order_Date]])=FALSE,Table1[[#This Row],[Order_Date]]&lt;DATE(2000,1,1),Table1[[#This Row],[Order_Date]]&gt;TODAY()),"YES","NO")</f>
        <v>NO</v>
      </c>
    </row>
    <row r="480" spans="1:16" x14ac:dyDescent="0.3">
      <c r="A480">
        <v>100475</v>
      </c>
      <c r="B480" s="8">
        <v>45311.75</v>
      </c>
      <c r="C480" t="s">
        <v>14</v>
      </c>
      <c r="D480" t="s">
        <v>46</v>
      </c>
      <c r="E480" t="s">
        <v>69</v>
      </c>
      <c r="F480" t="s">
        <v>72</v>
      </c>
      <c r="G480">
        <v>3</v>
      </c>
      <c r="H480">
        <v>12.61</v>
      </c>
      <c r="I480">
        <v>10</v>
      </c>
      <c r="J480" t="s">
        <v>73</v>
      </c>
      <c r="K480" t="s">
        <v>77</v>
      </c>
      <c r="L480">
        <v>37.83</v>
      </c>
      <c r="M480">
        <v>3.7829999999999999</v>
      </c>
      <c r="N480">
        <v>34.046999999999997</v>
      </c>
      <c r="O4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0" s="9" t="str">
        <f ca="1">IF(OR(ISNUMBER(Table1[[#This Row],[Order_Date]])=FALSE,Table1[[#This Row],[Order_Date]]&lt;DATE(2000,1,1),Table1[[#This Row],[Order_Date]]&gt;TODAY()),"YES","NO")</f>
        <v>NO</v>
      </c>
    </row>
    <row r="481" spans="1:16" x14ac:dyDescent="0.3">
      <c r="A481">
        <v>100476</v>
      </c>
      <c r="B481" s="8">
        <v>45311.791666666657</v>
      </c>
      <c r="C481" t="s">
        <v>15</v>
      </c>
      <c r="D481" t="s">
        <v>17</v>
      </c>
      <c r="E481" t="s">
        <v>68</v>
      </c>
      <c r="F481" t="s">
        <v>71</v>
      </c>
      <c r="G481">
        <v>1</v>
      </c>
      <c r="H481">
        <v>7.2</v>
      </c>
      <c r="I481">
        <v>0</v>
      </c>
      <c r="J481" t="s">
        <v>73</v>
      </c>
      <c r="K481" t="s">
        <v>77</v>
      </c>
      <c r="L481">
        <v>7.2</v>
      </c>
      <c r="M481">
        <v>0</v>
      </c>
      <c r="N481">
        <v>7.2</v>
      </c>
      <c r="O4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1" s="9" t="str">
        <f ca="1">IF(OR(ISNUMBER(Table1[[#This Row],[Order_Date]])=FALSE,Table1[[#This Row],[Order_Date]]&lt;DATE(2000,1,1),Table1[[#This Row],[Order_Date]]&gt;TODAY()),"YES","NO")</f>
        <v>NO</v>
      </c>
    </row>
    <row r="482" spans="1:16" x14ac:dyDescent="0.3">
      <c r="A482">
        <v>100477</v>
      </c>
      <c r="B482" s="8">
        <v>45311.833333333343</v>
      </c>
      <c r="C482" t="s">
        <v>14</v>
      </c>
      <c r="D482" t="s">
        <v>23</v>
      </c>
      <c r="E482" t="s">
        <v>68</v>
      </c>
      <c r="F482" t="s">
        <v>71</v>
      </c>
      <c r="G482">
        <v>3</v>
      </c>
      <c r="H482">
        <v>100.09</v>
      </c>
      <c r="I482">
        <v>10</v>
      </c>
      <c r="J482" t="s">
        <v>75</v>
      </c>
      <c r="K482" t="s">
        <v>77</v>
      </c>
      <c r="L482">
        <v>300.27</v>
      </c>
      <c r="M482">
        <v>30.027000000000001</v>
      </c>
      <c r="N482">
        <v>270.24299999999999</v>
      </c>
      <c r="O4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2" s="9" t="str">
        <f ca="1">IF(OR(ISNUMBER(Table1[[#This Row],[Order_Date]])=FALSE,Table1[[#This Row],[Order_Date]]&lt;DATE(2000,1,1),Table1[[#This Row],[Order_Date]]&gt;TODAY()),"YES","NO")</f>
        <v>NO</v>
      </c>
    </row>
    <row r="483" spans="1:16" x14ac:dyDescent="0.3">
      <c r="A483">
        <v>100478</v>
      </c>
      <c r="B483" s="8">
        <v>45311.875</v>
      </c>
      <c r="C483" t="s">
        <v>15</v>
      </c>
      <c r="D483" t="s">
        <v>52</v>
      </c>
      <c r="E483" t="s">
        <v>69</v>
      </c>
      <c r="F483" t="s">
        <v>72</v>
      </c>
      <c r="G483">
        <v>4</v>
      </c>
      <c r="H483">
        <v>65.34</v>
      </c>
      <c r="I483">
        <v>15</v>
      </c>
      <c r="J483" t="s">
        <v>75</v>
      </c>
      <c r="K483" t="s">
        <v>77</v>
      </c>
      <c r="L483">
        <v>261.36</v>
      </c>
      <c r="M483">
        <v>39.204000000000001</v>
      </c>
      <c r="N483">
        <v>222.15600000000001</v>
      </c>
      <c r="O4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3" s="9" t="str">
        <f ca="1">IF(OR(ISNUMBER(Table1[[#This Row],[Order_Date]])=FALSE,Table1[[#This Row],[Order_Date]]&lt;DATE(2000,1,1),Table1[[#This Row],[Order_Date]]&gt;TODAY()),"YES","NO")</f>
        <v>NO</v>
      </c>
    </row>
    <row r="484" spans="1:16" x14ac:dyDescent="0.3">
      <c r="A484">
        <v>100479</v>
      </c>
      <c r="B484" s="8">
        <v>45311.916666666657</v>
      </c>
      <c r="C484" t="s">
        <v>14</v>
      </c>
      <c r="D484" t="s">
        <v>54</v>
      </c>
      <c r="E484" t="s">
        <v>66</v>
      </c>
      <c r="F484" t="s">
        <v>71</v>
      </c>
      <c r="G484">
        <v>2</v>
      </c>
      <c r="H484">
        <v>94.15</v>
      </c>
      <c r="I484">
        <v>10</v>
      </c>
      <c r="J484" t="s">
        <v>76</v>
      </c>
      <c r="K484" t="s">
        <v>77</v>
      </c>
      <c r="L484">
        <v>188.3</v>
      </c>
      <c r="M484">
        <v>18.829999999999998</v>
      </c>
      <c r="N484">
        <v>169.47</v>
      </c>
      <c r="O4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4" s="9" t="str">
        <f ca="1">IF(OR(ISNUMBER(Table1[[#This Row],[Order_Date]])=FALSE,Table1[[#This Row],[Order_Date]]&lt;DATE(2000,1,1),Table1[[#This Row],[Order_Date]]&gt;TODAY()),"YES","NO")</f>
        <v>NO</v>
      </c>
    </row>
    <row r="485" spans="1:16" x14ac:dyDescent="0.3">
      <c r="A485">
        <v>100480</v>
      </c>
      <c r="B485" s="8">
        <v>45311.958333333343</v>
      </c>
      <c r="C485" t="s">
        <v>15</v>
      </c>
      <c r="D485" t="s">
        <v>45</v>
      </c>
      <c r="E485" t="s">
        <v>66</v>
      </c>
      <c r="F485" t="s">
        <v>71</v>
      </c>
      <c r="G485">
        <v>5</v>
      </c>
      <c r="H485">
        <v>31.96</v>
      </c>
      <c r="I485">
        <v>15</v>
      </c>
      <c r="J485" t="s">
        <v>76</v>
      </c>
      <c r="K485" t="s">
        <v>77</v>
      </c>
      <c r="L485">
        <v>159.80000000000001</v>
      </c>
      <c r="M485">
        <v>23.97</v>
      </c>
      <c r="N485">
        <v>135.83000000000001</v>
      </c>
      <c r="O4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5" s="9" t="str">
        <f ca="1">IF(OR(ISNUMBER(Table1[[#This Row],[Order_Date]])=FALSE,Table1[[#This Row],[Order_Date]]&lt;DATE(2000,1,1),Table1[[#This Row],[Order_Date]]&gt;TODAY()),"YES","NO")</f>
        <v>NO</v>
      </c>
    </row>
    <row r="486" spans="1:16" x14ac:dyDescent="0.3">
      <c r="A486">
        <v>100481</v>
      </c>
      <c r="B486" s="8">
        <v>45312</v>
      </c>
      <c r="C486" t="s">
        <v>15</v>
      </c>
      <c r="D486" t="s">
        <v>42</v>
      </c>
      <c r="E486" t="s">
        <v>68</v>
      </c>
      <c r="F486" t="s">
        <v>72</v>
      </c>
      <c r="G486">
        <v>4</v>
      </c>
      <c r="H486">
        <v>44.68</v>
      </c>
      <c r="I486">
        <v>0</v>
      </c>
      <c r="J486" t="s">
        <v>75</v>
      </c>
      <c r="K486" t="s">
        <v>77</v>
      </c>
      <c r="L486">
        <v>178.72</v>
      </c>
      <c r="M486">
        <v>0</v>
      </c>
      <c r="N486">
        <v>178.72</v>
      </c>
      <c r="O4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6" s="9" t="str">
        <f ca="1">IF(OR(ISNUMBER(Table1[[#This Row],[Order_Date]])=FALSE,Table1[[#This Row],[Order_Date]]&lt;DATE(2000,1,1),Table1[[#This Row],[Order_Date]]&gt;TODAY()),"YES","NO")</f>
        <v>NO</v>
      </c>
    </row>
    <row r="487" spans="1:16" x14ac:dyDescent="0.3">
      <c r="A487">
        <v>100482</v>
      </c>
      <c r="B487" s="8">
        <v>45312.041666666657</v>
      </c>
      <c r="C487" t="s">
        <v>15</v>
      </c>
      <c r="D487" t="s">
        <v>39</v>
      </c>
      <c r="E487" t="s">
        <v>70</v>
      </c>
      <c r="F487" t="s">
        <v>72</v>
      </c>
      <c r="G487">
        <v>1</v>
      </c>
      <c r="H487">
        <v>8.4600000000000009</v>
      </c>
      <c r="I487">
        <v>5</v>
      </c>
      <c r="J487" t="s">
        <v>76</v>
      </c>
      <c r="K487" t="s">
        <v>77</v>
      </c>
      <c r="L487">
        <v>8.4600000000000009</v>
      </c>
      <c r="M487">
        <v>0.42299999999999999</v>
      </c>
      <c r="N487">
        <v>8.0370000000000008</v>
      </c>
      <c r="O4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7" s="9" t="str">
        <f ca="1">IF(OR(ISNUMBER(Table1[[#This Row],[Order_Date]])=FALSE,Table1[[#This Row],[Order_Date]]&lt;DATE(2000,1,1),Table1[[#This Row],[Order_Date]]&gt;TODAY()),"YES","NO")</f>
        <v>NO</v>
      </c>
    </row>
    <row r="488" spans="1:16" x14ac:dyDescent="0.3">
      <c r="A488">
        <v>100483</v>
      </c>
      <c r="B488" s="8">
        <v>45312.083333333343</v>
      </c>
      <c r="C488" t="s">
        <v>14</v>
      </c>
      <c r="D488" t="s">
        <v>49</v>
      </c>
      <c r="E488" t="s">
        <v>66</v>
      </c>
      <c r="F488" t="s">
        <v>71</v>
      </c>
      <c r="G488">
        <v>5</v>
      </c>
      <c r="H488">
        <v>115.57</v>
      </c>
      <c r="I488">
        <v>0</v>
      </c>
      <c r="J488" t="s">
        <v>73</v>
      </c>
      <c r="K488" t="s">
        <v>77</v>
      </c>
      <c r="L488">
        <v>577.84999999999991</v>
      </c>
      <c r="M488">
        <v>0</v>
      </c>
      <c r="N488">
        <v>577.84999999999991</v>
      </c>
      <c r="O4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8" s="9" t="str">
        <f ca="1">IF(OR(ISNUMBER(Table1[[#This Row],[Order_Date]])=FALSE,Table1[[#This Row],[Order_Date]]&lt;DATE(2000,1,1),Table1[[#This Row],[Order_Date]]&gt;TODAY()),"YES","NO")</f>
        <v>NO</v>
      </c>
    </row>
    <row r="489" spans="1:16" x14ac:dyDescent="0.3">
      <c r="A489">
        <v>100484</v>
      </c>
      <c r="B489" s="8">
        <v>45312.125</v>
      </c>
      <c r="C489" t="s">
        <v>15</v>
      </c>
      <c r="D489" t="s">
        <v>36</v>
      </c>
      <c r="E489" t="s">
        <v>69</v>
      </c>
      <c r="F489" t="s">
        <v>71</v>
      </c>
      <c r="G489">
        <v>2</v>
      </c>
      <c r="H489">
        <v>81.8</v>
      </c>
      <c r="I489">
        <v>0</v>
      </c>
      <c r="J489" t="s">
        <v>74</v>
      </c>
      <c r="K489" t="s">
        <v>77</v>
      </c>
      <c r="L489">
        <v>163.6</v>
      </c>
      <c r="M489">
        <v>0</v>
      </c>
      <c r="N489">
        <v>163.6</v>
      </c>
      <c r="O4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89" s="9" t="str">
        <f ca="1">IF(OR(ISNUMBER(Table1[[#This Row],[Order_Date]])=FALSE,Table1[[#This Row],[Order_Date]]&lt;DATE(2000,1,1),Table1[[#This Row],[Order_Date]]&gt;TODAY()),"YES","NO")</f>
        <v>NO</v>
      </c>
    </row>
    <row r="490" spans="1:16" x14ac:dyDescent="0.3">
      <c r="A490">
        <v>100485</v>
      </c>
      <c r="B490" s="8">
        <v>45312.166666666657</v>
      </c>
      <c r="C490" t="s">
        <v>14</v>
      </c>
      <c r="D490" t="s">
        <v>24</v>
      </c>
      <c r="E490" t="s">
        <v>66</v>
      </c>
      <c r="F490" t="s">
        <v>72</v>
      </c>
      <c r="G490">
        <v>4</v>
      </c>
      <c r="H490">
        <v>112.32</v>
      </c>
      <c r="I490">
        <v>5</v>
      </c>
      <c r="J490" t="s">
        <v>76</v>
      </c>
      <c r="K490" t="s">
        <v>79</v>
      </c>
      <c r="L490">
        <v>449.28</v>
      </c>
      <c r="M490">
        <v>22.463999999999999</v>
      </c>
      <c r="N490">
        <v>426.81599999999997</v>
      </c>
      <c r="O4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90" s="9" t="str">
        <f ca="1">IF(OR(ISNUMBER(Table1[[#This Row],[Order_Date]])=FALSE,Table1[[#This Row],[Order_Date]]&lt;DATE(2000,1,1),Table1[[#This Row],[Order_Date]]&gt;TODAY()),"YES","NO")</f>
        <v>NO</v>
      </c>
    </row>
    <row r="491" spans="1:16" x14ac:dyDescent="0.3">
      <c r="A491">
        <v>100486</v>
      </c>
      <c r="B491" s="8">
        <v>45312.208333333343</v>
      </c>
      <c r="C491" t="s">
        <v>15</v>
      </c>
      <c r="D491" t="s">
        <v>50</v>
      </c>
      <c r="E491" t="s">
        <v>69</v>
      </c>
      <c r="F491" t="s">
        <v>71</v>
      </c>
      <c r="G491">
        <v>5</v>
      </c>
      <c r="H491">
        <v>35.53</v>
      </c>
      <c r="I491">
        <v>10</v>
      </c>
      <c r="J491" t="s">
        <v>75</v>
      </c>
      <c r="K491" t="s">
        <v>77</v>
      </c>
      <c r="L491">
        <v>177.65</v>
      </c>
      <c r="M491">
        <v>17.765000000000001</v>
      </c>
      <c r="N491">
        <v>159.88499999999999</v>
      </c>
      <c r="O4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1" s="9" t="str">
        <f ca="1">IF(OR(ISNUMBER(Table1[[#This Row],[Order_Date]])=FALSE,Table1[[#This Row],[Order_Date]]&lt;DATE(2000,1,1),Table1[[#This Row],[Order_Date]]&gt;TODAY()),"YES","NO")</f>
        <v>NO</v>
      </c>
    </row>
    <row r="492" spans="1:16" x14ac:dyDescent="0.3">
      <c r="A492">
        <v>100487</v>
      </c>
      <c r="B492" s="8">
        <v>45312.25</v>
      </c>
      <c r="C492" t="s">
        <v>14</v>
      </c>
      <c r="D492" t="s">
        <v>40</v>
      </c>
      <c r="E492" t="s">
        <v>68</v>
      </c>
      <c r="F492" t="s">
        <v>71</v>
      </c>
      <c r="G492">
        <v>4</v>
      </c>
      <c r="H492">
        <v>75.319999999999993</v>
      </c>
      <c r="I492">
        <v>5</v>
      </c>
      <c r="J492" t="s">
        <v>76</v>
      </c>
      <c r="K492" t="s">
        <v>77</v>
      </c>
      <c r="L492">
        <v>301.27999999999997</v>
      </c>
      <c r="M492">
        <v>15.064</v>
      </c>
      <c r="N492">
        <v>286.21600000000001</v>
      </c>
      <c r="O4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2" s="9" t="str">
        <f ca="1">IF(OR(ISNUMBER(Table1[[#This Row],[Order_Date]])=FALSE,Table1[[#This Row],[Order_Date]]&lt;DATE(2000,1,1),Table1[[#This Row],[Order_Date]]&gt;TODAY()),"YES","NO")</f>
        <v>NO</v>
      </c>
    </row>
    <row r="493" spans="1:16" x14ac:dyDescent="0.3">
      <c r="A493">
        <v>100488</v>
      </c>
      <c r="B493" s="8">
        <v>45312.291666666657</v>
      </c>
      <c r="C493" t="s">
        <v>15</v>
      </c>
      <c r="D493" t="s">
        <v>41</v>
      </c>
      <c r="E493" t="s">
        <v>66</v>
      </c>
      <c r="F493" t="s">
        <v>71</v>
      </c>
      <c r="G493">
        <v>4</v>
      </c>
      <c r="H493">
        <v>83.03</v>
      </c>
      <c r="I493">
        <v>10</v>
      </c>
      <c r="J493" t="s">
        <v>76</v>
      </c>
      <c r="K493" t="s">
        <v>77</v>
      </c>
      <c r="L493">
        <v>332.12</v>
      </c>
      <c r="M493">
        <v>33.212000000000003</v>
      </c>
      <c r="N493">
        <v>298.90800000000002</v>
      </c>
      <c r="O4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3" s="9" t="str">
        <f ca="1">IF(OR(ISNUMBER(Table1[[#This Row],[Order_Date]])=FALSE,Table1[[#This Row],[Order_Date]]&lt;DATE(2000,1,1),Table1[[#This Row],[Order_Date]]&gt;TODAY()),"YES","NO")</f>
        <v>NO</v>
      </c>
    </row>
    <row r="494" spans="1:16" x14ac:dyDescent="0.3">
      <c r="A494">
        <v>100489</v>
      </c>
      <c r="B494" s="8">
        <v>45312.333333333343</v>
      </c>
      <c r="C494" t="s">
        <v>14</v>
      </c>
      <c r="D494" t="s">
        <v>24</v>
      </c>
      <c r="E494" t="s">
        <v>69</v>
      </c>
      <c r="F494" t="s">
        <v>71</v>
      </c>
      <c r="G494">
        <v>2</v>
      </c>
      <c r="H494">
        <v>41.52</v>
      </c>
      <c r="I494">
        <v>10</v>
      </c>
      <c r="J494" t="s">
        <v>76</v>
      </c>
      <c r="K494" t="s">
        <v>77</v>
      </c>
      <c r="L494">
        <v>83.04</v>
      </c>
      <c r="M494">
        <v>8.3040000000000003</v>
      </c>
      <c r="N494">
        <v>74.736000000000004</v>
      </c>
      <c r="O4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4" s="9" t="str">
        <f ca="1">IF(OR(ISNUMBER(Table1[[#This Row],[Order_Date]])=FALSE,Table1[[#This Row],[Order_Date]]&lt;DATE(2000,1,1),Table1[[#This Row],[Order_Date]]&gt;TODAY()),"YES","NO")</f>
        <v>NO</v>
      </c>
    </row>
    <row r="495" spans="1:16" x14ac:dyDescent="0.3">
      <c r="A495">
        <v>100490</v>
      </c>
      <c r="B495" s="8">
        <v>45312.375</v>
      </c>
      <c r="C495" t="s">
        <v>14</v>
      </c>
      <c r="D495" t="s">
        <v>64</v>
      </c>
      <c r="E495" t="s">
        <v>68</v>
      </c>
      <c r="F495" t="s">
        <v>71</v>
      </c>
      <c r="G495">
        <v>3</v>
      </c>
      <c r="H495">
        <v>102.53</v>
      </c>
      <c r="I495">
        <v>15</v>
      </c>
      <c r="J495" t="s">
        <v>74</v>
      </c>
      <c r="K495" t="s">
        <v>77</v>
      </c>
      <c r="L495">
        <v>307.58999999999997</v>
      </c>
      <c r="M495">
        <v>46.138500000000001</v>
      </c>
      <c r="N495">
        <v>261.45150000000001</v>
      </c>
      <c r="O4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5" s="9" t="str">
        <f ca="1">IF(OR(ISNUMBER(Table1[[#This Row],[Order_Date]])=FALSE,Table1[[#This Row],[Order_Date]]&lt;DATE(2000,1,1),Table1[[#This Row],[Order_Date]]&gt;TODAY()),"YES","NO")</f>
        <v>NO</v>
      </c>
    </row>
    <row r="496" spans="1:16" x14ac:dyDescent="0.3">
      <c r="A496">
        <v>100491</v>
      </c>
      <c r="B496" s="8">
        <v>45312.416666666657</v>
      </c>
      <c r="C496" t="s">
        <v>15</v>
      </c>
      <c r="D496" t="s">
        <v>49</v>
      </c>
      <c r="E496" t="s">
        <v>70</v>
      </c>
      <c r="F496" t="s">
        <v>71</v>
      </c>
      <c r="G496">
        <v>5</v>
      </c>
      <c r="H496">
        <v>113.92</v>
      </c>
      <c r="I496">
        <v>15</v>
      </c>
      <c r="J496" t="s">
        <v>73</v>
      </c>
      <c r="K496" t="s">
        <v>78</v>
      </c>
      <c r="L496">
        <v>569.6</v>
      </c>
      <c r="M496">
        <v>85.44</v>
      </c>
      <c r="N496">
        <v>484.16</v>
      </c>
      <c r="O4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96" s="9" t="str">
        <f ca="1">IF(OR(ISNUMBER(Table1[[#This Row],[Order_Date]])=FALSE,Table1[[#This Row],[Order_Date]]&lt;DATE(2000,1,1),Table1[[#This Row],[Order_Date]]&gt;TODAY()),"YES","NO")</f>
        <v>NO</v>
      </c>
    </row>
    <row r="497" spans="1:16" x14ac:dyDescent="0.3">
      <c r="A497">
        <v>100492</v>
      </c>
      <c r="B497" s="8">
        <v>45312.458333333343</v>
      </c>
      <c r="C497" t="s">
        <v>14</v>
      </c>
      <c r="D497" t="s">
        <v>36</v>
      </c>
      <c r="E497" t="s">
        <v>69</v>
      </c>
      <c r="F497" t="s">
        <v>71</v>
      </c>
      <c r="G497">
        <v>2</v>
      </c>
      <c r="H497">
        <v>106.76</v>
      </c>
      <c r="I497">
        <v>5</v>
      </c>
      <c r="J497" t="s">
        <v>75</v>
      </c>
      <c r="K497" t="s">
        <v>77</v>
      </c>
      <c r="L497">
        <v>213.52</v>
      </c>
      <c r="M497">
        <v>10.676</v>
      </c>
      <c r="N497">
        <v>202.84399999999999</v>
      </c>
      <c r="O4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7" s="9" t="str">
        <f ca="1">IF(OR(ISNUMBER(Table1[[#This Row],[Order_Date]])=FALSE,Table1[[#This Row],[Order_Date]]&lt;DATE(2000,1,1),Table1[[#This Row],[Order_Date]]&gt;TODAY()),"YES","NO")</f>
        <v>NO</v>
      </c>
    </row>
    <row r="498" spans="1:16" x14ac:dyDescent="0.3">
      <c r="A498">
        <v>100493</v>
      </c>
      <c r="B498" s="8">
        <v>45312.5</v>
      </c>
      <c r="C498" t="s">
        <v>14</v>
      </c>
      <c r="D498" t="s">
        <v>54</v>
      </c>
      <c r="E498" t="s">
        <v>70</v>
      </c>
      <c r="F498" t="s">
        <v>72</v>
      </c>
      <c r="G498">
        <v>4</v>
      </c>
      <c r="H498">
        <v>89.99</v>
      </c>
      <c r="I498">
        <v>0</v>
      </c>
      <c r="J498" t="s">
        <v>74</v>
      </c>
      <c r="K498" t="s">
        <v>78</v>
      </c>
      <c r="L498">
        <v>359.96</v>
      </c>
      <c r="M498">
        <v>0</v>
      </c>
      <c r="N498">
        <v>359.96</v>
      </c>
      <c r="O4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498" s="9" t="str">
        <f ca="1">IF(OR(ISNUMBER(Table1[[#This Row],[Order_Date]])=FALSE,Table1[[#This Row],[Order_Date]]&lt;DATE(2000,1,1),Table1[[#This Row],[Order_Date]]&gt;TODAY()),"YES","NO")</f>
        <v>NO</v>
      </c>
    </row>
    <row r="499" spans="1:16" x14ac:dyDescent="0.3">
      <c r="A499">
        <v>100494</v>
      </c>
      <c r="B499" s="8">
        <v>45312.541666666657</v>
      </c>
      <c r="C499" t="s">
        <v>15</v>
      </c>
      <c r="D499" t="s">
        <v>59</v>
      </c>
      <c r="E499" t="s">
        <v>70</v>
      </c>
      <c r="F499" t="s">
        <v>72</v>
      </c>
      <c r="G499">
        <v>2</v>
      </c>
      <c r="H499">
        <v>36.909999999999997</v>
      </c>
      <c r="I499">
        <v>5</v>
      </c>
      <c r="J499" t="s">
        <v>75</v>
      </c>
      <c r="K499" t="s">
        <v>77</v>
      </c>
      <c r="L499">
        <v>73.819999999999993</v>
      </c>
      <c r="M499">
        <v>3.6909999999999998</v>
      </c>
      <c r="N499">
        <v>70.128999999999991</v>
      </c>
      <c r="O4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499" s="9" t="str">
        <f ca="1">IF(OR(ISNUMBER(Table1[[#This Row],[Order_Date]])=FALSE,Table1[[#This Row],[Order_Date]]&lt;DATE(2000,1,1),Table1[[#This Row],[Order_Date]]&gt;TODAY()),"YES","NO")</f>
        <v>NO</v>
      </c>
    </row>
    <row r="500" spans="1:16" x14ac:dyDescent="0.3">
      <c r="A500">
        <v>100495</v>
      </c>
      <c r="B500" s="8">
        <v>45312.583333333343</v>
      </c>
      <c r="C500" t="s">
        <v>14</v>
      </c>
      <c r="D500" t="s">
        <v>40</v>
      </c>
      <c r="E500" t="s">
        <v>67</v>
      </c>
      <c r="F500" t="s">
        <v>72</v>
      </c>
      <c r="G500">
        <v>3</v>
      </c>
      <c r="H500">
        <v>37.39</v>
      </c>
      <c r="I500">
        <v>10</v>
      </c>
      <c r="J500" t="s">
        <v>75</v>
      </c>
      <c r="K500" t="s">
        <v>77</v>
      </c>
      <c r="L500">
        <v>112.17</v>
      </c>
      <c r="M500">
        <v>11.217000000000001</v>
      </c>
      <c r="N500">
        <v>100.953</v>
      </c>
      <c r="O5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0" s="9" t="str">
        <f ca="1">IF(OR(ISNUMBER(Table1[[#This Row],[Order_Date]])=FALSE,Table1[[#This Row],[Order_Date]]&lt;DATE(2000,1,1),Table1[[#This Row],[Order_Date]]&gt;TODAY()),"YES","NO")</f>
        <v>NO</v>
      </c>
    </row>
    <row r="501" spans="1:16" x14ac:dyDescent="0.3">
      <c r="A501">
        <v>100496</v>
      </c>
      <c r="B501" s="8">
        <v>45312.625</v>
      </c>
      <c r="C501" t="s">
        <v>14</v>
      </c>
      <c r="D501" t="s">
        <v>29</v>
      </c>
      <c r="E501" t="s">
        <v>66</v>
      </c>
      <c r="F501" t="s">
        <v>72</v>
      </c>
      <c r="G501">
        <v>5</v>
      </c>
      <c r="H501">
        <v>115.79</v>
      </c>
      <c r="I501">
        <v>15</v>
      </c>
      <c r="J501" t="s">
        <v>75</v>
      </c>
      <c r="K501" t="s">
        <v>78</v>
      </c>
      <c r="L501">
        <v>578.95000000000005</v>
      </c>
      <c r="M501">
        <v>86.842500000000001</v>
      </c>
      <c r="N501">
        <v>492.10750000000007</v>
      </c>
      <c r="O5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01" s="9" t="str">
        <f ca="1">IF(OR(ISNUMBER(Table1[[#This Row],[Order_Date]])=FALSE,Table1[[#This Row],[Order_Date]]&lt;DATE(2000,1,1),Table1[[#This Row],[Order_Date]]&gt;TODAY()),"YES","NO")</f>
        <v>NO</v>
      </c>
    </row>
    <row r="502" spans="1:16" x14ac:dyDescent="0.3">
      <c r="A502">
        <v>100497</v>
      </c>
      <c r="B502" s="8">
        <v>45312.666666666657</v>
      </c>
      <c r="C502" t="s">
        <v>14</v>
      </c>
      <c r="D502" t="s">
        <v>17</v>
      </c>
      <c r="E502" t="s">
        <v>69</v>
      </c>
      <c r="F502" t="s">
        <v>72</v>
      </c>
      <c r="G502">
        <v>3</v>
      </c>
      <c r="H502">
        <v>6.18</v>
      </c>
      <c r="I502">
        <v>5</v>
      </c>
      <c r="J502" t="s">
        <v>74</v>
      </c>
      <c r="K502" t="s">
        <v>77</v>
      </c>
      <c r="L502">
        <v>18.54</v>
      </c>
      <c r="M502">
        <v>0.92700000000000005</v>
      </c>
      <c r="N502">
        <v>17.613</v>
      </c>
      <c r="O5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2" s="9" t="str">
        <f ca="1">IF(OR(ISNUMBER(Table1[[#This Row],[Order_Date]])=FALSE,Table1[[#This Row],[Order_Date]]&lt;DATE(2000,1,1),Table1[[#This Row],[Order_Date]]&gt;TODAY()),"YES","NO")</f>
        <v>NO</v>
      </c>
    </row>
    <row r="503" spans="1:16" x14ac:dyDescent="0.3">
      <c r="A503">
        <v>100498</v>
      </c>
      <c r="B503" s="8">
        <v>45312.708333333343</v>
      </c>
      <c r="C503" t="s">
        <v>15</v>
      </c>
      <c r="D503" t="s">
        <v>17</v>
      </c>
      <c r="E503" t="s">
        <v>70</v>
      </c>
      <c r="F503" t="s">
        <v>71</v>
      </c>
      <c r="G503">
        <v>1</v>
      </c>
      <c r="H503">
        <v>87.35</v>
      </c>
      <c r="I503">
        <v>5</v>
      </c>
      <c r="J503" t="s">
        <v>73</v>
      </c>
      <c r="K503" t="s">
        <v>79</v>
      </c>
      <c r="L503">
        <v>87.35</v>
      </c>
      <c r="M503">
        <v>4.3674999999999997</v>
      </c>
      <c r="N503">
        <v>82.982499999999987</v>
      </c>
      <c r="O5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03" s="9" t="str">
        <f ca="1">IF(OR(ISNUMBER(Table1[[#This Row],[Order_Date]])=FALSE,Table1[[#This Row],[Order_Date]]&lt;DATE(2000,1,1),Table1[[#This Row],[Order_Date]]&gt;TODAY()),"YES","NO")</f>
        <v>NO</v>
      </c>
    </row>
    <row r="504" spans="1:16" x14ac:dyDescent="0.3">
      <c r="A504">
        <v>100499</v>
      </c>
      <c r="B504" s="8">
        <v>45312.75</v>
      </c>
      <c r="C504" t="s">
        <v>14</v>
      </c>
      <c r="D504" t="s">
        <v>32</v>
      </c>
      <c r="E504" t="s">
        <v>67</v>
      </c>
      <c r="F504" t="s">
        <v>71</v>
      </c>
      <c r="G504">
        <v>5</v>
      </c>
      <c r="H504">
        <v>86.22</v>
      </c>
      <c r="I504">
        <v>15</v>
      </c>
      <c r="J504" t="s">
        <v>75</v>
      </c>
      <c r="K504" t="s">
        <v>77</v>
      </c>
      <c r="L504">
        <v>431.1</v>
      </c>
      <c r="M504">
        <v>64.665000000000006</v>
      </c>
      <c r="N504">
        <v>366.435</v>
      </c>
      <c r="O5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4" s="9" t="str">
        <f ca="1">IF(OR(ISNUMBER(Table1[[#This Row],[Order_Date]])=FALSE,Table1[[#This Row],[Order_Date]]&lt;DATE(2000,1,1),Table1[[#This Row],[Order_Date]]&gt;TODAY()),"YES","NO")</f>
        <v>NO</v>
      </c>
    </row>
    <row r="505" spans="1:16" x14ac:dyDescent="0.3">
      <c r="A505">
        <v>100500</v>
      </c>
      <c r="B505" s="8">
        <v>45312.791666666657</v>
      </c>
      <c r="C505" t="s">
        <v>15</v>
      </c>
      <c r="D505" t="s">
        <v>41</v>
      </c>
      <c r="E505" t="s">
        <v>68</v>
      </c>
      <c r="F505" t="s">
        <v>71</v>
      </c>
      <c r="G505">
        <v>3</v>
      </c>
      <c r="H505">
        <v>76.61</v>
      </c>
      <c r="I505">
        <v>15</v>
      </c>
      <c r="J505" t="s">
        <v>73</v>
      </c>
      <c r="K505" t="s">
        <v>78</v>
      </c>
      <c r="L505">
        <v>229.83</v>
      </c>
      <c r="M505">
        <v>34.474499999999999</v>
      </c>
      <c r="N505">
        <v>195.35550000000001</v>
      </c>
      <c r="O5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05" s="9" t="str">
        <f ca="1">IF(OR(ISNUMBER(Table1[[#This Row],[Order_Date]])=FALSE,Table1[[#This Row],[Order_Date]]&lt;DATE(2000,1,1),Table1[[#This Row],[Order_Date]]&gt;TODAY()),"YES","NO")</f>
        <v>NO</v>
      </c>
    </row>
    <row r="506" spans="1:16" x14ac:dyDescent="0.3">
      <c r="A506">
        <v>100501</v>
      </c>
      <c r="B506" s="8">
        <v>45312.833333333343</v>
      </c>
      <c r="C506" t="s">
        <v>14</v>
      </c>
      <c r="D506" t="s">
        <v>45</v>
      </c>
      <c r="E506" t="s">
        <v>69</v>
      </c>
      <c r="F506" t="s">
        <v>71</v>
      </c>
      <c r="G506">
        <v>4</v>
      </c>
      <c r="H506">
        <v>118.86</v>
      </c>
      <c r="I506">
        <v>15</v>
      </c>
      <c r="J506" t="s">
        <v>73</v>
      </c>
      <c r="K506" t="s">
        <v>77</v>
      </c>
      <c r="L506">
        <v>475.44</v>
      </c>
      <c r="M506">
        <v>71.316000000000003</v>
      </c>
      <c r="N506">
        <v>404.12400000000002</v>
      </c>
      <c r="O5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6" s="9" t="str">
        <f ca="1">IF(OR(ISNUMBER(Table1[[#This Row],[Order_Date]])=FALSE,Table1[[#This Row],[Order_Date]]&lt;DATE(2000,1,1),Table1[[#This Row],[Order_Date]]&gt;TODAY()),"YES","NO")</f>
        <v>NO</v>
      </c>
    </row>
    <row r="507" spans="1:16" x14ac:dyDescent="0.3">
      <c r="A507">
        <v>100502</v>
      </c>
      <c r="B507" s="8">
        <v>45312.875</v>
      </c>
      <c r="C507" t="s">
        <v>14</v>
      </c>
      <c r="D507" t="s">
        <v>25</v>
      </c>
      <c r="E507" t="s">
        <v>70</v>
      </c>
      <c r="F507" t="s">
        <v>72</v>
      </c>
      <c r="G507">
        <v>5</v>
      </c>
      <c r="H507">
        <v>40.869999999999997</v>
      </c>
      <c r="I507">
        <v>10</v>
      </c>
      <c r="J507" t="s">
        <v>76</v>
      </c>
      <c r="K507" t="s">
        <v>77</v>
      </c>
      <c r="L507">
        <v>204.35</v>
      </c>
      <c r="M507">
        <v>20.434999999999999</v>
      </c>
      <c r="N507">
        <v>183.91499999999999</v>
      </c>
      <c r="O5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7" s="9" t="str">
        <f ca="1">IF(OR(ISNUMBER(Table1[[#This Row],[Order_Date]])=FALSE,Table1[[#This Row],[Order_Date]]&lt;DATE(2000,1,1),Table1[[#This Row],[Order_Date]]&gt;TODAY()),"YES","NO")</f>
        <v>NO</v>
      </c>
    </row>
    <row r="508" spans="1:16" x14ac:dyDescent="0.3">
      <c r="A508">
        <v>100503</v>
      </c>
      <c r="B508" s="8">
        <v>45312.916666666657</v>
      </c>
      <c r="C508" t="s">
        <v>14</v>
      </c>
      <c r="D508" t="s">
        <v>30</v>
      </c>
      <c r="E508" t="s">
        <v>66</v>
      </c>
      <c r="F508" t="s">
        <v>71</v>
      </c>
      <c r="G508">
        <v>5</v>
      </c>
      <c r="H508">
        <v>44.1</v>
      </c>
      <c r="I508">
        <v>15</v>
      </c>
      <c r="J508" t="s">
        <v>74</v>
      </c>
      <c r="K508" t="s">
        <v>77</v>
      </c>
      <c r="L508">
        <v>220.5</v>
      </c>
      <c r="M508">
        <v>33.075000000000003</v>
      </c>
      <c r="N508">
        <v>187.42500000000001</v>
      </c>
      <c r="O5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8" s="9" t="str">
        <f ca="1">IF(OR(ISNUMBER(Table1[[#This Row],[Order_Date]])=FALSE,Table1[[#This Row],[Order_Date]]&lt;DATE(2000,1,1),Table1[[#This Row],[Order_Date]]&gt;TODAY()),"YES","NO")</f>
        <v>NO</v>
      </c>
    </row>
    <row r="509" spans="1:16" x14ac:dyDescent="0.3">
      <c r="A509">
        <v>100504</v>
      </c>
      <c r="B509" s="8">
        <v>45312.958333333343</v>
      </c>
      <c r="C509" t="s">
        <v>15</v>
      </c>
      <c r="D509" t="s">
        <v>41</v>
      </c>
      <c r="E509" t="s">
        <v>67</v>
      </c>
      <c r="F509" t="s">
        <v>71</v>
      </c>
      <c r="G509">
        <v>2</v>
      </c>
      <c r="H509">
        <v>14.08</v>
      </c>
      <c r="I509">
        <v>0</v>
      </c>
      <c r="J509" t="s">
        <v>74</v>
      </c>
      <c r="K509" t="s">
        <v>77</v>
      </c>
      <c r="L509">
        <v>28.16</v>
      </c>
      <c r="M509">
        <v>0</v>
      </c>
      <c r="N509">
        <v>28.16</v>
      </c>
      <c r="O5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09" s="9" t="str">
        <f ca="1">IF(OR(ISNUMBER(Table1[[#This Row],[Order_Date]])=FALSE,Table1[[#This Row],[Order_Date]]&lt;DATE(2000,1,1),Table1[[#This Row],[Order_Date]]&gt;TODAY()),"YES","NO")</f>
        <v>NO</v>
      </c>
    </row>
    <row r="510" spans="1:16" x14ac:dyDescent="0.3">
      <c r="A510">
        <v>100505</v>
      </c>
      <c r="B510" s="8">
        <v>45313</v>
      </c>
      <c r="C510" t="s">
        <v>14</v>
      </c>
      <c r="D510" t="s">
        <v>39</v>
      </c>
      <c r="E510" t="s">
        <v>70</v>
      </c>
      <c r="F510" t="s">
        <v>72</v>
      </c>
      <c r="G510">
        <v>4</v>
      </c>
      <c r="H510">
        <v>55.92</v>
      </c>
      <c r="I510">
        <v>5</v>
      </c>
      <c r="J510" t="s">
        <v>76</v>
      </c>
      <c r="K510" t="s">
        <v>77</v>
      </c>
      <c r="L510">
        <v>223.68</v>
      </c>
      <c r="M510">
        <v>11.183999999999999</v>
      </c>
      <c r="N510">
        <v>212.49600000000001</v>
      </c>
      <c r="O5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0" s="9" t="str">
        <f ca="1">IF(OR(ISNUMBER(Table1[[#This Row],[Order_Date]])=FALSE,Table1[[#This Row],[Order_Date]]&lt;DATE(2000,1,1),Table1[[#This Row],[Order_Date]]&gt;TODAY()),"YES","NO")</f>
        <v>NO</v>
      </c>
    </row>
    <row r="511" spans="1:16" x14ac:dyDescent="0.3">
      <c r="A511">
        <v>100506</v>
      </c>
      <c r="B511" s="8">
        <v>45313.041666666657</v>
      </c>
      <c r="C511" t="s">
        <v>14</v>
      </c>
      <c r="D511" t="s">
        <v>47</v>
      </c>
      <c r="E511" t="s">
        <v>66</v>
      </c>
      <c r="F511" t="s">
        <v>71</v>
      </c>
      <c r="G511">
        <v>1</v>
      </c>
      <c r="H511">
        <v>35.020000000000003</v>
      </c>
      <c r="I511">
        <v>15</v>
      </c>
      <c r="J511" t="s">
        <v>76</v>
      </c>
      <c r="K511" t="s">
        <v>77</v>
      </c>
      <c r="L511">
        <v>35.020000000000003</v>
      </c>
      <c r="M511">
        <v>5.2530000000000001</v>
      </c>
      <c r="N511">
        <v>29.766999999999999</v>
      </c>
      <c r="O5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1" s="9" t="str">
        <f ca="1">IF(OR(ISNUMBER(Table1[[#This Row],[Order_Date]])=FALSE,Table1[[#This Row],[Order_Date]]&lt;DATE(2000,1,1),Table1[[#This Row],[Order_Date]]&gt;TODAY()),"YES","NO")</f>
        <v>NO</v>
      </c>
    </row>
    <row r="512" spans="1:16" x14ac:dyDescent="0.3">
      <c r="A512">
        <v>100507</v>
      </c>
      <c r="B512" s="8">
        <v>45313.083333333343</v>
      </c>
      <c r="C512" t="s">
        <v>15</v>
      </c>
      <c r="D512" t="s">
        <v>31</v>
      </c>
      <c r="E512" t="s">
        <v>70</v>
      </c>
      <c r="F512" t="s">
        <v>71</v>
      </c>
      <c r="G512">
        <v>3</v>
      </c>
      <c r="H512">
        <v>44.49</v>
      </c>
      <c r="I512">
        <v>15</v>
      </c>
      <c r="J512" t="s">
        <v>73</v>
      </c>
      <c r="K512" t="s">
        <v>77</v>
      </c>
      <c r="L512">
        <v>133.47</v>
      </c>
      <c r="M512">
        <v>20.020499999999998</v>
      </c>
      <c r="N512">
        <v>113.4495</v>
      </c>
      <c r="O5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2" s="9" t="str">
        <f ca="1">IF(OR(ISNUMBER(Table1[[#This Row],[Order_Date]])=FALSE,Table1[[#This Row],[Order_Date]]&lt;DATE(2000,1,1),Table1[[#This Row],[Order_Date]]&gt;TODAY()),"YES","NO")</f>
        <v>NO</v>
      </c>
    </row>
    <row r="513" spans="1:16" x14ac:dyDescent="0.3">
      <c r="A513">
        <v>100508</v>
      </c>
      <c r="B513" s="8">
        <v>45313.125</v>
      </c>
      <c r="C513" t="s">
        <v>14</v>
      </c>
      <c r="D513" t="s">
        <v>65</v>
      </c>
      <c r="E513" t="s">
        <v>69</v>
      </c>
      <c r="F513" t="s">
        <v>72</v>
      </c>
      <c r="G513">
        <v>2</v>
      </c>
      <c r="H513">
        <v>100.98</v>
      </c>
      <c r="I513">
        <v>10</v>
      </c>
      <c r="J513" t="s">
        <v>75</v>
      </c>
      <c r="K513" t="s">
        <v>77</v>
      </c>
      <c r="L513">
        <v>201.96</v>
      </c>
      <c r="M513">
        <v>20.196000000000002</v>
      </c>
      <c r="N513">
        <v>181.76400000000001</v>
      </c>
      <c r="O5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3" s="9" t="str">
        <f ca="1">IF(OR(ISNUMBER(Table1[[#This Row],[Order_Date]])=FALSE,Table1[[#This Row],[Order_Date]]&lt;DATE(2000,1,1),Table1[[#This Row],[Order_Date]]&gt;TODAY()),"YES","NO")</f>
        <v>NO</v>
      </c>
    </row>
    <row r="514" spans="1:16" x14ac:dyDescent="0.3">
      <c r="A514">
        <v>100509</v>
      </c>
      <c r="B514" s="8">
        <v>45313.166666666657</v>
      </c>
      <c r="C514" t="s">
        <v>15</v>
      </c>
      <c r="D514" t="s">
        <v>27</v>
      </c>
      <c r="E514" t="s">
        <v>69</v>
      </c>
      <c r="F514" t="s">
        <v>71</v>
      </c>
      <c r="G514">
        <v>3</v>
      </c>
      <c r="H514">
        <v>112.58</v>
      </c>
      <c r="I514">
        <v>10</v>
      </c>
      <c r="J514" t="s">
        <v>74</v>
      </c>
      <c r="K514" t="s">
        <v>77</v>
      </c>
      <c r="L514">
        <v>337.74</v>
      </c>
      <c r="M514">
        <v>33.774000000000001</v>
      </c>
      <c r="N514">
        <v>303.96600000000001</v>
      </c>
      <c r="O5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4" s="9" t="str">
        <f ca="1">IF(OR(ISNUMBER(Table1[[#This Row],[Order_Date]])=FALSE,Table1[[#This Row],[Order_Date]]&lt;DATE(2000,1,1),Table1[[#This Row],[Order_Date]]&gt;TODAY()),"YES","NO")</f>
        <v>NO</v>
      </c>
    </row>
    <row r="515" spans="1:16" x14ac:dyDescent="0.3">
      <c r="A515">
        <v>100510</v>
      </c>
      <c r="B515" s="8">
        <v>45313.208333333343</v>
      </c>
      <c r="C515" t="s">
        <v>15</v>
      </c>
      <c r="D515" t="s">
        <v>43</v>
      </c>
      <c r="E515" t="s">
        <v>69</v>
      </c>
      <c r="F515" t="s">
        <v>71</v>
      </c>
      <c r="G515">
        <v>1</v>
      </c>
      <c r="H515">
        <v>26.36</v>
      </c>
      <c r="I515">
        <v>5</v>
      </c>
      <c r="J515" t="s">
        <v>75</v>
      </c>
      <c r="K515" t="s">
        <v>77</v>
      </c>
      <c r="L515">
        <v>26.36</v>
      </c>
      <c r="M515">
        <v>1.3180000000000001</v>
      </c>
      <c r="N515">
        <v>25.042000000000002</v>
      </c>
      <c r="O5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5" s="9" t="str">
        <f ca="1">IF(OR(ISNUMBER(Table1[[#This Row],[Order_Date]])=FALSE,Table1[[#This Row],[Order_Date]]&lt;DATE(2000,1,1),Table1[[#This Row],[Order_Date]]&gt;TODAY()),"YES","NO")</f>
        <v>NO</v>
      </c>
    </row>
    <row r="516" spans="1:16" x14ac:dyDescent="0.3">
      <c r="A516">
        <v>100511</v>
      </c>
      <c r="B516" s="8">
        <v>45313.25</v>
      </c>
      <c r="C516" t="s">
        <v>14</v>
      </c>
      <c r="D516" t="s">
        <v>44</v>
      </c>
      <c r="E516" t="s">
        <v>67</v>
      </c>
      <c r="F516" t="s">
        <v>71</v>
      </c>
      <c r="G516">
        <v>1</v>
      </c>
      <c r="H516">
        <v>47.84</v>
      </c>
      <c r="I516">
        <v>0</v>
      </c>
      <c r="J516" t="s">
        <v>75</v>
      </c>
      <c r="K516" t="s">
        <v>77</v>
      </c>
      <c r="L516">
        <v>47.84</v>
      </c>
      <c r="M516">
        <v>0</v>
      </c>
      <c r="N516">
        <v>47.84</v>
      </c>
      <c r="O5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6" s="9" t="str">
        <f ca="1">IF(OR(ISNUMBER(Table1[[#This Row],[Order_Date]])=FALSE,Table1[[#This Row],[Order_Date]]&lt;DATE(2000,1,1),Table1[[#This Row],[Order_Date]]&gt;TODAY()),"YES","NO")</f>
        <v>NO</v>
      </c>
    </row>
    <row r="517" spans="1:16" x14ac:dyDescent="0.3">
      <c r="A517">
        <v>100512</v>
      </c>
      <c r="B517" s="8">
        <v>45313.291666666657</v>
      </c>
      <c r="C517" t="s">
        <v>15</v>
      </c>
      <c r="D517" t="s">
        <v>43</v>
      </c>
      <c r="E517" t="s">
        <v>69</v>
      </c>
      <c r="F517" t="s">
        <v>71</v>
      </c>
      <c r="G517">
        <v>5</v>
      </c>
      <c r="H517">
        <v>111.79</v>
      </c>
      <c r="I517">
        <v>5</v>
      </c>
      <c r="J517" t="s">
        <v>76</v>
      </c>
      <c r="K517" t="s">
        <v>77</v>
      </c>
      <c r="L517">
        <v>558.95000000000005</v>
      </c>
      <c r="M517">
        <v>27.947500000000009</v>
      </c>
      <c r="N517">
        <v>531.00250000000005</v>
      </c>
      <c r="O5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7" s="9" t="str">
        <f ca="1">IF(OR(ISNUMBER(Table1[[#This Row],[Order_Date]])=FALSE,Table1[[#This Row],[Order_Date]]&lt;DATE(2000,1,1),Table1[[#This Row],[Order_Date]]&gt;TODAY()),"YES","NO")</f>
        <v>NO</v>
      </c>
    </row>
    <row r="518" spans="1:16" x14ac:dyDescent="0.3">
      <c r="A518">
        <v>100513</v>
      </c>
      <c r="B518" s="8">
        <v>45313.333333333343</v>
      </c>
      <c r="C518" t="s">
        <v>14</v>
      </c>
      <c r="D518" t="s">
        <v>16</v>
      </c>
      <c r="E518" t="s">
        <v>66</v>
      </c>
      <c r="F518" t="s">
        <v>71</v>
      </c>
      <c r="G518">
        <v>1</v>
      </c>
      <c r="H518">
        <v>12.11</v>
      </c>
      <c r="I518">
        <v>15</v>
      </c>
      <c r="J518" t="s">
        <v>75</v>
      </c>
      <c r="K518" t="s">
        <v>77</v>
      </c>
      <c r="L518">
        <v>12.11</v>
      </c>
      <c r="M518">
        <v>1.8165</v>
      </c>
      <c r="N518">
        <v>10.2935</v>
      </c>
      <c r="O5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8" s="9" t="str">
        <f ca="1">IF(OR(ISNUMBER(Table1[[#This Row],[Order_Date]])=FALSE,Table1[[#This Row],[Order_Date]]&lt;DATE(2000,1,1),Table1[[#This Row],[Order_Date]]&gt;TODAY()),"YES","NO")</f>
        <v>NO</v>
      </c>
    </row>
    <row r="519" spans="1:16" x14ac:dyDescent="0.3">
      <c r="A519">
        <v>100514</v>
      </c>
      <c r="B519" s="8">
        <v>45313.375</v>
      </c>
      <c r="C519" t="s">
        <v>15</v>
      </c>
      <c r="D519" t="s">
        <v>62</v>
      </c>
      <c r="E519" t="s">
        <v>70</v>
      </c>
      <c r="F519" t="s">
        <v>72</v>
      </c>
      <c r="G519">
        <v>3</v>
      </c>
      <c r="H519">
        <v>15.62</v>
      </c>
      <c r="I519">
        <v>0</v>
      </c>
      <c r="J519" t="s">
        <v>73</v>
      </c>
      <c r="K519" t="s">
        <v>77</v>
      </c>
      <c r="L519">
        <v>46.86</v>
      </c>
      <c r="M519">
        <v>0</v>
      </c>
      <c r="N519">
        <v>46.86</v>
      </c>
      <c r="O5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19" s="9" t="str">
        <f ca="1">IF(OR(ISNUMBER(Table1[[#This Row],[Order_Date]])=FALSE,Table1[[#This Row],[Order_Date]]&lt;DATE(2000,1,1),Table1[[#This Row],[Order_Date]]&gt;TODAY()),"YES","NO")</f>
        <v>NO</v>
      </c>
    </row>
    <row r="520" spans="1:16" x14ac:dyDescent="0.3">
      <c r="A520">
        <v>100515</v>
      </c>
      <c r="B520" s="8">
        <v>45313.416666666657</v>
      </c>
      <c r="C520" t="s">
        <v>15</v>
      </c>
      <c r="D520" t="s">
        <v>58</v>
      </c>
      <c r="E520" t="s">
        <v>68</v>
      </c>
      <c r="F520" t="s">
        <v>72</v>
      </c>
      <c r="G520">
        <v>4</v>
      </c>
      <c r="H520">
        <v>23.72</v>
      </c>
      <c r="I520">
        <v>0</v>
      </c>
      <c r="J520" t="s">
        <v>76</v>
      </c>
      <c r="K520" t="s">
        <v>77</v>
      </c>
      <c r="L520">
        <v>94.88</v>
      </c>
      <c r="M520">
        <v>0</v>
      </c>
      <c r="N520">
        <v>94.88</v>
      </c>
      <c r="O5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0" s="9" t="str">
        <f ca="1">IF(OR(ISNUMBER(Table1[[#This Row],[Order_Date]])=FALSE,Table1[[#This Row],[Order_Date]]&lt;DATE(2000,1,1),Table1[[#This Row],[Order_Date]]&gt;TODAY()),"YES","NO")</f>
        <v>NO</v>
      </c>
    </row>
    <row r="521" spans="1:16" x14ac:dyDescent="0.3">
      <c r="A521">
        <v>100516</v>
      </c>
      <c r="B521" s="8">
        <v>45313.458333333343</v>
      </c>
      <c r="C521" t="s">
        <v>14</v>
      </c>
      <c r="D521" t="s">
        <v>60</v>
      </c>
      <c r="E521" t="s">
        <v>66</v>
      </c>
      <c r="F521" t="s">
        <v>72</v>
      </c>
      <c r="G521">
        <v>4</v>
      </c>
      <c r="H521">
        <v>73.45</v>
      </c>
      <c r="I521">
        <v>0</v>
      </c>
      <c r="J521" t="s">
        <v>75</v>
      </c>
      <c r="K521" t="s">
        <v>78</v>
      </c>
      <c r="L521">
        <v>293.8</v>
      </c>
      <c r="M521">
        <v>0</v>
      </c>
      <c r="N521">
        <v>293.8</v>
      </c>
      <c r="O5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21" s="9" t="str">
        <f ca="1">IF(OR(ISNUMBER(Table1[[#This Row],[Order_Date]])=FALSE,Table1[[#This Row],[Order_Date]]&lt;DATE(2000,1,1),Table1[[#This Row],[Order_Date]]&gt;TODAY()),"YES","NO")</f>
        <v>NO</v>
      </c>
    </row>
    <row r="522" spans="1:16" x14ac:dyDescent="0.3">
      <c r="A522">
        <v>100517</v>
      </c>
      <c r="B522" s="8">
        <v>45313.5</v>
      </c>
      <c r="C522" t="s">
        <v>15</v>
      </c>
      <c r="D522" t="s">
        <v>30</v>
      </c>
      <c r="E522" t="s">
        <v>66</v>
      </c>
      <c r="F522" t="s">
        <v>72</v>
      </c>
      <c r="G522">
        <v>5</v>
      </c>
      <c r="H522">
        <v>22.3</v>
      </c>
      <c r="I522">
        <v>0</v>
      </c>
      <c r="J522" t="s">
        <v>76</v>
      </c>
      <c r="K522" t="s">
        <v>77</v>
      </c>
      <c r="L522">
        <v>111.5</v>
      </c>
      <c r="M522">
        <v>0</v>
      </c>
      <c r="N522">
        <v>111.5</v>
      </c>
      <c r="O5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2" s="9" t="str">
        <f ca="1">IF(OR(ISNUMBER(Table1[[#This Row],[Order_Date]])=FALSE,Table1[[#This Row],[Order_Date]]&lt;DATE(2000,1,1),Table1[[#This Row],[Order_Date]]&gt;TODAY()),"YES","NO")</f>
        <v>NO</v>
      </c>
    </row>
    <row r="523" spans="1:16" x14ac:dyDescent="0.3">
      <c r="A523">
        <v>100518</v>
      </c>
      <c r="B523" s="8">
        <v>45313.541666666657</v>
      </c>
      <c r="C523" t="s">
        <v>15</v>
      </c>
      <c r="D523" t="s">
        <v>65</v>
      </c>
      <c r="E523" t="s">
        <v>69</v>
      </c>
      <c r="F523" t="s">
        <v>72</v>
      </c>
      <c r="G523">
        <v>3</v>
      </c>
      <c r="H523">
        <v>116.33</v>
      </c>
      <c r="I523">
        <v>5</v>
      </c>
      <c r="J523" t="s">
        <v>73</v>
      </c>
      <c r="K523" t="s">
        <v>77</v>
      </c>
      <c r="L523">
        <v>348.99</v>
      </c>
      <c r="M523">
        <v>17.4495</v>
      </c>
      <c r="N523">
        <v>331.54050000000001</v>
      </c>
      <c r="O5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3" s="9" t="str">
        <f ca="1">IF(OR(ISNUMBER(Table1[[#This Row],[Order_Date]])=FALSE,Table1[[#This Row],[Order_Date]]&lt;DATE(2000,1,1),Table1[[#This Row],[Order_Date]]&gt;TODAY()),"YES","NO")</f>
        <v>NO</v>
      </c>
    </row>
    <row r="524" spans="1:16" x14ac:dyDescent="0.3">
      <c r="A524">
        <v>100519</v>
      </c>
      <c r="B524" s="8">
        <v>45313.583333333343</v>
      </c>
      <c r="C524" t="s">
        <v>15</v>
      </c>
      <c r="D524" t="s">
        <v>26</v>
      </c>
      <c r="E524" t="s">
        <v>67</v>
      </c>
      <c r="F524" t="s">
        <v>72</v>
      </c>
      <c r="G524">
        <v>3</v>
      </c>
      <c r="H524">
        <v>56.37</v>
      </c>
      <c r="I524">
        <v>10</v>
      </c>
      <c r="J524" t="s">
        <v>73</v>
      </c>
      <c r="K524" t="s">
        <v>77</v>
      </c>
      <c r="L524">
        <v>169.11</v>
      </c>
      <c r="M524">
        <v>16.911000000000001</v>
      </c>
      <c r="N524">
        <v>152.19900000000001</v>
      </c>
      <c r="O5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4" s="9" t="str">
        <f ca="1">IF(OR(ISNUMBER(Table1[[#This Row],[Order_Date]])=FALSE,Table1[[#This Row],[Order_Date]]&lt;DATE(2000,1,1),Table1[[#This Row],[Order_Date]]&gt;TODAY()),"YES","NO")</f>
        <v>NO</v>
      </c>
    </row>
    <row r="525" spans="1:16" x14ac:dyDescent="0.3">
      <c r="A525">
        <v>100520</v>
      </c>
      <c r="B525" s="8">
        <v>45313.625</v>
      </c>
      <c r="C525" t="s">
        <v>15</v>
      </c>
      <c r="D525" t="s">
        <v>60</v>
      </c>
      <c r="E525" t="s">
        <v>70</v>
      </c>
      <c r="F525" t="s">
        <v>71</v>
      </c>
      <c r="G525">
        <v>1</v>
      </c>
      <c r="H525">
        <v>62.67</v>
      </c>
      <c r="I525">
        <v>10</v>
      </c>
      <c r="J525" t="s">
        <v>75</v>
      </c>
      <c r="K525" t="s">
        <v>77</v>
      </c>
      <c r="L525">
        <v>62.67</v>
      </c>
      <c r="M525">
        <v>6.2670000000000003</v>
      </c>
      <c r="N525">
        <v>56.402999999999999</v>
      </c>
      <c r="O5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5" s="9" t="str">
        <f ca="1">IF(OR(ISNUMBER(Table1[[#This Row],[Order_Date]])=FALSE,Table1[[#This Row],[Order_Date]]&lt;DATE(2000,1,1),Table1[[#This Row],[Order_Date]]&gt;TODAY()),"YES","NO")</f>
        <v>NO</v>
      </c>
    </row>
    <row r="526" spans="1:16" x14ac:dyDescent="0.3">
      <c r="A526">
        <v>100521</v>
      </c>
      <c r="B526" s="8">
        <v>45313.666666666657</v>
      </c>
      <c r="C526" t="s">
        <v>15</v>
      </c>
      <c r="D526" t="s">
        <v>18</v>
      </c>
      <c r="E526" t="s">
        <v>67</v>
      </c>
      <c r="F526" t="s">
        <v>72</v>
      </c>
      <c r="G526">
        <v>3</v>
      </c>
      <c r="H526">
        <v>33.369999999999997</v>
      </c>
      <c r="I526">
        <v>15</v>
      </c>
      <c r="J526" t="s">
        <v>76</v>
      </c>
      <c r="K526" t="s">
        <v>77</v>
      </c>
      <c r="L526">
        <v>100.11</v>
      </c>
      <c r="M526">
        <v>15.016500000000001</v>
      </c>
      <c r="N526">
        <v>85.093499999999992</v>
      </c>
      <c r="O5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6" s="9" t="str">
        <f ca="1">IF(OR(ISNUMBER(Table1[[#This Row],[Order_Date]])=FALSE,Table1[[#This Row],[Order_Date]]&lt;DATE(2000,1,1),Table1[[#This Row],[Order_Date]]&gt;TODAY()),"YES","NO")</f>
        <v>NO</v>
      </c>
    </row>
    <row r="527" spans="1:16" x14ac:dyDescent="0.3">
      <c r="A527">
        <v>100522</v>
      </c>
      <c r="B527" s="8">
        <v>45313.708333333343</v>
      </c>
      <c r="C527" t="s">
        <v>14</v>
      </c>
      <c r="D527" t="s">
        <v>38</v>
      </c>
      <c r="E527" t="s">
        <v>70</v>
      </c>
      <c r="F527" t="s">
        <v>72</v>
      </c>
      <c r="G527">
        <v>2</v>
      </c>
      <c r="H527">
        <v>59.16</v>
      </c>
      <c r="I527">
        <v>10</v>
      </c>
      <c r="J527" t="s">
        <v>75</v>
      </c>
      <c r="K527" t="s">
        <v>77</v>
      </c>
      <c r="L527">
        <v>118.32</v>
      </c>
      <c r="M527">
        <v>11.832000000000001</v>
      </c>
      <c r="N527">
        <v>106.488</v>
      </c>
      <c r="O5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7" s="9" t="str">
        <f ca="1">IF(OR(ISNUMBER(Table1[[#This Row],[Order_Date]])=FALSE,Table1[[#This Row],[Order_Date]]&lt;DATE(2000,1,1),Table1[[#This Row],[Order_Date]]&gt;TODAY()),"YES","NO")</f>
        <v>NO</v>
      </c>
    </row>
    <row r="528" spans="1:16" x14ac:dyDescent="0.3">
      <c r="A528">
        <v>100523</v>
      </c>
      <c r="B528" s="8">
        <v>45313.75</v>
      </c>
      <c r="C528" t="s">
        <v>15</v>
      </c>
      <c r="D528" t="s">
        <v>23</v>
      </c>
      <c r="E528" t="s">
        <v>70</v>
      </c>
      <c r="F528" t="s">
        <v>71</v>
      </c>
      <c r="G528">
        <v>1</v>
      </c>
      <c r="H528">
        <v>81.12</v>
      </c>
      <c r="I528">
        <v>10</v>
      </c>
      <c r="J528" t="s">
        <v>75</v>
      </c>
      <c r="K528" t="s">
        <v>77</v>
      </c>
      <c r="L528">
        <v>81.12</v>
      </c>
      <c r="M528">
        <v>8.1120000000000001</v>
      </c>
      <c r="N528">
        <v>73.00800000000001</v>
      </c>
      <c r="O5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8" s="9" t="str">
        <f ca="1">IF(OR(ISNUMBER(Table1[[#This Row],[Order_Date]])=FALSE,Table1[[#This Row],[Order_Date]]&lt;DATE(2000,1,1),Table1[[#This Row],[Order_Date]]&gt;TODAY()),"YES","NO")</f>
        <v>NO</v>
      </c>
    </row>
    <row r="529" spans="1:16" x14ac:dyDescent="0.3">
      <c r="A529">
        <v>100524</v>
      </c>
      <c r="B529" s="8">
        <v>45313.791666666657</v>
      </c>
      <c r="C529" t="s">
        <v>14</v>
      </c>
      <c r="D529" t="s">
        <v>62</v>
      </c>
      <c r="E529" t="s">
        <v>67</v>
      </c>
      <c r="F529" t="s">
        <v>71</v>
      </c>
      <c r="G529">
        <v>2</v>
      </c>
      <c r="H529">
        <v>91.39</v>
      </c>
      <c r="I529">
        <v>10</v>
      </c>
      <c r="J529" t="s">
        <v>76</v>
      </c>
      <c r="K529" t="s">
        <v>77</v>
      </c>
      <c r="L529">
        <v>182.78</v>
      </c>
      <c r="M529">
        <v>18.277999999999999</v>
      </c>
      <c r="N529">
        <v>164.50200000000001</v>
      </c>
      <c r="O5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29" s="9" t="str">
        <f ca="1">IF(OR(ISNUMBER(Table1[[#This Row],[Order_Date]])=FALSE,Table1[[#This Row],[Order_Date]]&lt;DATE(2000,1,1),Table1[[#This Row],[Order_Date]]&gt;TODAY()),"YES","NO")</f>
        <v>NO</v>
      </c>
    </row>
    <row r="530" spans="1:16" x14ac:dyDescent="0.3">
      <c r="A530">
        <v>100525</v>
      </c>
      <c r="B530" s="8">
        <v>45313.833333333343</v>
      </c>
      <c r="C530" t="s">
        <v>15</v>
      </c>
      <c r="D530" t="s">
        <v>42</v>
      </c>
      <c r="E530" t="s">
        <v>66</v>
      </c>
      <c r="F530" t="s">
        <v>72</v>
      </c>
      <c r="G530">
        <v>5</v>
      </c>
      <c r="H530">
        <v>91.69</v>
      </c>
      <c r="I530">
        <v>10</v>
      </c>
      <c r="J530" t="s">
        <v>75</v>
      </c>
      <c r="K530" t="s">
        <v>77</v>
      </c>
      <c r="L530">
        <v>458.45</v>
      </c>
      <c r="M530">
        <v>45.844999999999999</v>
      </c>
      <c r="N530">
        <v>412.60500000000002</v>
      </c>
      <c r="O5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0" s="9" t="str">
        <f ca="1">IF(OR(ISNUMBER(Table1[[#This Row],[Order_Date]])=FALSE,Table1[[#This Row],[Order_Date]]&lt;DATE(2000,1,1),Table1[[#This Row],[Order_Date]]&gt;TODAY()),"YES","NO")</f>
        <v>NO</v>
      </c>
    </row>
    <row r="531" spans="1:16" x14ac:dyDescent="0.3">
      <c r="A531">
        <v>100526</v>
      </c>
      <c r="B531" s="8">
        <v>45313.875</v>
      </c>
      <c r="C531" t="s">
        <v>14</v>
      </c>
      <c r="D531" t="s">
        <v>41</v>
      </c>
      <c r="E531" t="s">
        <v>70</v>
      </c>
      <c r="F531" t="s">
        <v>71</v>
      </c>
      <c r="G531">
        <v>4</v>
      </c>
      <c r="H531">
        <v>71.459999999999994</v>
      </c>
      <c r="I531">
        <v>15</v>
      </c>
      <c r="J531" t="s">
        <v>73</v>
      </c>
      <c r="K531" t="s">
        <v>77</v>
      </c>
      <c r="L531">
        <v>285.83999999999997</v>
      </c>
      <c r="M531">
        <v>42.875999999999998</v>
      </c>
      <c r="N531">
        <v>242.964</v>
      </c>
      <c r="O5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1" s="9" t="str">
        <f ca="1">IF(OR(ISNUMBER(Table1[[#This Row],[Order_Date]])=FALSE,Table1[[#This Row],[Order_Date]]&lt;DATE(2000,1,1),Table1[[#This Row],[Order_Date]]&gt;TODAY()),"YES","NO")</f>
        <v>NO</v>
      </c>
    </row>
    <row r="532" spans="1:16" x14ac:dyDescent="0.3">
      <c r="A532">
        <v>100527</v>
      </c>
      <c r="B532" s="8">
        <v>45313.916666666657</v>
      </c>
      <c r="C532" t="s">
        <v>14</v>
      </c>
      <c r="D532" t="s">
        <v>21</v>
      </c>
      <c r="E532" t="s">
        <v>67</v>
      </c>
      <c r="F532" t="s">
        <v>72</v>
      </c>
      <c r="G532">
        <v>5</v>
      </c>
      <c r="H532">
        <v>109</v>
      </c>
      <c r="I532">
        <v>5</v>
      </c>
      <c r="J532" t="s">
        <v>76</v>
      </c>
      <c r="K532" t="s">
        <v>78</v>
      </c>
      <c r="L532">
        <v>545</v>
      </c>
      <c r="M532">
        <v>27.25</v>
      </c>
      <c r="N532">
        <v>517.75</v>
      </c>
      <c r="O5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32" s="9" t="str">
        <f ca="1">IF(OR(ISNUMBER(Table1[[#This Row],[Order_Date]])=FALSE,Table1[[#This Row],[Order_Date]]&lt;DATE(2000,1,1),Table1[[#This Row],[Order_Date]]&gt;TODAY()),"YES","NO")</f>
        <v>NO</v>
      </c>
    </row>
    <row r="533" spans="1:16" x14ac:dyDescent="0.3">
      <c r="A533">
        <v>100528</v>
      </c>
      <c r="B533" s="8">
        <v>45313.958333333343</v>
      </c>
      <c r="C533" t="s">
        <v>15</v>
      </c>
      <c r="D533" t="s">
        <v>34</v>
      </c>
      <c r="E533" t="s">
        <v>70</v>
      </c>
      <c r="F533" t="s">
        <v>71</v>
      </c>
      <c r="G533">
        <v>4</v>
      </c>
      <c r="H533">
        <v>99</v>
      </c>
      <c r="I533">
        <v>0</v>
      </c>
      <c r="J533" t="s">
        <v>76</v>
      </c>
      <c r="K533" t="s">
        <v>77</v>
      </c>
      <c r="L533">
        <v>396</v>
      </c>
      <c r="M533">
        <v>0</v>
      </c>
      <c r="N533">
        <v>396</v>
      </c>
      <c r="O5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3" s="9" t="str">
        <f ca="1">IF(OR(ISNUMBER(Table1[[#This Row],[Order_Date]])=FALSE,Table1[[#This Row],[Order_Date]]&lt;DATE(2000,1,1),Table1[[#This Row],[Order_Date]]&gt;TODAY()),"YES","NO")</f>
        <v>NO</v>
      </c>
    </row>
    <row r="534" spans="1:16" x14ac:dyDescent="0.3">
      <c r="A534">
        <v>100529</v>
      </c>
      <c r="B534" s="8">
        <v>45314</v>
      </c>
      <c r="C534" t="s">
        <v>15</v>
      </c>
      <c r="D534" t="s">
        <v>40</v>
      </c>
      <c r="E534" t="s">
        <v>68</v>
      </c>
      <c r="F534" t="s">
        <v>72</v>
      </c>
      <c r="G534">
        <v>5</v>
      </c>
      <c r="H534">
        <v>92.06</v>
      </c>
      <c r="I534">
        <v>10</v>
      </c>
      <c r="J534" t="s">
        <v>76</v>
      </c>
      <c r="K534" t="s">
        <v>77</v>
      </c>
      <c r="L534">
        <v>460.3</v>
      </c>
      <c r="M534">
        <v>46.03</v>
      </c>
      <c r="N534">
        <v>414.27</v>
      </c>
      <c r="O5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4" s="9" t="str">
        <f ca="1">IF(OR(ISNUMBER(Table1[[#This Row],[Order_Date]])=FALSE,Table1[[#This Row],[Order_Date]]&lt;DATE(2000,1,1),Table1[[#This Row],[Order_Date]]&gt;TODAY()),"YES","NO")</f>
        <v>NO</v>
      </c>
    </row>
    <row r="535" spans="1:16" x14ac:dyDescent="0.3">
      <c r="A535">
        <v>100530</v>
      </c>
      <c r="B535" s="8">
        <v>45314.041666666657</v>
      </c>
      <c r="C535" t="s">
        <v>15</v>
      </c>
      <c r="D535" t="s">
        <v>38</v>
      </c>
      <c r="E535" t="s">
        <v>66</v>
      </c>
      <c r="F535" t="s">
        <v>71</v>
      </c>
      <c r="G535">
        <v>3</v>
      </c>
      <c r="H535">
        <v>11.39</v>
      </c>
      <c r="I535">
        <v>5</v>
      </c>
      <c r="J535" t="s">
        <v>76</v>
      </c>
      <c r="K535" t="s">
        <v>79</v>
      </c>
      <c r="L535">
        <v>34.17</v>
      </c>
      <c r="M535">
        <v>1.7084999999999999</v>
      </c>
      <c r="N535">
        <v>32.461500000000001</v>
      </c>
      <c r="O5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35" s="9" t="str">
        <f ca="1">IF(OR(ISNUMBER(Table1[[#This Row],[Order_Date]])=FALSE,Table1[[#This Row],[Order_Date]]&lt;DATE(2000,1,1),Table1[[#This Row],[Order_Date]]&gt;TODAY()),"YES","NO")</f>
        <v>NO</v>
      </c>
    </row>
    <row r="536" spans="1:16" x14ac:dyDescent="0.3">
      <c r="A536">
        <v>100531</v>
      </c>
      <c r="B536" s="8">
        <v>45314.083333333343</v>
      </c>
      <c r="C536" t="s">
        <v>14</v>
      </c>
      <c r="D536" t="s">
        <v>65</v>
      </c>
      <c r="E536" t="s">
        <v>69</v>
      </c>
      <c r="F536" t="s">
        <v>71</v>
      </c>
      <c r="G536">
        <v>2</v>
      </c>
      <c r="H536">
        <v>5.79</v>
      </c>
      <c r="I536">
        <v>10</v>
      </c>
      <c r="J536" t="s">
        <v>75</v>
      </c>
      <c r="K536" t="s">
        <v>77</v>
      </c>
      <c r="L536">
        <v>11.58</v>
      </c>
      <c r="M536">
        <v>1.1579999999999999</v>
      </c>
      <c r="N536">
        <v>10.422000000000001</v>
      </c>
      <c r="O5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6" s="9" t="str">
        <f ca="1">IF(OR(ISNUMBER(Table1[[#This Row],[Order_Date]])=FALSE,Table1[[#This Row],[Order_Date]]&lt;DATE(2000,1,1),Table1[[#This Row],[Order_Date]]&gt;TODAY()),"YES","NO")</f>
        <v>NO</v>
      </c>
    </row>
    <row r="537" spans="1:16" x14ac:dyDescent="0.3">
      <c r="A537">
        <v>100532</v>
      </c>
      <c r="B537" s="8">
        <v>45314.125</v>
      </c>
      <c r="C537" t="s">
        <v>15</v>
      </c>
      <c r="D537" t="s">
        <v>16</v>
      </c>
      <c r="E537" t="s">
        <v>70</v>
      </c>
      <c r="F537" t="s">
        <v>72</v>
      </c>
      <c r="G537">
        <v>4</v>
      </c>
      <c r="H537">
        <v>29.43</v>
      </c>
      <c r="I537">
        <v>10</v>
      </c>
      <c r="J537" t="s">
        <v>75</v>
      </c>
      <c r="K537" t="s">
        <v>77</v>
      </c>
      <c r="L537">
        <v>117.72</v>
      </c>
      <c r="M537">
        <v>11.772</v>
      </c>
      <c r="N537">
        <v>105.94799999999999</v>
      </c>
      <c r="O5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7" s="9" t="str">
        <f ca="1">IF(OR(ISNUMBER(Table1[[#This Row],[Order_Date]])=FALSE,Table1[[#This Row],[Order_Date]]&lt;DATE(2000,1,1),Table1[[#This Row],[Order_Date]]&gt;TODAY()),"YES","NO")</f>
        <v>NO</v>
      </c>
    </row>
    <row r="538" spans="1:16" x14ac:dyDescent="0.3">
      <c r="A538">
        <v>100533</v>
      </c>
      <c r="B538" s="8">
        <v>45314.166666666657</v>
      </c>
      <c r="C538" t="s">
        <v>14</v>
      </c>
      <c r="D538" t="s">
        <v>19</v>
      </c>
      <c r="E538" t="s">
        <v>68</v>
      </c>
      <c r="F538" t="s">
        <v>72</v>
      </c>
      <c r="G538">
        <v>1</v>
      </c>
      <c r="H538">
        <v>81.31</v>
      </c>
      <c r="I538">
        <v>0</v>
      </c>
      <c r="J538" t="s">
        <v>73</v>
      </c>
      <c r="K538" t="s">
        <v>77</v>
      </c>
      <c r="L538">
        <v>81.31</v>
      </c>
      <c r="M538">
        <v>0</v>
      </c>
      <c r="N538">
        <v>81.31</v>
      </c>
      <c r="O5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38" s="9" t="str">
        <f ca="1">IF(OR(ISNUMBER(Table1[[#This Row],[Order_Date]])=FALSE,Table1[[#This Row],[Order_Date]]&lt;DATE(2000,1,1),Table1[[#This Row],[Order_Date]]&gt;TODAY()),"YES","NO")</f>
        <v>NO</v>
      </c>
    </row>
    <row r="539" spans="1:16" x14ac:dyDescent="0.3">
      <c r="A539">
        <v>100534</v>
      </c>
      <c r="B539" s="8">
        <v>45314.208333333343</v>
      </c>
      <c r="C539" t="s">
        <v>14</v>
      </c>
      <c r="D539" t="s">
        <v>45</v>
      </c>
      <c r="E539" t="s">
        <v>69</v>
      </c>
      <c r="F539" t="s">
        <v>72</v>
      </c>
      <c r="G539">
        <v>2</v>
      </c>
      <c r="H539">
        <v>52.29</v>
      </c>
      <c r="I539">
        <v>0</v>
      </c>
      <c r="J539" t="s">
        <v>74</v>
      </c>
      <c r="K539" t="s">
        <v>79</v>
      </c>
      <c r="L539">
        <v>104.58</v>
      </c>
      <c r="M539">
        <v>0</v>
      </c>
      <c r="N539">
        <v>104.58</v>
      </c>
      <c r="O5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39" s="9" t="str">
        <f ca="1">IF(OR(ISNUMBER(Table1[[#This Row],[Order_Date]])=FALSE,Table1[[#This Row],[Order_Date]]&lt;DATE(2000,1,1),Table1[[#This Row],[Order_Date]]&gt;TODAY()),"YES","NO")</f>
        <v>NO</v>
      </c>
    </row>
    <row r="540" spans="1:16" x14ac:dyDescent="0.3">
      <c r="A540">
        <v>100535</v>
      </c>
      <c r="B540" s="8">
        <v>45314.25</v>
      </c>
      <c r="C540" t="s">
        <v>14</v>
      </c>
      <c r="D540" t="s">
        <v>38</v>
      </c>
      <c r="E540" t="s">
        <v>69</v>
      </c>
      <c r="F540" t="s">
        <v>72</v>
      </c>
      <c r="G540">
        <v>1</v>
      </c>
      <c r="H540">
        <v>51.28</v>
      </c>
      <c r="I540">
        <v>0</v>
      </c>
      <c r="J540" t="s">
        <v>74</v>
      </c>
      <c r="K540" t="s">
        <v>79</v>
      </c>
      <c r="L540">
        <v>51.28</v>
      </c>
      <c r="M540">
        <v>0</v>
      </c>
      <c r="N540">
        <v>51.28</v>
      </c>
      <c r="O5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40" s="9" t="str">
        <f ca="1">IF(OR(ISNUMBER(Table1[[#This Row],[Order_Date]])=FALSE,Table1[[#This Row],[Order_Date]]&lt;DATE(2000,1,1),Table1[[#This Row],[Order_Date]]&gt;TODAY()),"YES","NO")</f>
        <v>NO</v>
      </c>
    </row>
    <row r="541" spans="1:16" x14ac:dyDescent="0.3">
      <c r="A541">
        <v>100536</v>
      </c>
      <c r="B541" s="8">
        <v>45314.291666666657</v>
      </c>
      <c r="C541" t="s">
        <v>15</v>
      </c>
      <c r="D541" t="s">
        <v>19</v>
      </c>
      <c r="E541" t="s">
        <v>70</v>
      </c>
      <c r="F541" t="s">
        <v>72</v>
      </c>
      <c r="G541">
        <v>2</v>
      </c>
      <c r="H541">
        <v>106.73</v>
      </c>
      <c r="I541">
        <v>10</v>
      </c>
      <c r="J541" t="s">
        <v>73</v>
      </c>
      <c r="K541" t="s">
        <v>77</v>
      </c>
      <c r="L541">
        <v>213.46</v>
      </c>
      <c r="M541">
        <v>21.346</v>
      </c>
      <c r="N541">
        <v>192.114</v>
      </c>
      <c r="O5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1" s="9" t="str">
        <f ca="1">IF(OR(ISNUMBER(Table1[[#This Row],[Order_Date]])=FALSE,Table1[[#This Row],[Order_Date]]&lt;DATE(2000,1,1),Table1[[#This Row],[Order_Date]]&gt;TODAY()),"YES","NO")</f>
        <v>NO</v>
      </c>
    </row>
    <row r="542" spans="1:16" x14ac:dyDescent="0.3">
      <c r="A542">
        <v>100537</v>
      </c>
      <c r="B542" s="8">
        <v>45314.333333333343</v>
      </c>
      <c r="C542" t="s">
        <v>15</v>
      </c>
      <c r="D542" t="s">
        <v>42</v>
      </c>
      <c r="E542" t="s">
        <v>67</v>
      </c>
      <c r="F542" t="s">
        <v>71</v>
      </c>
      <c r="G542">
        <v>2</v>
      </c>
      <c r="H542">
        <v>107.99</v>
      </c>
      <c r="I542">
        <v>10</v>
      </c>
      <c r="J542" t="s">
        <v>74</v>
      </c>
      <c r="K542" t="s">
        <v>77</v>
      </c>
      <c r="L542">
        <v>215.98</v>
      </c>
      <c r="M542">
        <v>21.597999999999999</v>
      </c>
      <c r="N542">
        <v>194.38200000000001</v>
      </c>
      <c r="O5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2" s="9" t="str">
        <f ca="1">IF(OR(ISNUMBER(Table1[[#This Row],[Order_Date]])=FALSE,Table1[[#This Row],[Order_Date]]&lt;DATE(2000,1,1),Table1[[#This Row],[Order_Date]]&gt;TODAY()),"YES","NO")</f>
        <v>NO</v>
      </c>
    </row>
    <row r="543" spans="1:16" x14ac:dyDescent="0.3">
      <c r="A543">
        <v>100538</v>
      </c>
      <c r="B543" s="8">
        <v>45314.375</v>
      </c>
      <c r="C543" t="s">
        <v>14</v>
      </c>
      <c r="D543" t="s">
        <v>21</v>
      </c>
      <c r="E543" t="s">
        <v>70</v>
      </c>
      <c r="F543" t="s">
        <v>72</v>
      </c>
      <c r="G543">
        <v>5</v>
      </c>
      <c r="H543">
        <v>109.56</v>
      </c>
      <c r="I543">
        <v>10</v>
      </c>
      <c r="J543" t="s">
        <v>73</v>
      </c>
      <c r="K543" t="s">
        <v>77</v>
      </c>
      <c r="L543">
        <v>547.79999999999995</v>
      </c>
      <c r="M543">
        <v>54.78</v>
      </c>
      <c r="N543">
        <v>493.02</v>
      </c>
      <c r="O5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3" s="9" t="str">
        <f ca="1">IF(OR(ISNUMBER(Table1[[#This Row],[Order_Date]])=FALSE,Table1[[#This Row],[Order_Date]]&lt;DATE(2000,1,1),Table1[[#This Row],[Order_Date]]&gt;TODAY()),"YES","NO")</f>
        <v>NO</v>
      </c>
    </row>
    <row r="544" spans="1:16" x14ac:dyDescent="0.3">
      <c r="A544">
        <v>100539</v>
      </c>
      <c r="B544" s="8">
        <v>45314.416666666657</v>
      </c>
      <c r="C544" t="s">
        <v>14</v>
      </c>
      <c r="D544" t="s">
        <v>54</v>
      </c>
      <c r="E544" t="s">
        <v>68</v>
      </c>
      <c r="F544" t="s">
        <v>72</v>
      </c>
      <c r="G544">
        <v>4</v>
      </c>
      <c r="H544">
        <v>41.1</v>
      </c>
      <c r="I544">
        <v>0</v>
      </c>
      <c r="J544" t="s">
        <v>75</v>
      </c>
      <c r="K544" t="s">
        <v>77</v>
      </c>
      <c r="L544">
        <v>164.4</v>
      </c>
      <c r="M544">
        <v>0</v>
      </c>
      <c r="N544">
        <v>164.4</v>
      </c>
      <c r="O5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4" s="9" t="str">
        <f ca="1">IF(OR(ISNUMBER(Table1[[#This Row],[Order_Date]])=FALSE,Table1[[#This Row],[Order_Date]]&lt;DATE(2000,1,1),Table1[[#This Row],[Order_Date]]&gt;TODAY()),"YES","NO")</f>
        <v>NO</v>
      </c>
    </row>
    <row r="545" spans="1:16" x14ac:dyDescent="0.3">
      <c r="A545">
        <v>100540</v>
      </c>
      <c r="B545" s="8">
        <v>45314.458333333343</v>
      </c>
      <c r="C545" t="s">
        <v>15</v>
      </c>
      <c r="D545" t="s">
        <v>38</v>
      </c>
      <c r="E545" t="s">
        <v>69</v>
      </c>
      <c r="F545" t="s">
        <v>71</v>
      </c>
      <c r="G545">
        <v>4</v>
      </c>
      <c r="H545">
        <v>84.47</v>
      </c>
      <c r="I545">
        <v>15</v>
      </c>
      <c r="J545" t="s">
        <v>76</v>
      </c>
      <c r="K545" t="s">
        <v>77</v>
      </c>
      <c r="L545">
        <v>337.88</v>
      </c>
      <c r="M545">
        <v>50.682000000000002</v>
      </c>
      <c r="N545">
        <v>287.19799999999998</v>
      </c>
      <c r="O5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5" s="9" t="str">
        <f ca="1">IF(OR(ISNUMBER(Table1[[#This Row],[Order_Date]])=FALSE,Table1[[#This Row],[Order_Date]]&lt;DATE(2000,1,1),Table1[[#This Row],[Order_Date]]&gt;TODAY()),"YES","NO")</f>
        <v>NO</v>
      </c>
    </row>
    <row r="546" spans="1:16" x14ac:dyDescent="0.3">
      <c r="A546">
        <v>100541</v>
      </c>
      <c r="B546" s="8">
        <v>45314.5</v>
      </c>
      <c r="C546" t="s">
        <v>14</v>
      </c>
      <c r="D546" t="s">
        <v>65</v>
      </c>
      <c r="E546" t="s">
        <v>70</v>
      </c>
      <c r="F546" t="s">
        <v>71</v>
      </c>
      <c r="G546">
        <v>2</v>
      </c>
      <c r="H546">
        <v>36.24</v>
      </c>
      <c r="I546">
        <v>5</v>
      </c>
      <c r="J546" t="s">
        <v>76</v>
      </c>
      <c r="K546" t="s">
        <v>78</v>
      </c>
      <c r="L546">
        <v>72.48</v>
      </c>
      <c r="M546">
        <v>3.624000000000001</v>
      </c>
      <c r="N546">
        <v>68.856000000000009</v>
      </c>
      <c r="O5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46" s="9" t="str">
        <f ca="1">IF(OR(ISNUMBER(Table1[[#This Row],[Order_Date]])=FALSE,Table1[[#This Row],[Order_Date]]&lt;DATE(2000,1,1),Table1[[#This Row],[Order_Date]]&gt;TODAY()),"YES","NO")</f>
        <v>NO</v>
      </c>
    </row>
    <row r="547" spans="1:16" x14ac:dyDescent="0.3">
      <c r="A547">
        <v>100542</v>
      </c>
      <c r="B547" s="8">
        <v>45314.541666666657</v>
      </c>
      <c r="C547" t="s">
        <v>15</v>
      </c>
      <c r="D547" t="s">
        <v>36</v>
      </c>
      <c r="E547" t="s">
        <v>67</v>
      </c>
      <c r="F547" t="s">
        <v>72</v>
      </c>
      <c r="G547">
        <v>3</v>
      </c>
      <c r="H547">
        <v>26.92</v>
      </c>
      <c r="I547">
        <v>15</v>
      </c>
      <c r="J547" t="s">
        <v>75</v>
      </c>
      <c r="K547" t="s">
        <v>77</v>
      </c>
      <c r="L547">
        <v>80.760000000000005</v>
      </c>
      <c r="M547">
        <v>12.114000000000001</v>
      </c>
      <c r="N547">
        <v>68.646000000000001</v>
      </c>
      <c r="O5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7" s="9" t="str">
        <f ca="1">IF(OR(ISNUMBER(Table1[[#This Row],[Order_Date]])=FALSE,Table1[[#This Row],[Order_Date]]&lt;DATE(2000,1,1),Table1[[#This Row],[Order_Date]]&gt;TODAY()),"YES","NO")</f>
        <v>NO</v>
      </c>
    </row>
    <row r="548" spans="1:16" x14ac:dyDescent="0.3">
      <c r="A548">
        <v>100543</v>
      </c>
      <c r="B548" s="8">
        <v>45314.583333333343</v>
      </c>
      <c r="C548" t="s">
        <v>14</v>
      </c>
      <c r="D548" t="s">
        <v>37</v>
      </c>
      <c r="E548" t="s">
        <v>70</v>
      </c>
      <c r="F548" t="s">
        <v>71</v>
      </c>
      <c r="G548">
        <v>3</v>
      </c>
      <c r="H548">
        <v>26.23</v>
      </c>
      <c r="I548">
        <v>10</v>
      </c>
      <c r="J548" t="s">
        <v>76</v>
      </c>
      <c r="K548" t="s">
        <v>77</v>
      </c>
      <c r="L548">
        <v>78.69</v>
      </c>
      <c r="M548">
        <v>7.8689999999999998</v>
      </c>
      <c r="N548">
        <v>70.820999999999998</v>
      </c>
      <c r="O5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8" s="9" t="str">
        <f ca="1">IF(OR(ISNUMBER(Table1[[#This Row],[Order_Date]])=FALSE,Table1[[#This Row],[Order_Date]]&lt;DATE(2000,1,1),Table1[[#This Row],[Order_Date]]&gt;TODAY()),"YES","NO")</f>
        <v>NO</v>
      </c>
    </row>
    <row r="549" spans="1:16" x14ac:dyDescent="0.3">
      <c r="A549">
        <v>100544</v>
      </c>
      <c r="B549" s="8">
        <v>45314.625</v>
      </c>
      <c r="C549" t="s">
        <v>15</v>
      </c>
      <c r="D549" t="s">
        <v>20</v>
      </c>
      <c r="E549" t="s">
        <v>66</v>
      </c>
      <c r="F549" t="s">
        <v>71</v>
      </c>
      <c r="G549">
        <v>1</v>
      </c>
      <c r="H549">
        <v>44.34</v>
      </c>
      <c r="I549">
        <v>10</v>
      </c>
      <c r="J549" t="s">
        <v>76</v>
      </c>
      <c r="K549" t="s">
        <v>77</v>
      </c>
      <c r="L549">
        <v>44.34</v>
      </c>
      <c r="M549">
        <v>4.4340000000000002</v>
      </c>
      <c r="N549">
        <v>39.906000000000013</v>
      </c>
      <c r="O5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49" s="9" t="str">
        <f ca="1">IF(OR(ISNUMBER(Table1[[#This Row],[Order_Date]])=FALSE,Table1[[#This Row],[Order_Date]]&lt;DATE(2000,1,1),Table1[[#This Row],[Order_Date]]&gt;TODAY()),"YES","NO")</f>
        <v>NO</v>
      </c>
    </row>
    <row r="550" spans="1:16" x14ac:dyDescent="0.3">
      <c r="A550">
        <v>100545</v>
      </c>
      <c r="B550" s="8">
        <v>45314.666666666657</v>
      </c>
      <c r="C550" t="s">
        <v>14</v>
      </c>
      <c r="D550" t="s">
        <v>33</v>
      </c>
      <c r="E550" t="s">
        <v>67</v>
      </c>
      <c r="F550" t="s">
        <v>72</v>
      </c>
      <c r="G550">
        <v>1</v>
      </c>
      <c r="H550">
        <v>54.45</v>
      </c>
      <c r="I550">
        <v>15</v>
      </c>
      <c r="J550" t="s">
        <v>74</v>
      </c>
      <c r="K550" t="s">
        <v>77</v>
      </c>
      <c r="L550">
        <v>54.45</v>
      </c>
      <c r="M550">
        <v>8.1675000000000004</v>
      </c>
      <c r="N550">
        <v>46.282499999999999</v>
      </c>
      <c r="O5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0" s="9" t="str">
        <f ca="1">IF(OR(ISNUMBER(Table1[[#This Row],[Order_Date]])=FALSE,Table1[[#This Row],[Order_Date]]&lt;DATE(2000,1,1),Table1[[#This Row],[Order_Date]]&gt;TODAY()),"YES","NO")</f>
        <v>NO</v>
      </c>
    </row>
    <row r="551" spans="1:16" x14ac:dyDescent="0.3">
      <c r="A551">
        <v>100546</v>
      </c>
      <c r="B551" s="8">
        <v>45314.708333333343</v>
      </c>
      <c r="C551" t="s">
        <v>15</v>
      </c>
      <c r="D551" t="s">
        <v>49</v>
      </c>
      <c r="E551" t="s">
        <v>68</v>
      </c>
      <c r="F551" t="s">
        <v>71</v>
      </c>
      <c r="G551">
        <v>5</v>
      </c>
      <c r="H551">
        <v>100.56</v>
      </c>
      <c r="I551">
        <v>10</v>
      </c>
      <c r="J551" t="s">
        <v>75</v>
      </c>
      <c r="K551" t="s">
        <v>77</v>
      </c>
      <c r="L551">
        <v>502.8</v>
      </c>
      <c r="M551">
        <v>50.28</v>
      </c>
      <c r="N551">
        <v>452.52</v>
      </c>
      <c r="O5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1" s="9" t="str">
        <f ca="1">IF(OR(ISNUMBER(Table1[[#This Row],[Order_Date]])=FALSE,Table1[[#This Row],[Order_Date]]&lt;DATE(2000,1,1),Table1[[#This Row],[Order_Date]]&gt;TODAY()),"YES","NO")</f>
        <v>NO</v>
      </c>
    </row>
    <row r="552" spans="1:16" x14ac:dyDescent="0.3">
      <c r="A552">
        <v>100547</v>
      </c>
      <c r="B552" s="8">
        <v>45314.75</v>
      </c>
      <c r="C552" t="s">
        <v>14</v>
      </c>
      <c r="D552" t="s">
        <v>51</v>
      </c>
      <c r="E552" t="s">
        <v>69</v>
      </c>
      <c r="F552" t="s">
        <v>71</v>
      </c>
      <c r="G552">
        <v>2</v>
      </c>
      <c r="H552">
        <v>18.79</v>
      </c>
      <c r="I552">
        <v>5</v>
      </c>
      <c r="J552" t="s">
        <v>74</v>
      </c>
      <c r="K552" t="s">
        <v>77</v>
      </c>
      <c r="L552">
        <v>37.58</v>
      </c>
      <c r="M552">
        <v>1.879</v>
      </c>
      <c r="N552">
        <v>35.701000000000001</v>
      </c>
      <c r="O5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2" s="9" t="str">
        <f ca="1">IF(OR(ISNUMBER(Table1[[#This Row],[Order_Date]])=FALSE,Table1[[#This Row],[Order_Date]]&lt;DATE(2000,1,1),Table1[[#This Row],[Order_Date]]&gt;TODAY()),"YES","NO")</f>
        <v>NO</v>
      </c>
    </row>
    <row r="553" spans="1:16" x14ac:dyDescent="0.3">
      <c r="A553">
        <v>100548</v>
      </c>
      <c r="B553" s="8">
        <v>45314.791666666657</v>
      </c>
      <c r="C553" t="s">
        <v>15</v>
      </c>
      <c r="D553" t="s">
        <v>37</v>
      </c>
      <c r="E553" t="s">
        <v>70</v>
      </c>
      <c r="F553" t="s">
        <v>72</v>
      </c>
      <c r="G553">
        <v>1</v>
      </c>
      <c r="H553">
        <v>89.52</v>
      </c>
      <c r="I553">
        <v>10</v>
      </c>
      <c r="J553" t="s">
        <v>74</v>
      </c>
      <c r="K553" t="s">
        <v>78</v>
      </c>
      <c r="L553">
        <v>89.52</v>
      </c>
      <c r="M553">
        <v>8.952</v>
      </c>
      <c r="N553">
        <v>80.567999999999998</v>
      </c>
      <c r="O5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53" s="9" t="str">
        <f ca="1">IF(OR(ISNUMBER(Table1[[#This Row],[Order_Date]])=FALSE,Table1[[#This Row],[Order_Date]]&lt;DATE(2000,1,1),Table1[[#This Row],[Order_Date]]&gt;TODAY()),"YES","NO")</f>
        <v>NO</v>
      </c>
    </row>
    <row r="554" spans="1:16" x14ac:dyDescent="0.3">
      <c r="A554">
        <v>100549</v>
      </c>
      <c r="B554" s="8">
        <v>45314.833333333343</v>
      </c>
      <c r="C554" t="s">
        <v>15</v>
      </c>
      <c r="D554" t="s">
        <v>33</v>
      </c>
      <c r="E554" t="s">
        <v>67</v>
      </c>
      <c r="F554" t="s">
        <v>72</v>
      </c>
      <c r="G554">
        <v>1</v>
      </c>
      <c r="H554">
        <v>66.12</v>
      </c>
      <c r="I554">
        <v>5</v>
      </c>
      <c r="J554" t="s">
        <v>76</v>
      </c>
      <c r="K554" t="s">
        <v>78</v>
      </c>
      <c r="L554">
        <v>66.12</v>
      </c>
      <c r="M554">
        <v>3.306</v>
      </c>
      <c r="N554">
        <v>62.814000000000007</v>
      </c>
      <c r="O5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54" s="9" t="str">
        <f ca="1">IF(OR(ISNUMBER(Table1[[#This Row],[Order_Date]])=FALSE,Table1[[#This Row],[Order_Date]]&lt;DATE(2000,1,1),Table1[[#This Row],[Order_Date]]&gt;TODAY()),"YES","NO")</f>
        <v>NO</v>
      </c>
    </row>
    <row r="555" spans="1:16" x14ac:dyDescent="0.3">
      <c r="A555">
        <v>100550</v>
      </c>
      <c r="B555" s="8">
        <v>45314.875</v>
      </c>
      <c r="C555" t="s">
        <v>14</v>
      </c>
      <c r="D555" t="s">
        <v>23</v>
      </c>
      <c r="E555" t="s">
        <v>66</v>
      </c>
      <c r="F555" t="s">
        <v>71</v>
      </c>
      <c r="G555">
        <v>2</v>
      </c>
      <c r="H555">
        <v>38.11</v>
      </c>
      <c r="I555">
        <v>15</v>
      </c>
      <c r="J555" t="s">
        <v>76</v>
      </c>
      <c r="K555" t="s">
        <v>77</v>
      </c>
      <c r="L555">
        <v>76.22</v>
      </c>
      <c r="M555">
        <v>11.433</v>
      </c>
      <c r="N555">
        <v>64.787000000000006</v>
      </c>
      <c r="O5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5" s="9" t="str">
        <f ca="1">IF(OR(ISNUMBER(Table1[[#This Row],[Order_Date]])=FALSE,Table1[[#This Row],[Order_Date]]&lt;DATE(2000,1,1),Table1[[#This Row],[Order_Date]]&gt;TODAY()),"YES","NO")</f>
        <v>NO</v>
      </c>
    </row>
    <row r="556" spans="1:16" x14ac:dyDescent="0.3">
      <c r="A556">
        <v>100551</v>
      </c>
      <c r="B556" s="8">
        <v>45314.916666666657</v>
      </c>
      <c r="C556" t="s">
        <v>14</v>
      </c>
      <c r="D556" t="s">
        <v>38</v>
      </c>
      <c r="E556" t="s">
        <v>67</v>
      </c>
      <c r="F556" t="s">
        <v>71</v>
      </c>
      <c r="G556">
        <v>5</v>
      </c>
      <c r="H556">
        <v>61.67</v>
      </c>
      <c r="I556">
        <v>15</v>
      </c>
      <c r="J556" t="s">
        <v>75</v>
      </c>
      <c r="K556" t="s">
        <v>78</v>
      </c>
      <c r="L556">
        <v>308.35000000000002</v>
      </c>
      <c r="M556">
        <v>46.252499999999998</v>
      </c>
      <c r="N556">
        <v>262.09750000000003</v>
      </c>
      <c r="O5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56" s="9" t="str">
        <f ca="1">IF(OR(ISNUMBER(Table1[[#This Row],[Order_Date]])=FALSE,Table1[[#This Row],[Order_Date]]&lt;DATE(2000,1,1),Table1[[#This Row],[Order_Date]]&gt;TODAY()),"YES","NO")</f>
        <v>NO</v>
      </c>
    </row>
    <row r="557" spans="1:16" x14ac:dyDescent="0.3">
      <c r="A557">
        <v>100552</v>
      </c>
      <c r="B557" s="8">
        <v>45314.958333333343</v>
      </c>
      <c r="C557" t="s">
        <v>15</v>
      </c>
      <c r="D557" t="s">
        <v>35</v>
      </c>
      <c r="E557" t="s">
        <v>66</v>
      </c>
      <c r="F557" t="s">
        <v>72</v>
      </c>
      <c r="G557">
        <v>1</v>
      </c>
      <c r="H557">
        <v>39.49</v>
      </c>
      <c r="I557">
        <v>10</v>
      </c>
      <c r="J557" t="s">
        <v>76</v>
      </c>
      <c r="K557" t="s">
        <v>77</v>
      </c>
      <c r="L557">
        <v>39.49</v>
      </c>
      <c r="M557">
        <v>3.9489999999999998</v>
      </c>
      <c r="N557">
        <v>35.540999999999997</v>
      </c>
      <c r="O5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7" s="9" t="str">
        <f ca="1">IF(OR(ISNUMBER(Table1[[#This Row],[Order_Date]])=FALSE,Table1[[#This Row],[Order_Date]]&lt;DATE(2000,1,1),Table1[[#This Row],[Order_Date]]&gt;TODAY()),"YES","NO")</f>
        <v>NO</v>
      </c>
    </row>
    <row r="558" spans="1:16" x14ac:dyDescent="0.3">
      <c r="A558">
        <v>100553</v>
      </c>
      <c r="B558" s="8">
        <v>45315</v>
      </c>
      <c r="C558" t="s">
        <v>14</v>
      </c>
      <c r="D558" t="s">
        <v>23</v>
      </c>
      <c r="E558" t="s">
        <v>68</v>
      </c>
      <c r="F558" t="s">
        <v>71</v>
      </c>
      <c r="G558">
        <v>5</v>
      </c>
      <c r="H558">
        <v>73.55</v>
      </c>
      <c r="I558">
        <v>5</v>
      </c>
      <c r="J558" t="s">
        <v>76</v>
      </c>
      <c r="K558" t="s">
        <v>77</v>
      </c>
      <c r="L558">
        <v>367.75</v>
      </c>
      <c r="M558">
        <v>18.387499999999999</v>
      </c>
      <c r="N558">
        <v>349.36250000000001</v>
      </c>
      <c r="O5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8" s="9" t="str">
        <f ca="1">IF(OR(ISNUMBER(Table1[[#This Row],[Order_Date]])=FALSE,Table1[[#This Row],[Order_Date]]&lt;DATE(2000,1,1),Table1[[#This Row],[Order_Date]]&gt;TODAY()),"YES","NO")</f>
        <v>NO</v>
      </c>
    </row>
    <row r="559" spans="1:16" x14ac:dyDescent="0.3">
      <c r="A559">
        <v>100554</v>
      </c>
      <c r="B559" s="8">
        <v>45315.041666666657</v>
      </c>
      <c r="C559" t="s">
        <v>15</v>
      </c>
      <c r="D559" t="s">
        <v>33</v>
      </c>
      <c r="E559" t="s">
        <v>69</v>
      </c>
      <c r="F559" t="s">
        <v>71</v>
      </c>
      <c r="G559">
        <v>4</v>
      </c>
      <c r="H559">
        <v>54.89</v>
      </c>
      <c r="I559">
        <v>10</v>
      </c>
      <c r="J559" t="s">
        <v>75</v>
      </c>
      <c r="K559" t="s">
        <v>77</v>
      </c>
      <c r="L559">
        <v>219.56</v>
      </c>
      <c r="M559">
        <v>21.956</v>
      </c>
      <c r="N559">
        <v>197.60400000000001</v>
      </c>
      <c r="O5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59" s="9" t="str">
        <f ca="1">IF(OR(ISNUMBER(Table1[[#This Row],[Order_Date]])=FALSE,Table1[[#This Row],[Order_Date]]&lt;DATE(2000,1,1),Table1[[#This Row],[Order_Date]]&gt;TODAY()),"YES","NO")</f>
        <v>NO</v>
      </c>
    </row>
    <row r="560" spans="1:16" x14ac:dyDescent="0.3">
      <c r="A560">
        <v>100555</v>
      </c>
      <c r="B560" s="8">
        <v>45315.083333333343</v>
      </c>
      <c r="C560" t="s">
        <v>14</v>
      </c>
      <c r="D560" t="s">
        <v>63</v>
      </c>
      <c r="E560" t="s">
        <v>68</v>
      </c>
      <c r="F560" t="s">
        <v>71</v>
      </c>
      <c r="G560">
        <v>5</v>
      </c>
      <c r="H560">
        <v>23.91</v>
      </c>
      <c r="I560">
        <v>0</v>
      </c>
      <c r="J560" t="s">
        <v>76</v>
      </c>
      <c r="K560" t="s">
        <v>77</v>
      </c>
      <c r="L560">
        <v>119.55</v>
      </c>
      <c r="M560">
        <v>0</v>
      </c>
      <c r="N560">
        <v>119.55</v>
      </c>
      <c r="O5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0" s="9" t="str">
        <f ca="1">IF(OR(ISNUMBER(Table1[[#This Row],[Order_Date]])=FALSE,Table1[[#This Row],[Order_Date]]&lt;DATE(2000,1,1),Table1[[#This Row],[Order_Date]]&gt;TODAY()),"YES","NO")</f>
        <v>NO</v>
      </c>
    </row>
    <row r="561" spans="1:16" x14ac:dyDescent="0.3">
      <c r="A561">
        <v>100556</v>
      </c>
      <c r="B561" s="8">
        <v>45315.125</v>
      </c>
      <c r="C561" t="s">
        <v>15</v>
      </c>
      <c r="D561" t="s">
        <v>54</v>
      </c>
      <c r="E561" t="s">
        <v>70</v>
      </c>
      <c r="F561" t="s">
        <v>72</v>
      </c>
      <c r="G561">
        <v>3</v>
      </c>
      <c r="H561">
        <v>18.41</v>
      </c>
      <c r="I561">
        <v>0</v>
      </c>
      <c r="J561" t="s">
        <v>74</v>
      </c>
      <c r="K561" t="s">
        <v>78</v>
      </c>
      <c r="L561">
        <v>55.23</v>
      </c>
      <c r="M561">
        <v>0</v>
      </c>
      <c r="N561">
        <v>55.23</v>
      </c>
      <c r="O5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61" s="9" t="str">
        <f ca="1">IF(OR(ISNUMBER(Table1[[#This Row],[Order_Date]])=FALSE,Table1[[#This Row],[Order_Date]]&lt;DATE(2000,1,1),Table1[[#This Row],[Order_Date]]&gt;TODAY()),"YES","NO")</f>
        <v>NO</v>
      </c>
    </row>
    <row r="562" spans="1:16" x14ac:dyDescent="0.3">
      <c r="A562">
        <v>100557</v>
      </c>
      <c r="B562" s="8">
        <v>45315.166666666657</v>
      </c>
      <c r="C562" t="s">
        <v>15</v>
      </c>
      <c r="D562" t="s">
        <v>51</v>
      </c>
      <c r="E562" t="s">
        <v>67</v>
      </c>
      <c r="F562" t="s">
        <v>71</v>
      </c>
      <c r="G562">
        <v>3</v>
      </c>
      <c r="H562">
        <v>67.87</v>
      </c>
      <c r="I562">
        <v>0</v>
      </c>
      <c r="J562" t="s">
        <v>75</v>
      </c>
      <c r="K562" t="s">
        <v>77</v>
      </c>
      <c r="L562">
        <v>203.61</v>
      </c>
      <c r="M562">
        <v>0</v>
      </c>
      <c r="N562">
        <v>203.61</v>
      </c>
      <c r="O5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2" s="9" t="str">
        <f ca="1">IF(OR(ISNUMBER(Table1[[#This Row],[Order_Date]])=FALSE,Table1[[#This Row],[Order_Date]]&lt;DATE(2000,1,1),Table1[[#This Row],[Order_Date]]&gt;TODAY()),"YES","NO")</f>
        <v>NO</v>
      </c>
    </row>
    <row r="563" spans="1:16" x14ac:dyDescent="0.3">
      <c r="A563">
        <v>100558</v>
      </c>
      <c r="B563" s="8">
        <v>45315.208333333343</v>
      </c>
      <c r="C563" t="s">
        <v>15</v>
      </c>
      <c r="D563" t="s">
        <v>27</v>
      </c>
      <c r="E563" t="s">
        <v>66</v>
      </c>
      <c r="F563" t="s">
        <v>71</v>
      </c>
      <c r="G563">
        <v>5</v>
      </c>
      <c r="H563">
        <v>108.78</v>
      </c>
      <c r="I563">
        <v>0</v>
      </c>
      <c r="J563" t="s">
        <v>76</v>
      </c>
      <c r="K563" t="s">
        <v>77</v>
      </c>
      <c r="L563">
        <v>543.9</v>
      </c>
      <c r="M563">
        <v>0</v>
      </c>
      <c r="N563">
        <v>543.9</v>
      </c>
      <c r="O5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3" s="9" t="str">
        <f ca="1">IF(OR(ISNUMBER(Table1[[#This Row],[Order_Date]])=FALSE,Table1[[#This Row],[Order_Date]]&lt;DATE(2000,1,1),Table1[[#This Row],[Order_Date]]&gt;TODAY()),"YES","NO")</f>
        <v>NO</v>
      </c>
    </row>
    <row r="564" spans="1:16" x14ac:dyDescent="0.3">
      <c r="A564">
        <v>100559</v>
      </c>
      <c r="B564" s="8">
        <v>45315.25</v>
      </c>
      <c r="C564" t="s">
        <v>15</v>
      </c>
      <c r="D564" t="s">
        <v>36</v>
      </c>
      <c r="E564" t="s">
        <v>66</v>
      </c>
      <c r="F564" t="s">
        <v>72</v>
      </c>
      <c r="G564">
        <v>3</v>
      </c>
      <c r="H564">
        <v>44.56</v>
      </c>
      <c r="I564">
        <v>10</v>
      </c>
      <c r="J564" t="s">
        <v>73</v>
      </c>
      <c r="K564" t="s">
        <v>77</v>
      </c>
      <c r="L564">
        <v>133.68</v>
      </c>
      <c r="M564">
        <v>13.368</v>
      </c>
      <c r="N564">
        <v>120.312</v>
      </c>
      <c r="O5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4" s="9" t="str">
        <f ca="1">IF(OR(ISNUMBER(Table1[[#This Row],[Order_Date]])=FALSE,Table1[[#This Row],[Order_Date]]&lt;DATE(2000,1,1),Table1[[#This Row],[Order_Date]]&gt;TODAY()),"YES","NO")</f>
        <v>NO</v>
      </c>
    </row>
    <row r="565" spans="1:16" x14ac:dyDescent="0.3">
      <c r="A565">
        <v>100560</v>
      </c>
      <c r="B565" s="8">
        <v>45315.291666666657</v>
      </c>
      <c r="C565" t="s">
        <v>15</v>
      </c>
      <c r="D565" t="s">
        <v>52</v>
      </c>
      <c r="E565" t="s">
        <v>67</v>
      </c>
      <c r="F565" t="s">
        <v>71</v>
      </c>
      <c r="G565">
        <v>4</v>
      </c>
      <c r="H565">
        <v>89.3</v>
      </c>
      <c r="I565">
        <v>0</v>
      </c>
      <c r="J565" t="s">
        <v>75</v>
      </c>
      <c r="K565" t="s">
        <v>77</v>
      </c>
      <c r="L565">
        <v>357.2</v>
      </c>
      <c r="M565">
        <v>0</v>
      </c>
      <c r="N565">
        <v>357.2</v>
      </c>
      <c r="O5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5" s="9" t="str">
        <f ca="1">IF(OR(ISNUMBER(Table1[[#This Row],[Order_Date]])=FALSE,Table1[[#This Row],[Order_Date]]&lt;DATE(2000,1,1),Table1[[#This Row],[Order_Date]]&gt;TODAY()),"YES","NO")</f>
        <v>NO</v>
      </c>
    </row>
    <row r="566" spans="1:16" x14ac:dyDescent="0.3">
      <c r="A566">
        <v>100561</v>
      </c>
      <c r="B566" s="8">
        <v>45315.333333333343</v>
      </c>
      <c r="C566" t="s">
        <v>15</v>
      </c>
      <c r="D566" t="s">
        <v>29</v>
      </c>
      <c r="E566" t="s">
        <v>67</v>
      </c>
      <c r="F566" t="s">
        <v>71</v>
      </c>
      <c r="G566">
        <v>2</v>
      </c>
      <c r="H566">
        <v>80.75</v>
      </c>
      <c r="I566">
        <v>5</v>
      </c>
      <c r="J566" t="s">
        <v>75</v>
      </c>
      <c r="K566" t="s">
        <v>77</v>
      </c>
      <c r="L566">
        <v>161.5</v>
      </c>
      <c r="M566">
        <v>8.0750000000000011</v>
      </c>
      <c r="N566">
        <v>153.42500000000001</v>
      </c>
      <c r="O5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6" s="9" t="str">
        <f ca="1">IF(OR(ISNUMBER(Table1[[#This Row],[Order_Date]])=FALSE,Table1[[#This Row],[Order_Date]]&lt;DATE(2000,1,1),Table1[[#This Row],[Order_Date]]&gt;TODAY()),"YES","NO")</f>
        <v>NO</v>
      </c>
    </row>
    <row r="567" spans="1:16" x14ac:dyDescent="0.3">
      <c r="A567">
        <v>100562</v>
      </c>
      <c r="B567" s="8">
        <v>45315.375</v>
      </c>
      <c r="C567" t="s">
        <v>14</v>
      </c>
      <c r="D567" t="s">
        <v>34</v>
      </c>
      <c r="E567" t="s">
        <v>70</v>
      </c>
      <c r="F567" t="s">
        <v>72</v>
      </c>
      <c r="G567">
        <v>3</v>
      </c>
      <c r="H567">
        <v>112.13</v>
      </c>
      <c r="I567">
        <v>15</v>
      </c>
      <c r="J567" t="s">
        <v>73</v>
      </c>
      <c r="K567" t="s">
        <v>77</v>
      </c>
      <c r="L567">
        <v>336.39</v>
      </c>
      <c r="M567">
        <v>50.458499999999987</v>
      </c>
      <c r="N567">
        <v>285.93150000000003</v>
      </c>
      <c r="O5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7" s="9" t="str">
        <f ca="1">IF(OR(ISNUMBER(Table1[[#This Row],[Order_Date]])=FALSE,Table1[[#This Row],[Order_Date]]&lt;DATE(2000,1,1),Table1[[#This Row],[Order_Date]]&gt;TODAY()),"YES","NO")</f>
        <v>NO</v>
      </c>
    </row>
    <row r="568" spans="1:16" x14ac:dyDescent="0.3">
      <c r="A568">
        <v>100563</v>
      </c>
      <c r="B568" s="8">
        <v>45315.416666666657</v>
      </c>
      <c r="C568" t="s">
        <v>14</v>
      </c>
      <c r="D568" t="s">
        <v>31</v>
      </c>
      <c r="E568" t="s">
        <v>68</v>
      </c>
      <c r="F568" t="s">
        <v>72</v>
      </c>
      <c r="G568">
        <v>3</v>
      </c>
      <c r="H568">
        <v>99.41</v>
      </c>
      <c r="I568">
        <v>15</v>
      </c>
      <c r="J568" t="s">
        <v>76</v>
      </c>
      <c r="K568" t="s">
        <v>77</v>
      </c>
      <c r="L568">
        <v>298.23</v>
      </c>
      <c r="M568">
        <v>44.734499999999997</v>
      </c>
      <c r="N568">
        <v>253.49549999999999</v>
      </c>
      <c r="O5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8" s="9" t="str">
        <f ca="1">IF(OR(ISNUMBER(Table1[[#This Row],[Order_Date]])=FALSE,Table1[[#This Row],[Order_Date]]&lt;DATE(2000,1,1),Table1[[#This Row],[Order_Date]]&gt;TODAY()),"YES","NO")</f>
        <v>NO</v>
      </c>
    </row>
    <row r="569" spans="1:16" x14ac:dyDescent="0.3">
      <c r="A569">
        <v>100564</v>
      </c>
      <c r="B569" s="8">
        <v>45315.458333333343</v>
      </c>
      <c r="C569" t="s">
        <v>14</v>
      </c>
      <c r="D569" t="s">
        <v>21</v>
      </c>
      <c r="E569" t="s">
        <v>66</v>
      </c>
      <c r="F569" t="s">
        <v>72</v>
      </c>
      <c r="G569">
        <v>5</v>
      </c>
      <c r="H569">
        <v>70.16</v>
      </c>
      <c r="I569">
        <v>0</v>
      </c>
      <c r="J569" t="s">
        <v>76</v>
      </c>
      <c r="K569" t="s">
        <v>77</v>
      </c>
      <c r="L569">
        <v>350.8</v>
      </c>
      <c r="M569">
        <v>0</v>
      </c>
      <c r="N569">
        <v>350.8</v>
      </c>
      <c r="O5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69" s="9" t="str">
        <f ca="1">IF(OR(ISNUMBER(Table1[[#This Row],[Order_Date]])=FALSE,Table1[[#This Row],[Order_Date]]&lt;DATE(2000,1,1),Table1[[#This Row],[Order_Date]]&gt;TODAY()),"YES","NO")</f>
        <v>NO</v>
      </c>
    </row>
    <row r="570" spans="1:16" x14ac:dyDescent="0.3">
      <c r="A570">
        <v>100565</v>
      </c>
      <c r="B570" s="8">
        <v>45315.5</v>
      </c>
      <c r="C570" t="s">
        <v>15</v>
      </c>
      <c r="D570" t="s">
        <v>38</v>
      </c>
      <c r="E570" t="s">
        <v>70</v>
      </c>
      <c r="F570" t="s">
        <v>72</v>
      </c>
      <c r="G570">
        <v>4</v>
      </c>
      <c r="H570">
        <v>80.56</v>
      </c>
      <c r="I570">
        <v>0</v>
      </c>
      <c r="J570" t="s">
        <v>75</v>
      </c>
      <c r="K570" t="s">
        <v>77</v>
      </c>
      <c r="L570">
        <v>322.24</v>
      </c>
      <c r="M570">
        <v>0</v>
      </c>
      <c r="N570">
        <v>322.24</v>
      </c>
      <c r="O5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0" s="9" t="str">
        <f ca="1">IF(OR(ISNUMBER(Table1[[#This Row],[Order_Date]])=FALSE,Table1[[#This Row],[Order_Date]]&lt;DATE(2000,1,1),Table1[[#This Row],[Order_Date]]&gt;TODAY()),"YES","NO")</f>
        <v>NO</v>
      </c>
    </row>
    <row r="571" spans="1:16" x14ac:dyDescent="0.3">
      <c r="A571">
        <v>100566</v>
      </c>
      <c r="B571" s="8">
        <v>45315.541666666657</v>
      </c>
      <c r="C571" t="s">
        <v>15</v>
      </c>
      <c r="D571" t="s">
        <v>34</v>
      </c>
      <c r="E571" t="s">
        <v>68</v>
      </c>
      <c r="F571" t="s">
        <v>71</v>
      </c>
      <c r="G571">
        <v>2</v>
      </c>
      <c r="H571">
        <v>108.31</v>
      </c>
      <c r="I571">
        <v>0</v>
      </c>
      <c r="J571" t="s">
        <v>75</v>
      </c>
      <c r="K571" t="s">
        <v>77</v>
      </c>
      <c r="L571">
        <v>216.62</v>
      </c>
      <c r="M571">
        <v>0</v>
      </c>
      <c r="N571">
        <v>216.62</v>
      </c>
      <c r="O5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1" s="9" t="str">
        <f ca="1">IF(OR(ISNUMBER(Table1[[#This Row],[Order_Date]])=FALSE,Table1[[#This Row],[Order_Date]]&lt;DATE(2000,1,1),Table1[[#This Row],[Order_Date]]&gt;TODAY()),"YES","NO")</f>
        <v>NO</v>
      </c>
    </row>
    <row r="572" spans="1:16" x14ac:dyDescent="0.3">
      <c r="A572">
        <v>100567</v>
      </c>
      <c r="B572" s="8">
        <v>45315.583333333343</v>
      </c>
      <c r="C572" t="s">
        <v>15</v>
      </c>
      <c r="D572" t="s">
        <v>33</v>
      </c>
      <c r="E572" t="s">
        <v>70</v>
      </c>
      <c r="F572" t="s">
        <v>71</v>
      </c>
      <c r="G572">
        <v>5</v>
      </c>
      <c r="H572">
        <v>50.94</v>
      </c>
      <c r="I572">
        <v>10</v>
      </c>
      <c r="J572" t="s">
        <v>76</v>
      </c>
      <c r="K572" t="s">
        <v>77</v>
      </c>
      <c r="L572">
        <v>254.7</v>
      </c>
      <c r="M572">
        <v>25.47</v>
      </c>
      <c r="N572">
        <v>229.23</v>
      </c>
      <c r="O5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2" s="9" t="str">
        <f ca="1">IF(OR(ISNUMBER(Table1[[#This Row],[Order_Date]])=FALSE,Table1[[#This Row],[Order_Date]]&lt;DATE(2000,1,1),Table1[[#This Row],[Order_Date]]&gt;TODAY()),"YES","NO")</f>
        <v>NO</v>
      </c>
    </row>
    <row r="573" spans="1:16" x14ac:dyDescent="0.3">
      <c r="A573">
        <v>100568</v>
      </c>
      <c r="B573" s="8">
        <v>45315.625</v>
      </c>
      <c r="C573" t="s">
        <v>15</v>
      </c>
      <c r="D573" t="s">
        <v>47</v>
      </c>
      <c r="E573" t="s">
        <v>66</v>
      </c>
      <c r="F573" t="s">
        <v>72</v>
      </c>
      <c r="G573">
        <v>5</v>
      </c>
      <c r="H573">
        <v>42.58</v>
      </c>
      <c r="I573">
        <v>15</v>
      </c>
      <c r="J573" t="s">
        <v>76</v>
      </c>
      <c r="K573" t="s">
        <v>77</v>
      </c>
      <c r="L573">
        <v>212.9</v>
      </c>
      <c r="M573">
        <v>31.934999999999999</v>
      </c>
      <c r="N573">
        <v>180.965</v>
      </c>
      <c r="O5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3" s="9" t="str">
        <f ca="1">IF(OR(ISNUMBER(Table1[[#This Row],[Order_Date]])=FALSE,Table1[[#This Row],[Order_Date]]&lt;DATE(2000,1,1),Table1[[#This Row],[Order_Date]]&gt;TODAY()),"YES","NO")</f>
        <v>NO</v>
      </c>
    </row>
    <row r="574" spans="1:16" x14ac:dyDescent="0.3">
      <c r="A574">
        <v>100569</v>
      </c>
      <c r="B574" s="8">
        <v>45315.666666666657</v>
      </c>
      <c r="C574" t="s">
        <v>14</v>
      </c>
      <c r="D574" t="s">
        <v>53</v>
      </c>
      <c r="E574" t="s">
        <v>67</v>
      </c>
      <c r="F574" t="s">
        <v>72</v>
      </c>
      <c r="G574">
        <v>4</v>
      </c>
      <c r="H574">
        <v>6.24</v>
      </c>
      <c r="I574">
        <v>0</v>
      </c>
      <c r="J574" t="s">
        <v>74</v>
      </c>
      <c r="K574" t="s">
        <v>77</v>
      </c>
      <c r="L574">
        <v>24.96</v>
      </c>
      <c r="M574">
        <v>0</v>
      </c>
      <c r="N574">
        <v>24.96</v>
      </c>
      <c r="O5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4" s="9" t="str">
        <f ca="1">IF(OR(ISNUMBER(Table1[[#This Row],[Order_Date]])=FALSE,Table1[[#This Row],[Order_Date]]&lt;DATE(2000,1,1),Table1[[#This Row],[Order_Date]]&gt;TODAY()),"YES","NO")</f>
        <v>NO</v>
      </c>
    </row>
    <row r="575" spans="1:16" x14ac:dyDescent="0.3">
      <c r="A575">
        <v>100570</v>
      </c>
      <c r="B575" s="8">
        <v>45315.708333333343</v>
      </c>
      <c r="C575" t="s">
        <v>14</v>
      </c>
      <c r="D575" t="s">
        <v>36</v>
      </c>
      <c r="E575" t="s">
        <v>67</v>
      </c>
      <c r="F575" t="s">
        <v>71</v>
      </c>
      <c r="G575">
        <v>2</v>
      </c>
      <c r="H575">
        <v>100.05</v>
      </c>
      <c r="I575">
        <v>5</v>
      </c>
      <c r="J575" t="s">
        <v>75</v>
      </c>
      <c r="K575" t="s">
        <v>77</v>
      </c>
      <c r="L575">
        <v>200.1</v>
      </c>
      <c r="M575">
        <v>10.005000000000001</v>
      </c>
      <c r="N575">
        <v>190.095</v>
      </c>
      <c r="O5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5" s="9" t="str">
        <f ca="1">IF(OR(ISNUMBER(Table1[[#This Row],[Order_Date]])=FALSE,Table1[[#This Row],[Order_Date]]&lt;DATE(2000,1,1),Table1[[#This Row],[Order_Date]]&gt;TODAY()),"YES","NO")</f>
        <v>NO</v>
      </c>
    </row>
    <row r="576" spans="1:16" x14ac:dyDescent="0.3">
      <c r="A576">
        <v>100571</v>
      </c>
      <c r="B576" s="8">
        <v>45315.75</v>
      </c>
      <c r="C576" t="s">
        <v>15</v>
      </c>
      <c r="D576" t="s">
        <v>55</v>
      </c>
      <c r="E576" t="s">
        <v>68</v>
      </c>
      <c r="F576" t="s">
        <v>72</v>
      </c>
      <c r="G576">
        <v>4</v>
      </c>
      <c r="H576">
        <v>97.11</v>
      </c>
      <c r="I576">
        <v>0</v>
      </c>
      <c r="J576" t="s">
        <v>75</v>
      </c>
      <c r="K576" t="s">
        <v>77</v>
      </c>
      <c r="L576">
        <v>388.44</v>
      </c>
      <c r="M576">
        <v>0</v>
      </c>
      <c r="N576">
        <v>388.44</v>
      </c>
      <c r="O5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6" s="9" t="str">
        <f ca="1">IF(OR(ISNUMBER(Table1[[#This Row],[Order_Date]])=FALSE,Table1[[#This Row],[Order_Date]]&lt;DATE(2000,1,1),Table1[[#This Row],[Order_Date]]&gt;TODAY()),"YES","NO")</f>
        <v>NO</v>
      </c>
    </row>
    <row r="577" spans="1:16" x14ac:dyDescent="0.3">
      <c r="A577">
        <v>100572</v>
      </c>
      <c r="B577" s="8">
        <v>45315.791666666657</v>
      </c>
      <c r="C577" t="s">
        <v>14</v>
      </c>
      <c r="D577" t="s">
        <v>23</v>
      </c>
      <c r="E577" t="s">
        <v>69</v>
      </c>
      <c r="F577" t="s">
        <v>71</v>
      </c>
      <c r="G577">
        <v>2</v>
      </c>
      <c r="H577">
        <v>17.010000000000002</v>
      </c>
      <c r="I577">
        <v>15</v>
      </c>
      <c r="J577" t="s">
        <v>73</v>
      </c>
      <c r="K577" t="s">
        <v>78</v>
      </c>
      <c r="L577">
        <v>34.020000000000003</v>
      </c>
      <c r="M577">
        <v>5.1030000000000006</v>
      </c>
      <c r="N577">
        <v>28.917000000000002</v>
      </c>
      <c r="O5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77" s="9" t="str">
        <f ca="1">IF(OR(ISNUMBER(Table1[[#This Row],[Order_Date]])=FALSE,Table1[[#This Row],[Order_Date]]&lt;DATE(2000,1,1),Table1[[#This Row],[Order_Date]]&gt;TODAY()),"YES","NO")</f>
        <v>NO</v>
      </c>
    </row>
    <row r="578" spans="1:16" x14ac:dyDescent="0.3">
      <c r="A578">
        <v>100573</v>
      </c>
      <c r="B578" s="8">
        <v>45315.833333333343</v>
      </c>
      <c r="C578" t="s">
        <v>14</v>
      </c>
      <c r="D578" t="s">
        <v>56</v>
      </c>
      <c r="E578" t="s">
        <v>68</v>
      </c>
      <c r="F578" t="s">
        <v>72</v>
      </c>
      <c r="G578">
        <v>4</v>
      </c>
      <c r="H578">
        <v>71.34</v>
      </c>
      <c r="I578">
        <v>0</v>
      </c>
      <c r="J578" t="s">
        <v>74</v>
      </c>
      <c r="K578" t="s">
        <v>77</v>
      </c>
      <c r="L578">
        <v>285.36</v>
      </c>
      <c r="M578">
        <v>0</v>
      </c>
      <c r="N578">
        <v>285.36</v>
      </c>
      <c r="O5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8" s="9" t="str">
        <f ca="1">IF(OR(ISNUMBER(Table1[[#This Row],[Order_Date]])=FALSE,Table1[[#This Row],[Order_Date]]&lt;DATE(2000,1,1),Table1[[#This Row],[Order_Date]]&gt;TODAY()),"YES","NO")</f>
        <v>NO</v>
      </c>
    </row>
    <row r="579" spans="1:16" x14ac:dyDescent="0.3">
      <c r="A579">
        <v>100574</v>
      </c>
      <c r="B579" s="8">
        <v>45315.875</v>
      </c>
      <c r="C579" t="s">
        <v>15</v>
      </c>
      <c r="D579" t="s">
        <v>48</v>
      </c>
      <c r="E579" t="s">
        <v>69</v>
      </c>
      <c r="F579" t="s">
        <v>71</v>
      </c>
      <c r="G579">
        <v>5</v>
      </c>
      <c r="H579">
        <v>58.36</v>
      </c>
      <c r="I579">
        <v>15</v>
      </c>
      <c r="J579" t="s">
        <v>76</v>
      </c>
      <c r="K579" t="s">
        <v>77</v>
      </c>
      <c r="L579">
        <v>291.8</v>
      </c>
      <c r="M579">
        <v>43.77</v>
      </c>
      <c r="N579">
        <v>248.03</v>
      </c>
      <c r="O5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79" s="9" t="str">
        <f ca="1">IF(OR(ISNUMBER(Table1[[#This Row],[Order_Date]])=FALSE,Table1[[#This Row],[Order_Date]]&lt;DATE(2000,1,1),Table1[[#This Row],[Order_Date]]&gt;TODAY()),"YES","NO")</f>
        <v>NO</v>
      </c>
    </row>
    <row r="580" spans="1:16" x14ac:dyDescent="0.3">
      <c r="A580">
        <v>100575</v>
      </c>
      <c r="B580" s="8">
        <v>45315.916666666657</v>
      </c>
      <c r="C580" t="s">
        <v>14</v>
      </c>
      <c r="D580" t="s">
        <v>37</v>
      </c>
      <c r="E580" t="s">
        <v>70</v>
      </c>
      <c r="F580" t="s">
        <v>72</v>
      </c>
      <c r="G580">
        <v>5</v>
      </c>
      <c r="H580">
        <v>18.649999999999999</v>
      </c>
      <c r="I580">
        <v>0</v>
      </c>
      <c r="J580" t="s">
        <v>74</v>
      </c>
      <c r="K580" t="s">
        <v>79</v>
      </c>
      <c r="L580">
        <v>93.25</v>
      </c>
      <c r="M580">
        <v>0</v>
      </c>
      <c r="N580">
        <v>93.25</v>
      </c>
      <c r="O5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80" s="9" t="str">
        <f ca="1">IF(OR(ISNUMBER(Table1[[#This Row],[Order_Date]])=FALSE,Table1[[#This Row],[Order_Date]]&lt;DATE(2000,1,1),Table1[[#This Row],[Order_Date]]&gt;TODAY()),"YES","NO")</f>
        <v>NO</v>
      </c>
    </row>
    <row r="581" spans="1:16" x14ac:dyDescent="0.3">
      <c r="A581">
        <v>100576</v>
      </c>
      <c r="B581" s="8">
        <v>45315.958333333343</v>
      </c>
      <c r="C581" t="s">
        <v>15</v>
      </c>
      <c r="D581" t="s">
        <v>32</v>
      </c>
      <c r="E581" t="s">
        <v>70</v>
      </c>
      <c r="F581" t="s">
        <v>72</v>
      </c>
      <c r="G581">
        <v>1</v>
      </c>
      <c r="H581">
        <v>117.77</v>
      </c>
      <c r="I581">
        <v>5</v>
      </c>
      <c r="J581" t="s">
        <v>76</v>
      </c>
      <c r="K581" t="s">
        <v>77</v>
      </c>
      <c r="L581">
        <v>117.77</v>
      </c>
      <c r="M581">
        <v>5.8885000000000014</v>
      </c>
      <c r="N581">
        <v>111.8815</v>
      </c>
      <c r="O5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1" s="9" t="str">
        <f ca="1">IF(OR(ISNUMBER(Table1[[#This Row],[Order_Date]])=FALSE,Table1[[#This Row],[Order_Date]]&lt;DATE(2000,1,1),Table1[[#This Row],[Order_Date]]&gt;TODAY()),"YES","NO")</f>
        <v>NO</v>
      </c>
    </row>
    <row r="582" spans="1:16" x14ac:dyDescent="0.3">
      <c r="A582">
        <v>100577</v>
      </c>
      <c r="B582" s="8">
        <v>45316</v>
      </c>
      <c r="C582" t="s">
        <v>14</v>
      </c>
      <c r="D582" t="s">
        <v>32</v>
      </c>
      <c r="E582" t="s">
        <v>66</v>
      </c>
      <c r="F582" t="s">
        <v>71</v>
      </c>
      <c r="G582">
        <v>3</v>
      </c>
      <c r="H582">
        <v>29.69</v>
      </c>
      <c r="I582">
        <v>0</v>
      </c>
      <c r="J582" t="s">
        <v>76</v>
      </c>
      <c r="K582" t="s">
        <v>77</v>
      </c>
      <c r="L582">
        <v>89.070000000000007</v>
      </c>
      <c r="M582">
        <v>0</v>
      </c>
      <c r="N582">
        <v>89.070000000000007</v>
      </c>
      <c r="O5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2" s="9" t="str">
        <f ca="1">IF(OR(ISNUMBER(Table1[[#This Row],[Order_Date]])=FALSE,Table1[[#This Row],[Order_Date]]&lt;DATE(2000,1,1),Table1[[#This Row],[Order_Date]]&gt;TODAY()),"YES","NO")</f>
        <v>NO</v>
      </c>
    </row>
    <row r="583" spans="1:16" x14ac:dyDescent="0.3">
      <c r="A583">
        <v>100578</v>
      </c>
      <c r="B583" s="8">
        <v>45316.041666666657</v>
      </c>
      <c r="C583" t="s">
        <v>15</v>
      </c>
      <c r="D583" t="s">
        <v>51</v>
      </c>
      <c r="E583" t="s">
        <v>69</v>
      </c>
      <c r="F583" t="s">
        <v>72</v>
      </c>
      <c r="G583">
        <v>4</v>
      </c>
      <c r="H583">
        <v>12.73</v>
      </c>
      <c r="I583">
        <v>5</v>
      </c>
      <c r="J583" t="s">
        <v>74</v>
      </c>
      <c r="K583" t="s">
        <v>77</v>
      </c>
      <c r="L583">
        <v>50.92</v>
      </c>
      <c r="M583">
        <v>2.5459999999999998</v>
      </c>
      <c r="N583">
        <v>48.374000000000002</v>
      </c>
      <c r="O5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3" s="9" t="str">
        <f ca="1">IF(OR(ISNUMBER(Table1[[#This Row],[Order_Date]])=FALSE,Table1[[#This Row],[Order_Date]]&lt;DATE(2000,1,1),Table1[[#This Row],[Order_Date]]&gt;TODAY()),"YES","NO")</f>
        <v>NO</v>
      </c>
    </row>
    <row r="584" spans="1:16" x14ac:dyDescent="0.3">
      <c r="A584">
        <v>100579</v>
      </c>
      <c r="B584" s="8">
        <v>45316.083333333343</v>
      </c>
      <c r="C584" t="s">
        <v>15</v>
      </c>
      <c r="D584" t="s">
        <v>24</v>
      </c>
      <c r="E584" t="s">
        <v>66</v>
      </c>
      <c r="F584" t="s">
        <v>71</v>
      </c>
      <c r="G584">
        <v>1</v>
      </c>
      <c r="H584">
        <v>73.41</v>
      </c>
      <c r="I584">
        <v>5</v>
      </c>
      <c r="J584" t="s">
        <v>75</v>
      </c>
      <c r="K584" t="s">
        <v>79</v>
      </c>
      <c r="L584">
        <v>73.41</v>
      </c>
      <c r="M584">
        <v>3.6705000000000001</v>
      </c>
      <c r="N584">
        <v>69.739499999999992</v>
      </c>
      <c r="O5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84" s="9" t="str">
        <f ca="1">IF(OR(ISNUMBER(Table1[[#This Row],[Order_Date]])=FALSE,Table1[[#This Row],[Order_Date]]&lt;DATE(2000,1,1),Table1[[#This Row],[Order_Date]]&gt;TODAY()),"YES","NO")</f>
        <v>NO</v>
      </c>
    </row>
    <row r="585" spans="1:16" x14ac:dyDescent="0.3">
      <c r="A585">
        <v>100580</v>
      </c>
      <c r="B585" s="8">
        <v>45316.125</v>
      </c>
      <c r="C585" t="s">
        <v>15</v>
      </c>
      <c r="D585" t="s">
        <v>44</v>
      </c>
      <c r="E585" t="s">
        <v>67</v>
      </c>
      <c r="F585" t="s">
        <v>71</v>
      </c>
      <c r="G585">
        <v>3</v>
      </c>
      <c r="H585">
        <v>89.97</v>
      </c>
      <c r="I585">
        <v>0</v>
      </c>
      <c r="J585" t="s">
        <v>76</v>
      </c>
      <c r="K585" t="s">
        <v>78</v>
      </c>
      <c r="L585">
        <v>269.91000000000003</v>
      </c>
      <c r="M585">
        <v>0</v>
      </c>
      <c r="N585">
        <v>269.91000000000003</v>
      </c>
      <c r="O5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85" s="9" t="str">
        <f ca="1">IF(OR(ISNUMBER(Table1[[#This Row],[Order_Date]])=FALSE,Table1[[#This Row],[Order_Date]]&lt;DATE(2000,1,1),Table1[[#This Row],[Order_Date]]&gt;TODAY()),"YES","NO")</f>
        <v>NO</v>
      </c>
    </row>
    <row r="586" spans="1:16" x14ac:dyDescent="0.3">
      <c r="A586">
        <v>100581</v>
      </c>
      <c r="B586" s="8">
        <v>45316.166666666657</v>
      </c>
      <c r="C586" t="s">
        <v>15</v>
      </c>
      <c r="D586" t="s">
        <v>18</v>
      </c>
      <c r="E586" t="s">
        <v>69</v>
      </c>
      <c r="F586" t="s">
        <v>71</v>
      </c>
      <c r="G586">
        <v>4</v>
      </c>
      <c r="H586">
        <v>8.73</v>
      </c>
      <c r="I586">
        <v>5</v>
      </c>
      <c r="J586" t="s">
        <v>74</v>
      </c>
      <c r="K586" t="s">
        <v>77</v>
      </c>
      <c r="L586">
        <v>34.92</v>
      </c>
      <c r="M586">
        <v>1.746</v>
      </c>
      <c r="N586">
        <v>33.173999999999999</v>
      </c>
      <c r="O5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6" s="9" t="str">
        <f ca="1">IF(OR(ISNUMBER(Table1[[#This Row],[Order_Date]])=FALSE,Table1[[#This Row],[Order_Date]]&lt;DATE(2000,1,1),Table1[[#This Row],[Order_Date]]&gt;TODAY()),"YES","NO")</f>
        <v>NO</v>
      </c>
    </row>
    <row r="587" spans="1:16" x14ac:dyDescent="0.3">
      <c r="A587">
        <v>100582</v>
      </c>
      <c r="B587" s="8">
        <v>45316.208333333343</v>
      </c>
      <c r="C587" t="s">
        <v>14</v>
      </c>
      <c r="D587" t="s">
        <v>49</v>
      </c>
      <c r="E587" t="s">
        <v>68</v>
      </c>
      <c r="F587" t="s">
        <v>71</v>
      </c>
      <c r="G587">
        <v>2</v>
      </c>
      <c r="H587">
        <v>80.75</v>
      </c>
      <c r="I587">
        <v>10</v>
      </c>
      <c r="J587" t="s">
        <v>73</v>
      </c>
      <c r="K587" t="s">
        <v>77</v>
      </c>
      <c r="L587">
        <v>161.5</v>
      </c>
      <c r="M587">
        <v>16.149999999999999</v>
      </c>
      <c r="N587">
        <v>145.35</v>
      </c>
      <c r="O5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7" s="9" t="str">
        <f ca="1">IF(OR(ISNUMBER(Table1[[#This Row],[Order_Date]])=FALSE,Table1[[#This Row],[Order_Date]]&lt;DATE(2000,1,1),Table1[[#This Row],[Order_Date]]&gt;TODAY()),"YES","NO")</f>
        <v>NO</v>
      </c>
    </row>
    <row r="588" spans="1:16" x14ac:dyDescent="0.3">
      <c r="A588">
        <v>100583</v>
      </c>
      <c r="B588" s="8">
        <v>45316.25</v>
      </c>
      <c r="C588" t="s">
        <v>15</v>
      </c>
      <c r="D588" t="s">
        <v>21</v>
      </c>
      <c r="E588" t="s">
        <v>67</v>
      </c>
      <c r="F588" t="s">
        <v>71</v>
      </c>
      <c r="G588">
        <v>3</v>
      </c>
      <c r="H588">
        <v>66.209999999999994</v>
      </c>
      <c r="I588">
        <v>0</v>
      </c>
      <c r="J588" t="s">
        <v>74</v>
      </c>
      <c r="K588" t="s">
        <v>77</v>
      </c>
      <c r="L588">
        <v>198.63</v>
      </c>
      <c r="M588">
        <v>0</v>
      </c>
      <c r="N588">
        <v>198.63</v>
      </c>
      <c r="O5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88" s="9" t="str">
        <f ca="1">IF(OR(ISNUMBER(Table1[[#This Row],[Order_Date]])=FALSE,Table1[[#This Row],[Order_Date]]&lt;DATE(2000,1,1),Table1[[#This Row],[Order_Date]]&gt;TODAY()),"YES","NO")</f>
        <v>NO</v>
      </c>
    </row>
    <row r="589" spans="1:16" x14ac:dyDescent="0.3">
      <c r="A589">
        <v>100584</v>
      </c>
      <c r="B589" s="8">
        <v>45316.291666666657</v>
      </c>
      <c r="C589" t="s">
        <v>15</v>
      </c>
      <c r="D589" t="s">
        <v>37</v>
      </c>
      <c r="E589" t="s">
        <v>67</v>
      </c>
      <c r="F589" t="s">
        <v>72</v>
      </c>
      <c r="G589">
        <v>5</v>
      </c>
      <c r="H589">
        <v>16.88</v>
      </c>
      <c r="I589">
        <v>0</v>
      </c>
      <c r="J589" t="s">
        <v>73</v>
      </c>
      <c r="K589" t="s">
        <v>79</v>
      </c>
      <c r="L589">
        <v>84.399999999999991</v>
      </c>
      <c r="M589">
        <v>0</v>
      </c>
      <c r="N589">
        <v>84.399999999999991</v>
      </c>
      <c r="O5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89" s="9" t="str">
        <f ca="1">IF(OR(ISNUMBER(Table1[[#This Row],[Order_Date]])=FALSE,Table1[[#This Row],[Order_Date]]&lt;DATE(2000,1,1),Table1[[#This Row],[Order_Date]]&gt;TODAY()),"YES","NO")</f>
        <v>NO</v>
      </c>
    </row>
    <row r="590" spans="1:16" x14ac:dyDescent="0.3">
      <c r="A590">
        <v>100585</v>
      </c>
      <c r="B590" s="8">
        <v>45316.333333333343</v>
      </c>
      <c r="C590" t="s">
        <v>15</v>
      </c>
      <c r="D590" t="s">
        <v>34</v>
      </c>
      <c r="E590" t="s">
        <v>68</v>
      </c>
      <c r="F590" t="s">
        <v>72</v>
      </c>
      <c r="G590">
        <v>1</v>
      </c>
      <c r="H590">
        <v>24.84</v>
      </c>
      <c r="I590">
        <v>5</v>
      </c>
      <c r="J590" t="s">
        <v>76</v>
      </c>
      <c r="K590" t="s">
        <v>79</v>
      </c>
      <c r="L590">
        <v>24.84</v>
      </c>
      <c r="M590">
        <v>1.242</v>
      </c>
      <c r="N590">
        <v>23.597999999999999</v>
      </c>
      <c r="O5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90" s="9" t="str">
        <f ca="1">IF(OR(ISNUMBER(Table1[[#This Row],[Order_Date]])=FALSE,Table1[[#This Row],[Order_Date]]&lt;DATE(2000,1,1),Table1[[#This Row],[Order_Date]]&gt;TODAY()),"YES","NO")</f>
        <v>NO</v>
      </c>
    </row>
    <row r="591" spans="1:16" x14ac:dyDescent="0.3">
      <c r="A591">
        <v>100586</v>
      </c>
      <c r="B591" s="8">
        <v>45316.375</v>
      </c>
      <c r="C591" t="s">
        <v>14</v>
      </c>
      <c r="D591" t="s">
        <v>65</v>
      </c>
      <c r="E591" t="s">
        <v>67</v>
      </c>
      <c r="F591" t="s">
        <v>71</v>
      </c>
      <c r="G591">
        <v>3</v>
      </c>
      <c r="H591">
        <v>70.319999999999993</v>
      </c>
      <c r="I591">
        <v>5</v>
      </c>
      <c r="J591" t="s">
        <v>74</v>
      </c>
      <c r="K591" t="s">
        <v>77</v>
      </c>
      <c r="L591">
        <v>210.96</v>
      </c>
      <c r="M591">
        <v>10.548</v>
      </c>
      <c r="N591">
        <v>200.41200000000001</v>
      </c>
      <c r="O5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1" s="9" t="str">
        <f ca="1">IF(OR(ISNUMBER(Table1[[#This Row],[Order_Date]])=FALSE,Table1[[#This Row],[Order_Date]]&lt;DATE(2000,1,1),Table1[[#This Row],[Order_Date]]&gt;TODAY()),"YES","NO")</f>
        <v>NO</v>
      </c>
    </row>
    <row r="592" spans="1:16" x14ac:dyDescent="0.3">
      <c r="A592">
        <v>100587</v>
      </c>
      <c r="B592" s="8">
        <v>45316.416666666657</v>
      </c>
      <c r="C592" t="s">
        <v>15</v>
      </c>
      <c r="D592" t="s">
        <v>23</v>
      </c>
      <c r="E592" t="s">
        <v>69</v>
      </c>
      <c r="F592" t="s">
        <v>72</v>
      </c>
      <c r="G592">
        <v>3</v>
      </c>
      <c r="H592">
        <v>39.08</v>
      </c>
      <c r="I592">
        <v>0</v>
      </c>
      <c r="J592" t="s">
        <v>74</v>
      </c>
      <c r="K592" t="s">
        <v>77</v>
      </c>
      <c r="L592">
        <v>117.24</v>
      </c>
      <c r="M592">
        <v>0</v>
      </c>
      <c r="N592">
        <v>117.24</v>
      </c>
      <c r="O5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2" s="9" t="str">
        <f ca="1">IF(OR(ISNUMBER(Table1[[#This Row],[Order_Date]])=FALSE,Table1[[#This Row],[Order_Date]]&lt;DATE(2000,1,1),Table1[[#This Row],[Order_Date]]&gt;TODAY()),"YES","NO")</f>
        <v>NO</v>
      </c>
    </row>
    <row r="593" spans="1:16" x14ac:dyDescent="0.3">
      <c r="A593">
        <v>100588</v>
      </c>
      <c r="B593" s="8">
        <v>45316.458333333343</v>
      </c>
      <c r="C593" t="s">
        <v>14</v>
      </c>
      <c r="D593" t="s">
        <v>55</v>
      </c>
      <c r="E593" t="s">
        <v>66</v>
      </c>
      <c r="F593" t="s">
        <v>71</v>
      </c>
      <c r="G593">
        <v>5</v>
      </c>
      <c r="H593">
        <v>112.91</v>
      </c>
      <c r="I593">
        <v>10</v>
      </c>
      <c r="J593" t="s">
        <v>73</v>
      </c>
      <c r="K593" t="s">
        <v>77</v>
      </c>
      <c r="L593">
        <v>564.54999999999995</v>
      </c>
      <c r="M593">
        <v>56.454999999999998</v>
      </c>
      <c r="N593">
        <v>508.09500000000003</v>
      </c>
      <c r="O5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3" s="9" t="str">
        <f ca="1">IF(OR(ISNUMBER(Table1[[#This Row],[Order_Date]])=FALSE,Table1[[#This Row],[Order_Date]]&lt;DATE(2000,1,1),Table1[[#This Row],[Order_Date]]&gt;TODAY()),"YES","NO")</f>
        <v>NO</v>
      </c>
    </row>
    <row r="594" spans="1:16" x14ac:dyDescent="0.3">
      <c r="A594">
        <v>100589</v>
      </c>
      <c r="B594" s="8">
        <v>45316.5</v>
      </c>
      <c r="C594" t="s">
        <v>15</v>
      </c>
      <c r="D594" t="s">
        <v>36</v>
      </c>
      <c r="E594" t="s">
        <v>67</v>
      </c>
      <c r="F594" t="s">
        <v>72</v>
      </c>
      <c r="G594">
        <v>4</v>
      </c>
      <c r="H594">
        <v>99.16</v>
      </c>
      <c r="I594">
        <v>5</v>
      </c>
      <c r="J594" t="s">
        <v>74</v>
      </c>
      <c r="K594" t="s">
        <v>77</v>
      </c>
      <c r="L594">
        <v>396.64</v>
      </c>
      <c r="M594">
        <v>19.832000000000001</v>
      </c>
      <c r="N594">
        <v>376.80799999999999</v>
      </c>
      <c r="O5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4" s="9" t="str">
        <f ca="1">IF(OR(ISNUMBER(Table1[[#This Row],[Order_Date]])=FALSE,Table1[[#This Row],[Order_Date]]&lt;DATE(2000,1,1),Table1[[#This Row],[Order_Date]]&gt;TODAY()),"YES","NO")</f>
        <v>NO</v>
      </c>
    </row>
    <row r="595" spans="1:16" x14ac:dyDescent="0.3">
      <c r="A595">
        <v>100590</v>
      </c>
      <c r="B595" s="8">
        <v>45316.541666666657</v>
      </c>
      <c r="C595" t="s">
        <v>14</v>
      </c>
      <c r="D595" t="s">
        <v>48</v>
      </c>
      <c r="E595" t="s">
        <v>69</v>
      </c>
      <c r="F595" t="s">
        <v>72</v>
      </c>
      <c r="G595">
        <v>2</v>
      </c>
      <c r="H595">
        <v>118.11</v>
      </c>
      <c r="I595">
        <v>5</v>
      </c>
      <c r="J595" t="s">
        <v>74</v>
      </c>
      <c r="K595" t="s">
        <v>77</v>
      </c>
      <c r="L595">
        <v>236.22</v>
      </c>
      <c r="M595">
        <v>11.811</v>
      </c>
      <c r="N595">
        <v>224.40899999999999</v>
      </c>
      <c r="O5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5" s="9" t="str">
        <f ca="1">IF(OR(ISNUMBER(Table1[[#This Row],[Order_Date]])=FALSE,Table1[[#This Row],[Order_Date]]&lt;DATE(2000,1,1),Table1[[#This Row],[Order_Date]]&gt;TODAY()),"YES","NO")</f>
        <v>NO</v>
      </c>
    </row>
    <row r="596" spans="1:16" x14ac:dyDescent="0.3">
      <c r="A596">
        <v>100591</v>
      </c>
      <c r="B596" s="8">
        <v>45316.583333333343</v>
      </c>
      <c r="C596" t="s">
        <v>14</v>
      </c>
      <c r="D596" t="s">
        <v>60</v>
      </c>
      <c r="E596" t="s">
        <v>70</v>
      </c>
      <c r="F596" t="s">
        <v>72</v>
      </c>
      <c r="G596">
        <v>5</v>
      </c>
      <c r="H596">
        <v>34.86</v>
      </c>
      <c r="I596">
        <v>15</v>
      </c>
      <c r="J596" t="s">
        <v>76</v>
      </c>
      <c r="K596" t="s">
        <v>77</v>
      </c>
      <c r="L596">
        <v>174.3</v>
      </c>
      <c r="M596">
        <v>26.145</v>
      </c>
      <c r="N596">
        <v>148.155</v>
      </c>
      <c r="O5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6" s="9" t="str">
        <f ca="1">IF(OR(ISNUMBER(Table1[[#This Row],[Order_Date]])=FALSE,Table1[[#This Row],[Order_Date]]&lt;DATE(2000,1,1),Table1[[#This Row],[Order_Date]]&gt;TODAY()),"YES","NO")</f>
        <v>NO</v>
      </c>
    </row>
    <row r="597" spans="1:16" x14ac:dyDescent="0.3">
      <c r="A597">
        <v>100592</v>
      </c>
      <c r="B597" s="8">
        <v>45316.625</v>
      </c>
      <c r="C597" t="s">
        <v>15</v>
      </c>
      <c r="D597" t="s">
        <v>49</v>
      </c>
      <c r="E597" t="s">
        <v>69</v>
      </c>
      <c r="F597" t="s">
        <v>72</v>
      </c>
      <c r="G597">
        <v>2</v>
      </c>
      <c r="H597">
        <v>116.52</v>
      </c>
      <c r="I597">
        <v>10</v>
      </c>
      <c r="J597" t="s">
        <v>74</v>
      </c>
      <c r="K597" t="s">
        <v>77</v>
      </c>
      <c r="L597">
        <v>233.04</v>
      </c>
      <c r="M597">
        <v>23.303999999999998</v>
      </c>
      <c r="N597">
        <v>209.73599999999999</v>
      </c>
      <c r="O5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7" s="9" t="str">
        <f ca="1">IF(OR(ISNUMBER(Table1[[#This Row],[Order_Date]])=FALSE,Table1[[#This Row],[Order_Date]]&lt;DATE(2000,1,1),Table1[[#This Row],[Order_Date]]&gt;TODAY()),"YES","NO")</f>
        <v>NO</v>
      </c>
    </row>
    <row r="598" spans="1:16" x14ac:dyDescent="0.3">
      <c r="A598">
        <v>100593</v>
      </c>
      <c r="B598" s="8">
        <v>45316.666666666657</v>
      </c>
      <c r="C598" t="s">
        <v>14</v>
      </c>
      <c r="D598" t="s">
        <v>55</v>
      </c>
      <c r="E598" t="s">
        <v>66</v>
      </c>
      <c r="F598" t="s">
        <v>71</v>
      </c>
      <c r="G598">
        <v>4</v>
      </c>
      <c r="H598">
        <v>54.59</v>
      </c>
      <c r="I598">
        <v>10</v>
      </c>
      <c r="J598" t="s">
        <v>75</v>
      </c>
      <c r="K598" t="s">
        <v>77</v>
      </c>
      <c r="L598">
        <v>218.36</v>
      </c>
      <c r="M598">
        <v>21.835999999999999</v>
      </c>
      <c r="N598">
        <v>196.524</v>
      </c>
      <c r="O5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598" s="9" t="str">
        <f ca="1">IF(OR(ISNUMBER(Table1[[#This Row],[Order_Date]])=FALSE,Table1[[#This Row],[Order_Date]]&lt;DATE(2000,1,1),Table1[[#This Row],[Order_Date]]&gt;TODAY()),"YES","NO")</f>
        <v>NO</v>
      </c>
    </row>
    <row r="599" spans="1:16" x14ac:dyDescent="0.3">
      <c r="A599">
        <v>100594</v>
      </c>
      <c r="B599" s="8">
        <v>45316.708333333343</v>
      </c>
      <c r="C599" t="s">
        <v>15</v>
      </c>
      <c r="D599" t="s">
        <v>29</v>
      </c>
      <c r="E599" t="s">
        <v>69</v>
      </c>
      <c r="F599" t="s">
        <v>71</v>
      </c>
      <c r="G599">
        <v>3</v>
      </c>
      <c r="H599">
        <v>44.96</v>
      </c>
      <c r="I599">
        <v>0</v>
      </c>
      <c r="J599" t="s">
        <v>73</v>
      </c>
      <c r="K599" t="s">
        <v>79</v>
      </c>
      <c r="L599">
        <v>134.88</v>
      </c>
      <c r="M599">
        <v>0</v>
      </c>
      <c r="N599">
        <v>134.88</v>
      </c>
      <c r="O5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599" s="9" t="str">
        <f ca="1">IF(OR(ISNUMBER(Table1[[#This Row],[Order_Date]])=FALSE,Table1[[#This Row],[Order_Date]]&lt;DATE(2000,1,1),Table1[[#This Row],[Order_Date]]&gt;TODAY()),"YES","NO")</f>
        <v>NO</v>
      </c>
    </row>
    <row r="600" spans="1:16" x14ac:dyDescent="0.3">
      <c r="A600">
        <v>100595</v>
      </c>
      <c r="B600" s="8">
        <v>45316.75</v>
      </c>
      <c r="C600" t="s">
        <v>15</v>
      </c>
      <c r="D600" t="s">
        <v>50</v>
      </c>
      <c r="E600" t="s">
        <v>68</v>
      </c>
      <c r="F600" t="s">
        <v>72</v>
      </c>
      <c r="G600">
        <v>2</v>
      </c>
      <c r="H600">
        <v>10.79</v>
      </c>
      <c r="I600">
        <v>10</v>
      </c>
      <c r="J600" t="s">
        <v>74</v>
      </c>
      <c r="K600" t="s">
        <v>77</v>
      </c>
      <c r="L600">
        <v>21.58</v>
      </c>
      <c r="M600">
        <v>2.1579999999999999</v>
      </c>
      <c r="N600">
        <v>19.422000000000001</v>
      </c>
      <c r="O6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0" s="9" t="str">
        <f ca="1">IF(OR(ISNUMBER(Table1[[#This Row],[Order_Date]])=FALSE,Table1[[#This Row],[Order_Date]]&lt;DATE(2000,1,1),Table1[[#This Row],[Order_Date]]&gt;TODAY()),"YES","NO")</f>
        <v>NO</v>
      </c>
    </row>
    <row r="601" spans="1:16" x14ac:dyDescent="0.3">
      <c r="A601">
        <v>100596</v>
      </c>
      <c r="B601" s="8">
        <v>45316.791666666657</v>
      </c>
      <c r="C601" t="s">
        <v>15</v>
      </c>
      <c r="D601" t="s">
        <v>48</v>
      </c>
      <c r="E601" t="s">
        <v>66</v>
      </c>
      <c r="F601" t="s">
        <v>72</v>
      </c>
      <c r="G601">
        <v>1</v>
      </c>
      <c r="H601">
        <v>11.07</v>
      </c>
      <c r="I601">
        <v>0</v>
      </c>
      <c r="J601" t="s">
        <v>73</v>
      </c>
      <c r="K601" t="s">
        <v>77</v>
      </c>
      <c r="L601">
        <v>11.07</v>
      </c>
      <c r="M601">
        <v>0</v>
      </c>
      <c r="N601">
        <v>11.07</v>
      </c>
      <c r="O6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1" s="9" t="str">
        <f ca="1">IF(OR(ISNUMBER(Table1[[#This Row],[Order_Date]])=FALSE,Table1[[#This Row],[Order_Date]]&lt;DATE(2000,1,1),Table1[[#This Row],[Order_Date]]&gt;TODAY()),"YES","NO")</f>
        <v>NO</v>
      </c>
    </row>
    <row r="602" spans="1:16" x14ac:dyDescent="0.3">
      <c r="A602">
        <v>100597</v>
      </c>
      <c r="B602" s="8">
        <v>45316.833333333343</v>
      </c>
      <c r="C602" t="s">
        <v>14</v>
      </c>
      <c r="D602" t="s">
        <v>18</v>
      </c>
      <c r="E602" t="s">
        <v>70</v>
      </c>
      <c r="F602" t="s">
        <v>71</v>
      </c>
      <c r="G602">
        <v>1</v>
      </c>
      <c r="H602">
        <v>84.58</v>
      </c>
      <c r="I602">
        <v>15</v>
      </c>
      <c r="J602" t="s">
        <v>73</v>
      </c>
      <c r="K602" t="s">
        <v>77</v>
      </c>
      <c r="L602">
        <v>84.58</v>
      </c>
      <c r="M602">
        <v>12.686999999999999</v>
      </c>
      <c r="N602">
        <v>71.893000000000001</v>
      </c>
      <c r="O6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2" s="9" t="str">
        <f ca="1">IF(OR(ISNUMBER(Table1[[#This Row],[Order_Date]])=FALSE,Table1[[#This Row],[Order_Date]]&lt;DATE(2000,1,1),Table1[[#This Row],[Order_Date]]&gt;TODAY()),"YES","NO")</f>
        <v>NO</v>
      </c>
    </row>
    <row r="603" spans="1:16" x14ac:dyDescent="0.3">
      <c r="A603">
        <v>100598</v>
      </c>
      <c r="B603" s="8">
        <v>45316.875</v>
      </c>
      <c r="C603" t="s">
        <v>14</v>
      </c>
      <c r="D603" t="s">
        <v>21</v>
      </c>
      <c r="E603" t="s">
        <v>68</v>
      </c>
      <c r="F603" t="s">
        <v>72</v>
      </c>
      <c r="G603">
        <v>5</v>
      </c>
      <c r="H603">
        <v>57.66</v>
      </c>
      <c r="I603">
        <v>10</v>
      </c>
      <c r="J603" t="s">
        <v>73</v>
      </c>
      <c r="K603" t="s">
        <v>79</v>
      </c>
      <c r="L603">
        <v>288.3</v>
      </c>
      <c r="M603">
        <v>28.83</v>
      </c>
      <c r="N603">
        <v>259.47000000000003</v>
      </c>
      <c r="O6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03" s="9" t="str">
        <f ca="1">IF(OR(ISNUMBER(Table1[[#This Row],[Order_Date]])=FALSE,Table1[[#This Row],[Order_Date]]&lt;DATE(2000,1,1),Table1[[#This Row],[Order_Date]]&gt;TODAY()),"YES","NO")</f>
        <v>NO</v>
      </c>
    </row>
    <row r="604" spans="1:16" x14ac:dyDescent="0.3">
      <c r="A604">
        <v>100599</v>
      </c>
      <c r="B604" s="8">
        <v>45316.916666666657</v>
      </c>
      <c r="C604" t="s">
        <v>15</v>
      </c>
      <c r="D604" t="s">
        <v>29</v>
      </c>
      <c r="E604" t="s">
        <v>69</v>
      </c>
      <c r="F604" t="s">
        <v>71</v>
      </c>
      <c r="G604">
        <v>4</v>
      </c>
      <c r="H604">
        <v>31.05</v>
      </c>
      <c r="I604">
        <v>5</v>
      </c>
      <c r="J604" t="s">
        <v>74</v>
      </c>
      <c r="K604" t="s">
        <v>77</v>
      </c>
      <c r="L604">
        <v>124.2</v>
      </c>
      <c r="M604">
        <v>6.2100000000000009</v>
      </c>
      <c r="N604">
        <v>117.99</v>
      </c>
      <c r="O6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4" s="9" t="str">
        <f ca="1">IF(OR(ISNUMBER(Table1[[#This Row],[Order_Date]])=FALSE,Table1[[#This Row],[Order_Date]]&lt;DATE(2000,1,1),Table1[[#This Row],[Order_Date]]&gt;TODAY()),"YES","NO")</f>
        <v>NO</v>
      </c>
    </row>
    <row r="605" spans="1:16" x14ac:dyDescent="0.3">
      <c r="A605">
        <v>100600</v>
      </c>
      <c r="B605" s="8">
        <v>45316.958333333343</v>
      </c>
      <c r="C605" t="s">
        <v>15</v>
      </c>
      <c r="D605" t="s">
        <v>55</v>
      </c>
      <c r="E605" t="s">
        <v>66</v>
      </c>
      <c r="F605" t="s">
        <v>71</v>
      </c>
      <c r="G605">
        <v>5</v>
      </c>
      <c r="H605">
        <v>75.61</v>
      </c>
      <c r="I605">
        <v>15</v>
      </c>
      <c r="J605" t="s">
        <v>74</v>
      </c>
      <c r="K605" t="s">
        <v>77</v>
      </c>
      <c r="L605">
        <v>378.05</v>
      </c>
      <c r="M605">
        <v>56.707500000000003</v>
      </c>
      <c r="N605">
        <v>321.34249999999997</v>
      </c>
      <c r="O6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5" s="9" t="str">
        <f ca="1">IF(OR(ISNUMBER(Table1[[#This Row],[Order_Date]])=FALSE,Table1[[#This Row],[Order_Date]]&lt;DATE(2000,1,1),Table1[[#This Row],[Order_Date]]&gt;TODAY()),"YES","NO")</f>
        <v>NO</v>
      </c>
    </row>
    <row r="606" spans="1:16" x14ac:dyDescent="0.3">
      <c r="A606">
        <v>100601</v>
      </c>
      <c r="B606" s="8">
        <v>45317</v>
      </c>
      <c r="C606" t="s">
        <v>14</v>
      </c>
      <c r="D606" t="s">
        <v>44</v>
      </c>
      <c r="E606" t="s">
        <v>70</v>
      </c>
      <c r="F606" t="s">
        <v>71</v>
      </c>
      <c r="G606">
        <v>5</v>
      </c>
      <c r="H606">
        <v>34.08</v>
      </c>
      <c r="I606">
        <v>0</v>
      </c>
      <c r="J606" t="s">
        <v>73</v>
      </c>
      <c r="K606" t="s">
        <v>77</v>
      </c>
      <c r="L606">
        <v>170.4</v>
      </c>
      <c r="M606">
        <v>0</v>
      </c>
      <c r="N606">
        <v>170.4</v>
      </c>
      <c r="O6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6" s="9" t="str">
        <f ca="1">IF(OR(ISNUMBER(Table1[[#This Row],[Order_Date]])=FALSE,Table1[[#This Row],[Order_Date]]&lt;DATE(2000,1,1),Table1[[#This Row],[Order_Date]]&gt;TODAY()),"YES","NO")</f>
        <v>NO</v>
      </c>
    </row>
    <row r="607" spans="1:16" x14ac:dyDescent="0.3">
      <c r="A607">
        <v>100602</v>
      </c>
      <c r="B607" s="8">
        <v>45317.041666666657</v>
      </c>
      <c r="C607" t="s">
        <v>15</v>
      </c>
      <c r="D607" t="s">
        <v>25</v>
      </c>
      <c r="E607" t="s">
        <v>68</v>
      </c>
      <c r="F607" t="s">
        <v>72</v>
      </c>
      <c r="G607">
        <v>5</v>
      </c>
      <c r="H607">
        <v>71.430000000000007</v>
      </c>
      <c r="I607">
        <v>15</v>
      </c>
      <c r="J607" t="s">
        <v>75</v>
      </c>
      <c r="K607" t="s">
        <v>77</v>
      </c>
      <c r="L607">
        <v>357.15</v>
      </c>
      <c r="M607">
        <v>53.572500000000012</v>
      </c>
      <c r="N607">
        <v>303.57749999999999</v>
      </c>
      <c r="O6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7" s="9" t="str">
        <f ca="1">IF(OR(ISNUMBER(Table1[[#This Row],[Order_Date]])=FALSE,Table1[[#This Row],[Order_Date]]&lt;DATE(2000,1,1),Table1[[#This Row],[Order_Date]]&gt;TODAY()),"YES","NO")</f>
        <v>NO</v>
      </c>
    </row>
    <row r="608" spans="1:16" x14ac:dyDescent="0.3">
      <c r="A608">
        <v>100603</v>
      </c>
      <c r="B608" s="8">
        <v>45317.083333333343</v>
      </c>
      <c r="C608" t="s">
        <v>15</v>
      </c>
      <c r="D608" t="s">
        <v>37</v>
      </c>
      <c r="E608" t="s">
        <v>70</v>
      </c>
      <c r="F608" t="s">
        <v>71</v>
      </c>
      <c r="G608">
        <v>1</v>
      </c>
      <c r="H608">
        <v>46.31</v>
      </c>
      <c r="I608">
        <v>0</v>
      </c>
      <c r="J608" t="s">
        <v>73</v>
      </c>
      <c r="K608" t="s">
        <v>77</v>
      </c>
      <c r="L608">
        <v>46.31</v>
      </c>
      <c r="M608">
        <v>0</v>
      </c>
      <c r="N608">
        <v>46.31</v>
      </c>
      <c r="O6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8" s="9" t="str">
        <f ca="1">IF(OR(ISNUMBER(Table1[[#This Row],[Order_Date]])=FALSE,Table1[[#This Row],[Order_Date]]&lt;DATE(2000,1,1),Table1[[#This Row],[Order_Date]]&gt;TODAY()),"YES","NO")</f>
        <v>NO</v>
      </c>
    </row>
    <row r="609" spans="1:16" x14ac:dyDescent="0.3">
      <c r="A609">
        <v>100604</v>
      </c>
      <c r="B609" s="8">
        <v>45317.125</v>
      </c>
      <c r="C609" t="s">
        <v>15</v>
      </c>
      <c r="D609" t="s">
        <v>60</v>
      </c>
      <c r="E609" t="s">
        <v>69</v>
      </c>
      <c r="F609" t="s">
        <v>72</v>
      </c>
      <c r="G609">
        <v>1</v>
      </c>
      <c r="H609">
        <v>99.71</v>
      </c>
      <c r="I609">
        <v>15</v>
      </c>
      <c r="J609" t="s">
        <v>75</v>
      </c>
      <c r="K609" t="s">
        <v>77</v>
      </c>
      <c r="L609">
        <v>99.71</v>
      </c>
      <c r="M609">
        <v>14.9565</v>
      </c>
      <c r="N609">
        <v>84.753500000000003</v>
      </c>
      <c r="O6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09" s="9" t="str">
        <f ca="1">IF(OR(ISNUMBER(Table1[[#This Row],[Order_Date]])=FALSE,Table1[[#This Row],[Order_Date]]&lt;DATE(2000,1,1),Table1[[#This Row],[Order_Date]]&gt;TODAY()),"YES","NO")</f>
        <v>NO</v>
      </c>
    </row>
    <row r="610" spans="1:16" x14ac:dyDescent="0.3">
      <c r="A610">
        <v>100605</v>
      </c>
      <c r="B610" s="8">
        <v>45317.166666666657</v>
      </c>
      <c r="C610" t="s">
        <v>14</v>
      </c>
      <c r="D610" t="s">
        <v>52</v>
      </c>
      <c r="E610" t="s">
        <v>70</v>
      </c>
      <c r="F610" t="s">
        <v>71</v>
      </c>
      <c r="G610">
        <v>5</v>
      </c>
      <c r="H610">
        <v>99.38</v>
      </c>
      <c r="I610">
        <v>0</v>
      </c>
      <c r="J610" t="s">
        <v>73</v>
      </c>
      <c r="K610" t="s">
        <v>78</v>
      </c>
      <c r="L610">
        <v>496.9</v>
      </c>
      <c r="M610">
        <v>0</v>
      </c>
      <c r="N610">
        <v>496.9</v>
      </c>
      <c r="O6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10" s="9" t="str">
        <f ca="1">IF(OR(ISNUMBER(Table1[[#This Row],[Order_Date]])=FALSE,Table1[[#This Row],[Order_Date]]&lt;DATE(2000,1,1),Table1[[#This Row],[Order_Date]]&gt;TODAY()),"YES","NO")</f>
        <v>NO</v>
      </c>
    </row>
    <row r="611" spans="1:16" x14ac:dyDescent="0.3">
      <c r="A611">
        <v>100606</v>
      </c>
      <c r="B611" s="8">
        <v>45317.208333333343</v>
      </c>
      <c r="C611" t="s">
        <v>14</v>
      </c>
      <c r="D611" t="s">
        <v>37</v>
      </c>
      <c r="E611" t="s">
        <v>67</v>
      </c>
      <c r="F611" t="s">
        <v>72</v>
      </c>
      <c r="G611">
        <v>1</v>
      </c>
      <c r="H611">
        <v>59.9</v>
      </c>
      <c r="I611">
        <v>10</v>
      </c>
      <c r="J611" t="s">
        <v>76</v>
      </c>
      <c r="K611" t="s">
        <v>77</v>
      </c>
      <c r="L611">
        <v>59.9</v>
      </c>
      <c r="M611">
        <v>5.99</v>
      </c>
      <c r="N611">
        <v>53.91</v>
      </c>
      <c r="O6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1" s="9" t="str">
        <f ca="1">IF(OR(ISNUMBER(Table1[[#This Row],[Order_Date]])=FALSE,Table1[[#This Row],[Order_Date]]&lt;DATE(2000,1,1),Table1[[#This Row],[Order_Date]]&gt;TODAY()),"YES","NO")</f>
        <v>NO</v>
      </c>
    </row>
    <row r="612" spans="1:16" x14ac:dyDescent="0.3">
      <c r="A612">
        <v>100607</v>
      </c>
      <c r="B612" s="8">
        <v>45317.25</v>
      </c>
      <c r="C612" t="s">
        <v>14</v>
      </c>
      <c r="D612" t="s">
        <v>24</v>
      </c>
      <c r="E612" t="s">
        <v>68</v>
      </c>
      <c r="F612" t="s">
        <v>72</v>
      </c>
      <c r="G612">
        <v>4</v>
      </c>
      <c r="H612">
        <v>45.34</v>
      </c>
      <c r="I612">
        <v>5</v>
      </c>
      <c r="J612" t="s">
        <v>73</v>
      </c>
      <c r="K612" t="s">
        <v>77</v>
      </c>
      <c r="L612">
        <v>181.36</v>
      </c>
      <c r="M612">
        <v>9.0680000000000014</v>
      </c>
      <c r="N612">
        <v>172.292</v>
      </c>
      <c r="O6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2" s="9" t="str">
        <f ca="1">IF(OR(ISNUMBER(Table1[[#This Row],[Order_Date]])=FALSE,Table1[[#This Row],[Order_Date]]&lt;DATE(2000,1,1),Table1[[#This Row],[Order_Date]]&gt;TODAY()),"YES","NO")</f>
        <v>NO</v>
      </c>
    </row>
    <row r="613" spans="1:16" x14ac:dyDescent="0.3">
      <c r="A613">
        <v>100608</v>
      </c>
      <c r="B613" s="8">
        <v>45317.291666666657</v>
      </c>
      <c r="C613" t="s">
        <v>15</v>
      </c>
      <c r="D613" t="s">
        <v>62</v>
      </c>
      <c r="E613" t="s">
        <v>70</v>
      </c>
      <c r="F613" t="s">
        <v>72</v>
      </c>
      <c r="G613">
        <v>5</v>
      </c>
      <c r="H613">
        <v>46.69</v>
      </c>
      <c r="I613">
        <v>0</v>
      </c>
      <c r="J613" t="s">
        <v>73</v>
      </c>
      <c r="K613" t="s">
        <v>77</v>
      </c>
      <c r="L613">
        <v>233.45</v>
      </c>
      <c r="M613">
        <v>0</v>
      </c>
      <c r="N613">
        <v>233.45</v>
      </c>
      <c r="O6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3" s="9" t="str">
        <f ca="1">IF(OR(ISNUMBER(Table1[[#This Row],[Order_Date]])=FALSE,Table1[[#This Row],[Order_Date]]&lt;DATE(2000,1,1),Table1[[#This Row],[Order_Date]]&gt;TODAY()),"YES","NO")</f>
        <v>NO</v>
      </c>
    </row>
    <row r="614" spans="1:16" x14ac:dyDescent="0.3">
      <c r="A614">
        <v>100609</v>
      </c>
      <c r="B614" s="8">
        <v>45317.333333333343</v>
      </c>
      <c r="C614" t="s">
        <v>15</v>
      </c>
      <c r="D614" t="s">
        <v>63</v>
      </c>
      <c r="E614" t="s">
        <v>69</v>
      </c>
      <c r="F614" t="s">
        <v>71</v>
      </c>
      <c r="G614">
        <v>1</v>
      </c>
      <c r="H614">
        <v>97.66</v>
      </c>
      <c r="I614">
        <v>15</v>
      </c>
      <c r="J614" t="s">
        <v>74</v>
      </c>
      <c r="K614" t="s">
        <v>77</v>
      </c>
      <c r="L614">
        <v>97.66</v>
      </c>
      <c r="M614">
        <v>14.648999999999999</v>
      </c>
      <c r="N614">
        <v>83.010999999999996</v>
      </c>
      <c r="O6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4" s="9" t="str">
        <f ca="1">IF(OR(ISNUMBER(Table1[[#This Row],[Order_Date]])=FALSE,Table1[[#This Row],[Order_Date]]&lt;DATE(2000,1,1),Table1[[#This Row],[Order_Date]]&gt;TODAY()),"YES","NO")</f>
        <v>NO</v>
      </c>
    </row>
    <row r="615" spans="1:16" x14ac:dyDescent="0.3">
      <c r="A615">
        <v>100610</v>
      </c>
      <c r="B615" s="8">
        <v>45317.375</v>
      </c>
      <c r="C615" t="s">
        <v>15</v>
      </c>
      <c r="D615" t="s">
        <v>53</v>
      </c>
      <c r="E615" t="s">
        <v>69</v>
      </c>
      <c r="F615" t="s">
        <v>71</v>
      </c>
      <c r="G615">
        <v>2</v>
      </c>
      <c r="H615">
        <v>42.74</v>
      </c>
      <c r="I615">
        <v>0</v>
      </c>
      <c r="J615" t="s">
        <v>75</v>
      </c>
      <c r="K615" t="s">
        <v>77</v>
      </c>
      <c r="L615">
        <v>85.48</v>
      </c>
      <c r="M615">
        <v>0</v>
      </c>
      <c r="N615">
        <v>85.48</v>
      </c>
      <c r="O6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5" s="9" t="str">
        <f ca="1">IF(OR(ISNUMBER(Table1[[#This Row],[Order_Date]])=FALSE,Table1[[#This Row],[Order_Date]]&lt;DATE(2000,1,1),Table1[[#This Row],[Order_Date]]&gt;TODAY()),"YES","NO")</f>
        <v>NO</v>
      </c>
    </row>
    <row r="616" spans="1:16" x14ac:dyDescent="0.3">
      <c r="A616">
        <v>100611</v>
      </c>
      <c r="B616" s="8">
        <v>45317.416666666657</v>
      </c>
      <c r="C616" t="s">
        <v>14</v>
      </c>
      <c r="D616" t="s">
        <v>50</v>
      </c>
      <c r="E616" t="s">
        <v>70</v>
      </c>
      <c r="F616" t="s">
        <v>72</v>
      </c>
      <c r="G616">
        <v>5</v>
      </c>
      <c r="H616">
        <v>29.04</v>
      </c>
      <c r="I616">
        <v>0</v>
      </c>
      <c r="J616" t="s">
        <v>76</v>
      </c>
      <c r="K616" t="s">
        <v>77</v>
      </c>
      <c r="L616">
        <v>145.19999999999999</v>
      </c>
      <c r="M616">
        <v>0</v>
      </c>
      <c r="N616">
        <v>145.19999999999999</v>
      </c>
      <c r="O6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6" s="9" t="str">
        <f ca="1">IF(OR(ISNUMBER(Table1[[#This Row],[Order_Date]])=FALSE,Table1[[#This Row],[Order_Date]]&lt;DATE(2000,1,1),Table1[[#This Row],[Order_Date]]&gt;TODAY()),"YES","NO")</f>
        <v>NO</v>
      </c>
    </row>
    <row r="617" spans="1:16" x14ac:dyDescent="0.3">
      <c r="A617">
        <v>100612</v>
      </c>
      <c r="B617" s="8">
        <v>45317.458333333343</v>
      </c>
      <c r="C617" t="s">
        <v>15</v>
      </c>
      <c r="D617" t="s">
        <v>40</v>
      </c>
      <c r="E617" t="s">
        <v>69</v>
      </c>
      <c r="F617" t="s">
        <v>72</v>
      </c>
      <c r="G617">
        <v>5</v>
      </c>
      <c r="H617">
        <v>14.74</v>
      </c>
      <c r="I617">
        <v>0</v>
      </c>
      <c r="J617" t="s">
        <v>75</v>
      </c>
      <c r="K617" t="s">
        <v>77</v>
      </c>
      <c r="L617">
        <v>73.7</v>
      </c>
      <c r="M617">
        <v>0</v>
      </c>
      <c r="N617">
        <v>73.7</v>
      </c>
      <c r="O6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7" s="9" t="str">
        <f ca="1">IF(OR(ISNUMBER(Table1[[#This Row],[Order_Date]])=FALSE,Table1[[#This Row],[Order_Date]]&lt;DATE(2000,1,1),Table1[[#This Row],[Order_Date]]&gt;TODAY()),"YES","NO")</f>
        <v>NO</v>
      </c>
    </row>
    <row r="618" spans="1:16" x14ac:dyDescent="0.3">
      <c r="A618">
        <v>100613</v>
      </c>
      <c r="B618" s="8">
        <v>45317.5</v>
      </c>
      <c r="C618" t="s">
        <v>15</v>
      </c>
      <c r="D618" t="s">
        <v>52</v>
      </c>
      <c r="E618" t="s">
        <v>66</v>
      </c>
      <c r="F618" t="s">
        <v>72</v>
      </c>
      <c r="G618">
        <v>4</v>
      </c>
      <c r="H618">
        <v>58.67</v>
      </c>
      <c r="I618">
        <v>15</v>
      </c>
      <c r="J618" t="s">
        <v>76</v>
      </c>
      <c r="K618" t="s">
        <v>77</v>
      </c>
      <c r="L618">
        <v>234.68</v>
      </c>
      <c r="M618">
        <v>35.201999999999998</v>
      </c>
      <c r="N618">
        <v>199.47800000000001</v>
      </c>
      <c r="O6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8" s="9" t="str">
        <f ca="1">IF(OR(ISNUMBER(Table1[[#This Row],[Order_Date]])=FALSE,Table1[[#This Row],[Order_Date]]&lt;DATE(2000,1,1),Table1[[#This Row],[Order_Date]]&gt;TODAY()),"YES","NO")</f>
        <v>NO</v>
      </c>
    </row>
    <row r="619" spans="1:16" x14ac:dyDescent="0.3">
      <c r="A619">
        <v>100614</v>
      </c>
      <c r="B619" s="8">
        <v>45317.541666666657</v>
      </c>
      <c r="C619" t="s">
        <v>15</v>
      </c>
      <c r="D619" t="s">
        <v>46</v>
      </c>
      <c r="E619" t="s">
        <v>66</v>
      </c>
      <c r="F619" t="s">
        <v>71</v>
      </c>
      <c r="G619">
        <v>3</v>
      </c>
      <c r="H619">
        <v>60.45</v>
      </c>
      <c r="I619">
        <v>5</v>
      </c>
      <c r="J619" t="s">
        <v>73</v>
      </c>
      <c r="K619" t="s">
        <v>77</v>
      </c>
      <c r="L619">
        <v>181.35</v>
      </c>
      <c r="M619">
        <v>9.0675000000000008</v>
      </c>
      <c r="N619">
        <v>172.2825</v>
      </c>
      <c r="O6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19" s="9" t="str">
        <f ca="1">IF(OR(ISNUMBER(Table1[[#This Row],[Order_Date]])=FALSE,Table1[[#This Row],[Order_Date]]&lt;DATE(2000,1,1),Table1[[#This Row],[Order_Date]]&gt;TODAY()),"YES","NO")</f>
        <v>NO</v>
      </c>
    </row>
    <row r="620" spans="1:16" x14ac:dyDescent="0.3">
      <c r="A620">
        <v>100615</v>
      </c>
      <c r="B620" s="8">
        <v>45317.583333333343</v>
      </c>
      <c r="C620" t="s">
        <v>15</v>
      </c>
      <c r="D620" t="s">
        <v>22</v>
      </c>
      <c r="E620" t="s">
        <v>66</v>
      </c>
      <c r="F620" t="s">
        <v>71</v>
      </c>
      <c r="G620">
        <v>3</v>
      </c>
      <c r="H620">
        <v>101.7</v>
      </c>
      <c r="I620">
        <v>10</v>
      </c>
      <c r="J620" t="s">
        <v>74</v>
      </c>
      <c r="K620" t="s">
        <v>77</v>
      </c>
      <c r="L620">
        <v>305.10000000000002</v>
      </c>
      <c r="M620">
        <v>30.510000000000009</v>
      </c>
      <c r="N620">
        <v>274.58999999999997</v>
      </c>
      <c r="O6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0" s="9" t="str">
        <f ca="1">IF(OR(ISNUMBER(Table1[[#This Row],[Order_Date]])=FALSE,Table1[[#This Row],[Order_Date]]&lt;DATE(2000,1,1),Table1[[#This Row],[Order_Date]]&gt;TODAY()),"YES","NO")</f>
        <v>NO</v>
      </c>
    </row>
    <row r="621" spans="1:16" x14ac:dyDescent="0.3">
      <c r="A621">
        <v>100616</v>
      </c>
      <c r="B621" s="8">
        <v>45317.625</v>
      </c>
      <c r="C621" t="s">
        <v>14</v>
      </c>
      <c r="D621" t="s">
        <v>27</v>
      </c>
      <c r="E621" t="s">
        <v>67</v>
      </c>
      <c r="F621" t="s">
        <v>71</v>
      </c>
      <c r="G621">
        <v>4</v>
      </c>
      <c r="H621">
        <v>30.44</v>
      </c>
      <c r="I621">
        <v>5</v>
      </c>
      <c r="J621" t="s">
        <v>74</v>
      </c>
      <c r="K621" t="s">
        <v>77</v>
      </c>
      <c r="L621">
        <v>121.76</v>
      </c>
      <c r="M621">
        <v>6.088000000000001</v>
      </c>
      <c r="N621">
        <v>115.672</v>
      </c>
      <c r="O6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1" s="9" t="str">
        <f ca="1">IF(OR(ISNUMBER(Table1[[#This Row],[Order_Date]])=FALSE,Table1[[#This Row],[Order_Date]]&lt;DATE(2000,1,1),Table1[[#This Row],[Order_Date]]&gt;TODAY()),"YES","NO")</f>
        <v>NO</v>
      </c>
    </row>
    <row r="622" spans="1:16" x14ac:dyDescent="0.3">
      <c r="A622">
        <v>100617</v>
      </c>
      <c r="B622" s="8">
        <v>45317.666666666657</v>
      </c>
      <c r="C622" t="s">
        <v>14</v>
      </c>
      <c r="D622" t="s">
        <v>65</v>
      </c>
      <c r="E622" t="s">
        <v>70</v>
      </c>
      <c r="F622" t="s">
        <v>71</v>
      </c>
      <c r="G622">
        <v>4</v>
      </c>
      <c r="H622">
        <v>48.81</v>
      </c>
      <c r="I622">
        <v>0</v>
      </c>
      <c r="J622" t="s">
        <v>75</v>
      </c>
      <c r="K622" t="s">
        <v>79</v>
      </c>
      <c r="L622">
        <v>195.24</v>
      </c>
      <c r="M622">
        <v>0</v>
      </c>
      <c r="N622">
        <v>195.24</v>
      </c>
      <c r="O6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22" s="9" t="str">
        <f ca="1">IF(OR(ISNUMBER(Table1[[#This Row],[Order_Date]])=FALSE,Table1[[#This Row],[Order_Date]]&lt;DATE(2000,1,1),Table1[[#This Row],[Order_Date]]&gt;TODAY()),"YES","NO")</f>
        <v>NO</v>
      </c>
    </row>
    <row r="623" spans="1:16" x14ac:dyDescent="0.3">
      <c r="A623">
        <v>100618</v>
      </c>
      <c r="B623" s="8">
        <v>45317.708333333343</v>
      </c>
      <c r="C623" t="s">
        <v>15</v>
      </c>
      <c r="D623" t="s">
        <v>32</v>
      </c>
      <c r="E623" t="s">
        <v>67</v>
      </c>
      <c r="F623" t="s">
        <v>72</v>
      </c>
      <c r="G623">
        <v>4</v>
      </c>
      <c r="H623">
        <v>97.97</v>
      </c>
      <c r="I623">
        <v>15</v>
      </c>
      <c r="J623" t="s">
        <v>74</v>
      </c>
      <c r="K623" t="s">
        <v>77</v>
      </c>
      <c r="L623">
        <v>391.88</v>
      </c>
      <c r="M623">
        <v>58.781999999999996</v>
      </c>
      <c r="N623">
        <v>333.09800000000001</v>
      </c>
      <c r="O6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3" s="9" t="str">
        <f ca="1">IF(OR(ISNUMBER(Table1[[#This Row],[Order_Date]])=FALSE,Table1[[#This Row],[Order_Date]]&lt;DATE(2000,1,1),Table1[[#This Row],[Order_Date]]&gt;TODAY()),"YES","NO")</f>
        <v>NO</v>
      </c>
    </row>
    <row r="624" spans="1:16" x14ac:dyDescent="0.3">
      <c r="A624">
        <v>100619</v>
      </c>
      <c r="B624" s="8">
        <v>45317.75</v>
      </c>
      <c r="C624" t="s">
        <v>14</v>
      </c>
      <c r="D624" t="s">
        <v>65</v>
      </c>
      <c r="E624" t="s">
        <v>69</v>
      </c>
      <c r="F624" t="s">
        <v>72</v>
      </c>
      <c r="G624">
        <v>3</v>
      </c>
      <c r="H624">
        <v>99.72</v>
      </c>
      <c r="I624">
        <v>5</v>
      </c>
      <c r="J624" t="s">
        <v>75</v>
      </c>
      <c r="K624" t="s">
        <v>77</v>
      </c>
      <c r="L624">
        <v>299.16000000000003</v>
      </c>
      <c r="M624">
        <v>14.958</v>
      </c>
      <c r="N624">
        <v>284.202</v>
      </c>
      <c r="O6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4" s="9" t="str">
        <f ca="1">IF(OR(ISNUMBER(Table1[[#This Row],[Order_Date]])=FALSE,Table1[[#This Row],[Order_Date]]&lt;DATE(2000,1,1),Table1[[#This Row],[Order_Date]]&gt;TODAY()),"YES","NO")</f>
        <v>NO</v>
      </c>
    </row>
    <row r="625" spans="1:16" x14ac:dyDescent="0.3">
      <c r="A625">
        <v>100620</v>
      </c>
      <c r="B625" s="8">
        <v>45317.791666666657</v>
      </c>
      <c r="C625" t="s">
        <v>14</v>
      </c>
      <c r="D625" t="s">
        <v>18</v>
      </c>
      <c r="E625" t="s">
        <v>67</v>
      </c>
      <c r="F625" t="s">
        <v>71</v>
      </c>
      <c r="G625">
        <v>4</v>
      </c>
      <c r="H625">
        <v>49.23</v>
      </c>
      <c r="I625">
        <v>0</v>
      </c>
      <c r="J625" t="s">
        <v>75</v>
      </c>
      <c r="K625" t="s">
        <v>77</v>
      </c>
      <c r="L625">
        <v>196.92</v>
      </c>
      <c r="M625">
        <v>0</v>
      </c>
      <c r="N625">
        <v>196.92</v>
      </c>
      <c r="O6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5" s="9" t="str">
        <f ca="1">IF(OR(ISNUMBER(Table1[[#This Row],[Order_Date]])=FALSE,Table1[[#This Row],[Order_Date]]&lt;DATE(2000,1,1),Table1[[#This Row],[Order_Date]]&gt;TODAY()),"YES","NO")</f>
        <v>NO</v>
      </c>
    </row>
    <row r="626" spans="1:16" x14ac:dyDescent="0.3">
      <c r="A626">
        <v>100621</v>
      </c>
      <c r="B626" s="8">
        <v>45317.833333333343</v>
      </c>
      <c r="C626" t="s">
        <v>15</v>
      </c>
      <c r="D626" t="s">
        <v>49</v>
      </c>
      <c r="E626" t="s">
        <v>69</v>
      </c>
      <c r="F626" t="s">
        <v>71</v>
      </c>
      <c r="G626">
        <v>1</v>
      </c>
      <c r="H626">
        <v>57.8</v>
      </c>
      <c r="I626">
        <v>10</v>
      </c>
      <c r="J626" t="s">
        <v>76</v>
      </c>
      <c r="K626" t="s">
        <v>77</v>
      </c>
      <c r="L626">
        <v>57.8</v>
      </c>
      <c r="M626">
        <v>5.78</v>
      </c>
      <c r="N626">
        <v>52.02</v>
      </c>
      <c r="O6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6" s="9" t="str">
        <f ca="1">IF(OR(ISNUMBER(Table1[[#This Row],[Order_Date]])=FALSE,Table1[[#This Row],[Order_Date]]&lt;DATE(2000,1,1),Table1[[#This Row],[Order_Date]]&gt;TODAY()),"YES","NO")</f>
        <v>NO</v>
      </c>
    </row>
    <row r="627" spans="1:16" x14ac:dyDescent="0.3">
      <c r="A627">
        <v>100622</v>
      </c>
      <c r="B627" s="8">
        <v>45317.875</v>
      </c>
      <c r="C627" t="s">
        <v>15</v>
      </c>
      <c r="D627" t="s">
        <v>40</v>
      </c>
      <c r="E627" t="s">
        <v>69</v>
      </c>
      <c r="F627" t="s">
        <v>72</v>
      </c>
      <c r="G627">
        <v>5</v>
      </c>
      <c r="H627">
        <v>39.880000000000003</v>
      </c>
      <c r="I627">
        <v>10</v>
      </c>
      <c r="J627" t="s">
        <v>75</v>
      </c>
      <c r="K627" t="s">
        <v>77</v>
      </c>
      <c r="L627">
        <v>199.4</v>
      </c>
      <c r="M627">
        <v>19.940000000000001</v>
      </c>
      <c r="N627">
        <v>179.46</v>
      </c>
      <c r="O6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7" s="9" t="str">
        <f ca="1">IF(OR(ISNUMBER(Table1[[#This Row],[Order_Date]])=FALSE,Table1[[#This Row],[Order_Date]]&lt;DATE(2000,1,1),Table1[[#This Row],[Order_Date]]&gt;TODAY()),"YES","NO")</f>
        <v>NO</v>
      </c>
    </row>
    <row r="628" spans="1:16" x14ac:dyDescent="0.3">
      <c r="A628">
        <v>100623</v>
      </c>
      <c r="B628" s="8">
        <v>45317.916666666657</v>
      </c>
      <c r="C628" t="s">
        <v>14</v>
      </c>
      <c r="D628" t="s">
        <v>51</v>
      </c>
      <c r="E628" t="s">
        <v>68</v>
      </c>
      <c r="F628" t="s">
        <v>71</v>
      </c>
      <c r="G628">
        <v>5</v>
      </c>
      <c r="H628">
        <v>112.24</v>
      </c>
      <c r="I628">
        <v>10</v>
      </c>
      <c r="J628" t="s">
        <v>76</v>
      </c>
      <c r="K628" t="s">
        <v>78</v>
      </c>
      <c r="L628">
        <v>561.19999999999993</v>
      </c>
      <c r="M628">
        <v>56.12</v>
      </c>
      <c r="N628">
        <v>505.07999999999993</v>
      </c>
      <c r="O6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28" s="9" t="str">
        <f ca="1">IF(OR(ISNUMBER(Table1[[#This Row],[Order_Date]])=FALSE,Table1[[#This Row],[Order_Date]]&lt;DATE(2000,1,1),Table1[[#This Row],[Order_Date]]&gt;TODAY()),"YES","NO")</f>
        <v>NO</v>
      </c>
    </row>
    <row r="629" spans="1:16" x14ac:dyDescent="0.3">
      <c r="A629">
        <v>100624</v>
      </c>
      <c r="B629" s="8">
        <v>45317.958333333343</v>
      </c>
      <c r="C629" t="s">
        <v>15</v>
      </c>
      <c r="D629" t="s">
        <v>22</v>
      </c>
      <c r="E629" t="s">
        <v>66</v>
      </c>
      <c r="F629" t="s">
        <v>71</v>
      </c>
      <c r="G629">
        <v>2</v>
      </c>
      <c r="H629">
        <v>18.64</v>
      </c>
      <c r="I629">
        <v>0</v>
      </c>
      <c r="J629" t="s">
        <v>74</v>
      </c>
      <c r="K629" t="s">
        <v>77</v>
      </c>
      <c r="L629">
        <v>37.28</v>
      </c>
      <c r="M629">
        <v>0</v>
      </c>
      <c r="N629">
        <v>37.28</v>
      </c>
      <c r="O6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29" s="9" t="str">
        <f ca="1">IF(OR(ISNUMBER(Table1[[#This Row],[Order_Date]])=FALSE,Table1[[#This Row],[Order_Date]]&lt;DATE(2000,1,1),Table1[[#This Row],[Order_Date]]&gt;TODAY()),"YES","NO")</f>
        <v>NO</v>
      </c>
    </row>
    <row r="630" spans="1:16" x14ac:dyDescent="0.3">
      <c r="A630">
        <v>100625</v>
      </c>
      <c r="B630" s="8">
        <v>45318</v>
      </c>
      <c r="C630" t="s">
        <v>14</v>
      </c>
      <c r="D630" t="s">
        <v>51</v>
      </c>
      <c r="E630" t="s">
        <v>69</v>
      </c>
      <c r="F630" t="s">
        <v>71</v>
      </c>
      <c r="G630">
        <v>2</v>
      </c>
      <c r="H630">
        <v>112.38</v>
      </c>
      <c r="I630">
        <v>15</v>
      </c>
      <c r="J630" t="s">
        <v>75</v>
      </c>
      <c r="K630" t="s">
        <v>77</v>
      </c>
      <c r="L630">
        <v>224.76</v>
      </c>
      <c r="M630">
        <v>33.713999999999999</v>
      </c>
      <c r="N630">
        <v>191.04599999999999</v>
      </c>
      <c r="O6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0" s="9" t="str">
        <f ca="1">IF(OR(ISNUMBER(Table1[[#This Row],[Order_Date]])=FALSE,Table1[[#This Row],[Order_Date]]&lt;DATE(2000,1,1),Table1[[#This Row],[Order_Date]]&gt;TODAY()),"YES","NO")</f>
        <v>NO</v>
      </c>
    </row>
    <row r="631" spans="1:16" x14ac:dyDescent="0.3">
      <c r="A631">
        <v>100626</v>
      </c>
      <c r="B631" s="8">
        <v>45318.041666666657</v>
      </c>
      <c r="C631" t="s">
        <v>15</v>
      </c>
      <c r="D631" t="s">
        <v>64</v>
      </c>
      <c r="E631" t="s">
        <v>68</v>
      </c>
      <c r="F631" t="s">
        <v>71</v>
      </c>
      <c r="G631">
        <v>5</v>
      </c>
      <c r="H631">
        <v>83.64</v>
      </c>
      <c r="I631">
        <v>5</v>
      </c>
      <c r="J631" t="s">
        <v>75</v>
      </c>
      <c r="K631" t="s">
        <v>77</v>
      </c>
      <c r="L631">
        <v>418.2</v>
      </c>
      <c r="M631">
        <v>20.91</v>
      </c>
      <c r="N631">
        <v>397.29</v>
      </c>
      <c r="O6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1" s="9" t="str">
        <f ca="1">IF(OR(ISNUMBER(Table1[[#This Row],[Order_Date]])=FALSE,Table1[[#This Row],[Order_Date]]&lt;DATE(2000,1,1),Table1[[#This Row],[Order_Date]]&gt;TODAY()),"YES","NO")</f>
        <v>NO</v>
      </c>
    </row>
    <row r="632" spans="1:16" x14ac:dyDescent="0.3">
      <c r="A632">
        <v>100627</v>
      </c>
      <c r="B632" s="8">
        <v>45318.083333333343</v>
      </c>
      <c r="C632" t="s">
        <v>14</v>
      </c>
      <c r="D632" t="s">
        <v>23</v>
      </c>
      <c r="E632" t="s">
        <v>66</v>
      </c>
      <c r="F632" t="s">
        <v>71</v>
      </c>
      <c r="G632">
        <v>1</v>
      </c>
      <c r="H632">
        <v>66.13</v>
      </c>
      <c r="I632">
        <v>10</v>
      </c>
      <c r="J632" t="s">
        <v>73</v>
      </c>
      <c r="K632" t="s">
        <v>77</v>
      </c>
      <c r="L632">
        <v>66.13</v>
      </c>
      <c r="M632">
        <v>6.6130000000000004</v>
      </c>
      <c r="N632">
        <v>59.517000000000003</v>
      </c>
      <c r="O6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2" s="9" t="str">
        <f ca="1">IF(OR(ISNUMBER(Table1[[#This Row],[Order_Date]])=FALSE,Table1[[#This Row],[Order_Date]]&lt;DATE(2000,1,1),Table1[[#This Row],[Order_Date]]&gt;TODAY()),"YES","NO")</f>
        <v>NO</v>
      </c>
    </row>
    <row r="633" spans="1:16" x14ac:dyDescent="0.3">
      <c r="A633">
        <v>100628</v>
      </c>
      <c r="B633" s="8">
        <v>45318.125</v>
      </c>
      <c r="C633" t="s">
        <v>15</v>
      </c>
      <c r="D633" t="s">
        <v>27</v>
      </c>
      <c r="E633" t="s">
        <v>69</v>
      </c>
      <c r="F633" t="s">
        <v>71</v>
      </c>
      <c r="G633">
        <v>3</v>
      </c>
      <c r="H633">
        <v>8.76</v>
      </c>
      <c r="I633">
        <v>0</v>
      </c>
      <c r="J633" t="s">
        <v>75</v>
      </c>
      <c r="K633" t="s">
        <v>77</v>
      </c>
      <c r="L633">
        <v>26.28</v>
      </c>
      <c r="M633">
        <v>0</v>
      </c>
      <c r="N633">
        <v>26.28</v>
      </c>
      <c r="O6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3" s="9" t="str">
        <f ca="1">IF(OR(ISNUMBER(Table1[[#This Row],[Order_Date]])=FALSE,Table1[[#This Row],[Order_Date]]&lt;DATE(2000,1,1),Table1[[#This Row],[Order_Date]]&gt;TODAY()),"YES","NO")</f>
        <v>NO</v>
      </c>
    </row>
    <row r="634" spans="1:16" x14ac:dyDescent="0.3">
      <c r="A634">
        <v>100629</v>
      </c>
      <c r="B634" s="8">
        <v>45318.166666666657</v>
      </c>
      <c r="C634" t="s">
        <v>14</v>
      </c>
      <c r="D634" t="s">
        <v>31</v>
      </c>
      <c r="E634" t="s">
        <v>69</v>
      </c>
      <c r="F634" t="s">
        <v>72</v>
      </c>
      <c r="G634">
        <v>3</v>
      </c>
      <c r="H634">
        <v>59.69</v>
      </c>
      <c r="I634">
        <v>0</v>
      </c>
      <c r="J634" t="s">
        <v>75</v>
      </c>
      <c r="K634" t="s">
        <v>77</v>
      </c>
      <c r="L634">
        <v>179.07</v>
      </c>
      <c r="M634">
        <v>0</v>
      </c>
      <c r="N634">
        <v>179.07</v>
      </c>
      <c r="O6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4" s="9" t="str">
        <f ca="1">IF(OR(ISNUMBER(Table1[[#This Row],[Order_Date]])=FALSE,Table1[[#This Row],[Order_Date]]&lt;DATE(2000,1,1),Table1[[#This Row],[Order_Date]]&gt;TODAY()),"YES","NO")</f>
        <v>NO</v>
      </c>
    </row>
    <row r="635" spans="1:16" x14ac:dyDescent="0.3">
      <c r="A635">
        <v>100630</v>
      </c>
      <c r="B635" s="8">
        <v>45318.208333333343</v>
      </c>
      <c r="C635" t="s">
        <v>14</v>
      </c>
      <c r="D635" t="s">
        <v>36</v>
      </c>
      <c r="E635" t="s">
        <v>67</v>
      </c>
      <c r="F635" t="s">
        <v>71</v>
      </c>
      <c r="G635">
        <v>1</v>
      </c>
      <c r="H635">
        <v>51.89</v>
      </c>
      <c r="I635">
        <v>5</v>
      </c>
      <c r="J635" t="s">
        <v>73</v>
      </c>
      <c r="K635" t="s">
        <v>77</v>
      </c>
      <c r="L635">
        <v>51.89</v>
      </c>
      <c r="M635">
        <v>2.5945</v>
      </c>
      <c r="N635">
        <v>49.295499999999997</v>
      </c>
      <c r="O6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5" s="9" t="str">
        <f ca="1">IF(OR(ISNUMBER(Table1[[#This Row],[Order_Date]])=FALSE,Table1[[#This Row],[Order_Date]]&lt;DATE(2000,1,1),Table1[[#This Row],[Order_Date]]&gt;TODAY()),"YES","NO")</f>
        <v>NO</v>
      </c>
    </row>
    <row r="636" spans="1:16" x14ac:dyDescent="0.3">
      <c r="A636">
        <v>100631</v>
      </c>
      <c r="B636" s="8">
        <v>45318.25</v>
      </c>
      <c r="C636" t="s">
        <v>14</v>
      </c>
      <c r="D636" t="s">
        <v>29</v>
      </c>
      <c r="E636" t="s">
        <v>67</v>
      </c>
      <c r="F636" t="s">
        <v>71</v>
      </c>
      <c r="G636">
        <v>3</v>
      </c>
      <c r="H636">
        <v>23.54</v>
      </c>
      <c r="I636">
        <v>10</v>
      </c>
      <c r="J636" t="s">
        <v>73</v>
      </c>
      <c r="K636" t="s">
        <v>78</v>
      </c>
      <c r="L636">
        <v>70.62</v>
      </c>
      <c r="M636">
        <v>7.0620000000000012</v>
      </c>
      <c r="N636">
        <v>63.558000000000007</v>
      </c>
      <c r="O6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36" s="9" t="str">
        <f ca="1">IF(OR(ISNUMBER(Table1[[#This Row],[Order_Date]])=FALSE,Table1[[#This Row],[Order_Date]]&lt;DATE(2000,1,1),Table1[[#This Row],[Order_Date]]&gt;TODAY()),"YES","NO")</f>
        <v>NO</v>
      </c>
    </row>
    <row r="637" spans="1:16" x14ac:dyDescent="0.3">
      <c r="A637">
        <v>100632</v>
      </c>
      <c r="B637" s="8">
        <v>45318.291666666657</v>
      </c>
      <c r="C637" t="s">
        <v>15</v>
      </c>
      <c r="D637" t="s">
        <v>28</v>
      </c>
      <c r="E637" t="s">
        <v>66</v>
      </c>
      <c r="F637" t="s">
        <v>72</v>
      </c>
      <c r="G637">
        <v>4</v>
      </c>
      <c r="H637">
        <v>80.489999999999995</v>
      </c>
      <c r="I637">
        <v>0</v>
      </c>
      <c r="J637" t="s">
        <v>74</v>
      </c>
      <c r="K637" t="s">
        <v>77</v>
      </c>
      <c r="L637">
        <v>321.95999999999998</v>
      </c>
      <c r="M637">
        <v>0</v>
      </c>
      <c r="N637">
        <v>321.95999999999998</v>
      </c>
      <c r="O6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7" s="9" t="str">
        <f ca="1">IF(OR(ISNUMBER(Table1[[#This Row],[Order_Date]])=FALSE,Table1[[#This Row],[Order_Date]]&lt;DATE(2000,1,1),Table1[[#This Row],[Order_Date]]&gt;TODAY()),"YES","NO")</f>
        <v>NO</v>
      </c>
    </row>
    <row r="638" spans="1:16" x14ac:dyDescent="0.3">
      <c r="A638">
        <v>100633</v>
      </c>
      <c r="B638" s="8">
        <v>45318.333333333343</v>
      </c>
      <c r="C638" t="s">
        <v>14</v>
      </c>
      <c r="D638" t="s">
        <v>19</v>
      </c>
      <c r="E638" t="s">
        <v>69</v>
      </c>
      <c r="F638" t="s">
        <v>72</v>
      </c>
      <c r="G638">
        <v>5</v>
      </c>
      <c r="H638">
        <v>116.68</v>
      </c>
      <c r="I638">
        <v>5</v>
      </c>
      <c r="J638" t="s">
        <v>75</v>
      </c>
      <c r="K638" t="s">
        <v>77</v>
      </c>
      <c r="L638">
        <v>583.40000000000009</v>
      </c>
      <c r="M638">
        <v>29.170000000000009</v>
      </c>
      <c r="N638">
        <v>554.23000000000013</v>
      </c>
      <c r="O6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8" s="9" t="str">
        <f ca="1">IF(OR(ISNUMBER(Table1[[#This Row],[Order_Date]])=FALSE,Table1[[#This Row],[Order_Date]]&lt;DATE(2000,1,1),Table1[[#This Row],[Order_Date]]&gt;TODAY()),"YES","NO")</f>
        <v>NO</v>
      </c>
    </row>
    <row r="639" spans="1:16" x14ac:dyDescent="0.3">
      <c r="A639">
        <v>100634</v>
      </c>
      <c r="B639" s="8">
        <v>45318.375</v>
      </c>
      <c r="C639" t="s">
        <v>14</v>
      </c>
      <c r="D639" t="s">
        <v>39</v>
      </c>
      <c r="E639" t="s">
        <v>70</v>
      </c>
      <c r="F639" t="s">
        <v>72</v>
      </c>
      <c r="G639">
        <v>5</v>
      </c>
      <c r="H639">
        <v>69.650000000000006</v>
      </c>
      <c r="I639">
        <v>15</v>
      </c>
      <c r="J639" t="s">
        <v>74</v>
      </c>
      <c r="K639" t="s">
        <v>77</v>
      </c>
      <c r="L639">
        <v>348.25</v>
      </c>
      <c r="M639">
        <v>52.237499999999997</v>
      </c>
      <c r="N639">
        <v>296.01249999999999</v>
      </c>
      <c r="O6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39" s="9" t="str">
        <f ca="1">IF(OR(ISNUMBER(Table1[[#This Row],[Order_Date]])=FALSE,Table1[[#This Row],[Order_Date]]&lt;DATE(2000,1,1),Table1[[#This Row],[Order_Date]]&gt;TODAY()),"YES","NO")</f>
        <v>NO</v>
      </c>
    </row>
    <row r="640" spans="1:16" x14ac:dyDescent="0.3">
      <c r="A640">
        <v>100635</v>
      </c>
      <c r="B640" s="8">
        <v>45318.416666666657</v>
      </c>
      <c r="C640" t="s">
        <v>15</v>
      </c>
      <c r="D640" t="s">
        <v>61</v>
      </c>
      <c r="E640" t="s">
        <v>67</v>
      </c>
      <c r="F640" t="s">
        <v>71</v>
      </c>
      <c r="G640">
        <v>1</v>
      </c>
      <c r="H640">
        <v>87.2</v>
      </c>
      <c r="I640">
        <v>15</v>
      </c>
      <c r="J640" t="s">
        <v>74</v>
      </c>
      <c r="K640" t="s">
        <v>77</v>
      </c>
      <c r="L640">
        <v>87.2</v>
      </c>
      <c r="M640">
        <v>13.08</v>
      </c>
      <c r="N640">
        <v>74.12</v>
      </c>
      <c r="O6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0" s="9" t="str">
        <f ca="1">IF(OR(ISNUMBER(Table1[[#This Row],[Order_Date]])=FALSE,Table1[[#This Row],[Order_Date]]&lt;DATE(2000,1,1),Table1[[#This Row],[Order_Date]]&gt;TODAY()),"YES","NO")</f>
        <v>NO</v>
      </c>
    </row>
    <row r="641" spans="1:16" x14ac:dyDescent="0.3">
      <c r="A641">
        <v>100636</v>
      </c>
      <c r="B641" s="8">
        <v>45318.458333333343</v>
      </c>
      <c r="C641" t="s">
        <v>15</v>
      </c>
      <c r="D641" t="s">
        <v>31</v>
      </c>
      <c r="E641" t="s">
        <v>66</v>
      </c>
      <c r="F641" t="s">
        <v>72</v>
      </c>
      <c r="G641">
        <v>3</v>
      </c>
      <c r="H641">
        <v>12.87</v>
      </c>
      <c r="I641">
        <v>15</v>
      </c>
      <c r="J641" t="s">
        <v>73</v>
      </c>
      <c r="K641" t="s">
        <v>77</v>
      </c>
      <c r="L641">
        <v>38.61</v>
      </c>
      <c r="M641">
        <v>5.7915000000000001</v>
      </c>
      <c r="N641">
        <v>32.8185</v>
      </c>
      <c r="O6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1" s="9" t="str">
        <f ca="1">IF(OR(ISNUMBER(Table1[[#This Row],[Order_Date]])=FALSE,Table1[[#This Row],[Order_Date]]&lt;DATE(2000,1,1),Table1[[#This Row],[Order_Date]]&gt;TODAY()),"YES","NO")</f>
        <v>NO</v>
      </c>
    </row>
    <row r="642" spans="1:16" x14ac:dyDescent="0.3">
      <c r="A642">
        <v>100637</v>
      </c>
      <c r="B642" s="8">
        <v>45318.5</v>
      </c>
      <c r="C642" t="s">
        <v>14</v>
      </c>
      <c r="D642" t="s">
        <v>48</v>
      </c>
      <c r="E642" t="s">
        <v>69</v>
      </c>
      <c r="F642" t="s">
        <v>71</v>
      </c>
      <c r="G642">
        <v>2</v>
      </c>
      <c r="H642">
        <v>53.03</v>
      </c>
      <c r="I642">
        <v>10</v>
      </c>
      <c r="J642" t="s">
        <v>76</v>
      </c>
      <c r="K642" t="s">
        <v>77</v>
      </c>
      <c r="L642">
        <v>106.06</v>
      </c>
      <c r="M642">
        <v>10.606</v>
      </c>
      <c r="N642">
        <v>95.454000000000008</v>
      </c>
      <c r="O6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2" s="9" t="str">
        <f ca="1">IF(OR(ISNUMBER(Table1[[#This Row],[Order_Date]])=FALSE,Table1[[#This Row],[Order_Date]]&lt;DATE(2000,1,1),Table1[[#This Row],[Order_Date]]&gt;TODAY()),"YES","NO")</f>
        <v>NO</v>
      </c>
    </row>
    <row r="643" spans="1:16" x14ac:dyDescent="0.3">
      <c r="A643">
        <v>100638</v>
      </c>
      <c r="B643" s="8">
        <v>45318.541666666657</v>
      </c>
      <c r="C643" t="s">
        <v>14</v>
      </c>
      <c r="D643" t="s">
        <v>49</v>
      </c>
      <c r="E643" t="s">
        <v>69</v>
      </c>
      <c r="F643" t="s">
        <v>71</v>
      </c>
      <c r="G643">
        <v>2</v>
      </c>
      <c r="H643">
        <v>18.38</v>
      </c>
      <c r="I643">
        <v>5</v>
      </c>
      <c r="J643" t="s">
        <v>74</v>
      </c>
      <c r="K643" t="s">
        <v>79</v>
      </c>
      <c r="L643">
        <v>36.76</v>
      </c>
      <c r="M643">
        <v>1.8380000000000001</v>
      </c>
      <c r="N643">
        <v>34.921999999999997</v>
      </c>
      <c r="O6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43" s="9" t="str">
        <f ca="1">IF(OR(ISNUMBER(Table1[[#This Row],[Order_Date]])=FALSE,Table1[[#This Row],[Order_Date]]&lt;DATE(2000,1,1),Table1[[#This Row],[Order_Date]]&gt;TODAY()),"YES","NO")</f>
        <v>NO</v>
      </c>
    </row>
    <row r="644" spans="1:16" x14ac:dyDescent="0.3">
      <c r="A644">
        <v>100639</v>
      </c>
      <c r="B644" s="8">
        <v>45318.583333333343</v>
      </c>
      <c r="C644" t="s">
        <v>15</v>
      </c>
      <c r="D644" t="s">
        <v>57</v>
      </c>
      <c r="E644" t="s">
        <v>70</v>
      </c>
      <c r="F644" t="s">
        <v>71</v>
      </c>
      <c r="G644">
        <v>3</v>
      </c>
      <c r="H644">
        <v>75.47</v>
      </c>
      <c r="I644">
        <v>5</v>
      </c>
      <c r="J644" t="s">
        <v>76</v>
      </c>
      <c r="K644" t="s">
        <v>78</v>
      </c>
      <c r="L644">
        <v>226.41</v>
      </c>
      <c r="M644">
        <v>11.320499999999999</v>
      </c>
      <c r="N644">
        <v>215.08949999999999</v>
      </c>
      <c r="O6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44" s="9" t="str">
        <f ca="1">IF(OR(ISNUMBER(Table1[[#This Row],[Order_Date]])=FALSE,Table1[[#This Row],[Order_Date]]&lt;DATE(2000,1,1),Table1[[#This Row],[Order_Date]]&gt;TODAY()),"YES","NO")</f>
        <v>NO</v>
      </c>
    </row>
    <row r="645" spans="1:16" x14ac:dyDescent="0.3">
      <c r="A645">
        <v>100640</v>
      </c>
      <c r="B645" s="8">
        <v>45318.625</v>
      </c>
      <c r="C645" t="s">
        <v>15</v>
      </c>
      <c r="D645" t="s">
        <v>19</v>
      </c>
      <c r="E645" t="s">
        <v>66</v>
      </c>
      <c r="F645" t="s">
        <v>72</v>
      </c>
      <c r="G645">
        <v>2</v>
      </c>
      <c r="H645">
        <v>112.93</v>
      </c>
      <c r="I645">
        <v>0</v>
      </c>
      <c r="J645" t="s">
        <v>75</v>
      </c>
      <c r="K645" t="s">
        <v>78</v>
      </c>
      <c r="L645">
        <v>225.86</v>
      </c>
      <c r="M645">
        <v>0</v>
      </c>
      <c r="N645">
        <v>225.86</v>
      </c>
      <c r="O6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45" s="9" t="str">
        <f ca="1">IF(OR(ISNUMBER(Table1[[#This Row],[Order_Date]])=FALSE,Table1[[#This Row],[Order_Date]]&lt;DATE(2000,1,1),Table1[[#This Row],[Order_Date]]&gt;TODAY()),"YES","NO")</f>
        <v>NO</v>
      </c>
    </row>
    <row r="646" spans="1:16" x14ac:dyDescent="0.3">
      <c r="A646">
        <v>100641</v>
      </c>
      <c r="B646" s="8">
        <v>45318.666666666657</v>
      </c>
      <c r="C646" t="s">
        <v>15</v>
      </c>
      <c r="D646" t="s">
        <v>28</v>
      </c>
      <c r="E646" t="s">
        <v>69</v>
      </c>
      <c r="F646" t="s">
        <v>72</v>
      </c>
      <c r="G646">
        <v>1</v>
      </c>
      <c r="H646">
        <v>81.099999999999994</v>
      </c>
      <c r="I646">
        <v>0</v>
      </c>
      <c r="J646" t="s">
        <v>73</v>
      </c>
      <c r="K646" t="s">
        <v>77</v>
      </c>
      <c r="L646">
        <v>81.099999999999994</v>
      </c>
      <c r="M646">
        <v>0</v>
      </c>
      <c r="N646">
        <v>81.099999999999994</v>
      </c>
      <c r="O6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6" s="9" t="str">
        <f ca="1">IF(OR(ISNUMBER(Table1[[#This Row],[Order_Date]])=FALSE,Table1[[#This Row],[Order_Date]]&lt;DATE(2000,1,1),Table1[[#This Row],[Order_Date]]&gt;TODAY()),"YES","NO")</f>
        <v>NO</v>
      </c>
    </row>
    <row r="647" spans="1:16" x14ac:dyDescent="0.3">
      <c r="A647">
        <v>100642</v>
      </c>
      <c r="B647" s="8">
        <v>45318.708333333343</v>
      </c>
      <c r="C647" t="s">
        <v>15</v>
      </c>
      <c r="D647" t="s">
        <v>50</v>
      </c>
      <c r="E647" t="s">
        <v>67</v>
      </c>
      <c r="F647" t="s">
        <v>72</v>
      </c>
      <c r="G647">
        <v>1</v>
      </c>
      <c r="H647">
        <v>13.83</v>
      </c>
      <c r="I647">
        <v>0</v>
      </c>
      <c r="J647" t="s">
        <v>75</v>
      </c>
      <c r="K647" t="s">
        <v>77</v>
      </c>
      <c r="L647">
        <v>13.83</v>
      </c>
      <c r="M647">
        <v>0</v>
      </c>
      <c r="N647">
        <v>13.83</v>
      </c>
      <c r="O6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7" s="9" t="str">
        <f ca="1">IF(OR(ISNUMBER(Table1[[#This Row],[Order_Date]])=FALSE,Table1[[#This Row],[Order_Date]]&lt;DATE(2000,1,1),Table1[[#This Row],[Order_Date]]&gt;TODAY()),"YES","NO")</f>
        <v>NO</v>
      </c>
    </row>
    <row r="648" spans="1:16" x14ac:dyDescent="0.3">
      <c r="A648">
        <v>100643</v>
      </c>
      <c r="B648" s="8">
        <v>45318.75</v>
      </c>
      <c r="C648" t="s">
        <v>15</v>
      </c>
      <c r="D648" t="s">
        <v>47</v>
      </c>
      <c r="E648" t="s">
        <v>70</v>
      </c>
      <c r="F648" t="s">
        <v>72</v>
      </c>
      <c r="G648">
        <v>3</v>
      </c>
      <c r="H648">
        <v>45.79</v>
      </c>
      <c r="I648">
        <v>5</v>
      </c>
      <c r="J648" t="s">
        <v>75</v>
      </c>
      <c r="K648" t="s">
        <v>77</v>
      </c>
      <c r="L648">
        <v>137.37</v>
      </c>
      <c r="M648">
        <v>6.8685000000000009</v>
      </c>
      <c r="N648">
        <v>130.50149999999999</v>
      </c>
      <c r="O6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8" s="9" t="str">
        <f ca="1">IF(OR(ISNUMBER(Table1[[#This Row],[Order_Date]])=FALSE,Table1[[#This Row],[Order_Date]]&lt;DATE(2000,1,1),Table1[[#This Row],[Order_Date]]&gt;TODAY()),"YES","NO")</f>
        <v>NO</v>
      </c>
    </row>
    <row r="649" spans="1:16" x14ac:dyDescent="0.3">
      <c r="A649">
        <v>100644</v>
      </c>
      <c r="B649" s="8">
        <v>45318.791666666657</v>
      </c>
      <c r="C649" t="s">
        <v>14</v>
      </c>
      <c r="D649" t="s">
        <v>33</v>
      </c>
      <c r="E649" t="s">
        <v>66</v>
      </c>
      <c r="F649" t="s">
        <v>72</v>
      </c>
      <c r="G649">
        <v>2</v>
      </c>
      <c r="H649">
        <v>68.33</v>
      </c>
      <c r="I649">
        <v>0</v>
      </c>
      <c r="J649" t="s">
        <v>73</v>
      </c>
      <c r="K649" t="s">
        <v>77</v>
      </c>
      <c r="L649">
        <v>136.66</v>
      </c>
      <c r="M649">
        <v>0</v>
      </c>
      <c r="N649">
        <v>136.66</v>
      </c>
      <c r="O6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49" s="9" t="str">
        <f ca="1">IF(OR(ISNUMBER(Table1[[#This Row],[Order_Date]])=FALSE,Table1[[#This Row],[Order_Date]]&lt;DATE(2000,1,1),Table1[[#This Row],[Order_Date]]&gt;TODAY()),"YES","NO")</f>
        <v>NO</v>
      </c>
    </row>
    <row r="650" spans="1:16" x14ac:dyDescent="0.3">
      <c r="A650">
        <v>100645</v>
      </c>
      <c r="B650" s="8">
        <v>45318.833333333343</v>
      </c>
      <c r="C650" t="s">
        <v>15</v>
      </c>
      <c r="D650" t="s">
        <v>17</v>
      </c>
      <c r="E650" t="s">
        <v>70</v>
      </c>
      <c r="F650" t="s">
        <v>71</v>
      </c>
      <c r="G650">
        <v>1</v>
      </c>
      <c r="H650">
        <v>51.37</v>
      </c>
      <c r="I650">
        <v>5</v>
      </c>
      <c r="J650" t="s">
        <v>75</v>
      </c>
      <c r="K650" t="s">
        <v>77</v>
      </c>
      <c r="L650">
        <v>51.37</v>
      </c>
      <c r="M650">
        <v>2.5684999999999998</v>
      </c>
      <c r="N650">
        <v>48.801499999999997</v>
      </c>
      <c r="O6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0" s="9" t="str">
        <f ca="1">IF(OR(ISNUMBER(Table1[[#This Row],[Order_Date]])=FALSE,Table1[[#This Row],[Order_Date]]&lt;DATE(2000,1,1),Table1[[#This Row],[Order_Date]]&gt;TODAY()),"YES","NO")</f>
        <v>NO</v>
      </c>
    </row>
    <row r="651" spans="1:16" x14ac:dyDescent="0.3">
      <c r="A651">
        <v>100646</v>
      </c>
      <c r="B651" s="8">
        <v>45318.875</v>
      </c>
      <c r="C651" t="s">
        <v>14</v>
      </c>
      <c r="D651" t="s">
        <v>44</v>
      </c>
      <c r="E651" t="s">
        <v>67</v>
      </c>
      <c r="F651" t="s">
        <v>71</v>
      </c>
      <c r="G651">
        <v>1</v>
      </c>
      <c r="H651">
        <v>100.87</v>
      </c>
      <c r="I651">
        <v>5</v>
      </c>
      <c r="J651" t="s">
        <v>73</v>
      </c>
      <c r="K651" t="s">
        <v>77</v>
      </c>
      <c r="L651">
        <v>100.87</v>
      </c>
      <c r="M651">
        <v>5.0435000000000008</v>
      </c>
      <c r="N651">
        <v>95.82650000000001</v>
      </c>
      <c r="O6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1" s="9" t="str">
        <f ca="1">IF(OR(ISNUMBER(Table1[[#This Row],[Order_Date]])=FALSE,Table1[[#This Row],[Order_Date]]&lt;DATE(2000,1,1),Table1[[#This Row],[Order_Date]]&gt;TODAY()),"YES","NO")</f>
        <v>NO</v>
      </c>
    </row>
    <row r="652" spans="1:16" x14ac:dyDescent="0.3">
      <c r="A652">
        <v>100647</v>
      </c>
      <c r="B652" s="8">
        <v>45318.916666666657</v>
      </c>
      <c r="C652" t="s">
        <v>14</v>
      </c>
      <c r="D652" t="s">
        <v>58</v>
      </c>
      <c r="E652" t="s">
        <v>66</v>
      </c>
      <c r="F652" t="s">
        <v>71</v>
      </c>
      <c r="G652">
        <v>4</v>
      </c>
      <c r="H652">
        <v>98.69</v>
      </c>
      <c r="I652">
        <v>15</v>
      </c>
      <c r="J652" t="s">
        <v>76</v>
      </c>
      <c r="K652" t="s">
        <v>77</v>
      </c>
      <c r="L652">
        <v>394.76</v>
      </c>
      <c r="M652">
        <v>59.213999999999999</v>
      </c>
      <c r="N652">
        <v>335.54599999999999</v>
      </c>
      <c r="O6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2" s="9" t="str">
        <f ca="1">IF(OR(ISNUMBER(Table1[[#This Row],[Order_Date]])=FALSE,Table1[[#This Row],[Order_Date]]&lt;DATE(2000,1,1),Table1[[#This Row],[Order_Date]]&gt;TODAY()),"YES","NO")</f>
        <v>NO</v>
      </c>
    </row>
    <row r="653" spans="1:16" x14ac:dyDescent="0.3">
      <c r="A653">
        <v>100648</v>
      </c>
      <c r="B653" s="8">
        <v>45318.958333333343</v>
      </c>
      <c r="C653" t="s">
        <v>14</v>
      </c>
      <c r="D653" t="s">
        <v>25</v>
      </c>
      <c r="E653" t="s">
        <v>70</v>
      </c>
      <c r="F653" t="s">
        <v>71</v>
      </c>
      <c r="G653">
        <v>4</v>
      </c>
      <c r="H653">
        <v>75.36</v>
      </c>
      <c r="I653">
        <v>0</v>
      </c>
      <c r="J653" t="s">
        <v>75</v>
      </c>
      <c r="K653" t="s">
        <v>77</v>
      </c>
      <c r="L653">
        <v>301.44</v>
      </c>
      <c r="M653">
        <v>0</v>
      </c>
      <c r="N653">
        <v>301.44</v>
      </c>
      <c r="O6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3" s="9" t="str">
        <f ca="1">IF(OR(ISNUMBER(Table1[[#This Row],[Order_Date]])=FALSE,Table1[[#This Row],[Order_Date]]&lt;DATE(2000,1,1),Table1[[#This Row],[Order_Date]]&gt;TODAY()),"YES","NO")</f>
        <v>NO</v>
      </c>
    </row>
    <row r="654" spans="1:16" x14ac:dyDescent="0.3">
      <c r="A654">
        <v>100649</v>
      </c>
      <c r="B654" s="8">
        <v>45319</v>
      </c>
      <c r="C654" t="s">
        <v>15</v>
      </c>
      <c r="D654" t="s">
        <v>42</v>
      </c>
      <c r="E654" t="s">
        <v>68</v>
      </c>
      <c r="F654" t="s">
        <v>72</v>
      </c>
      <c r="G654">
        <v>1</v>
      </c>
      <c r="H654">
        <v>47.95</v>
      </c>
      <c r="I654">
        <v>15</v>
      </c>
      <c r="J654" t="s">
        <v>73</v>
      </c>
      <c r="K654" t="s">
        <v>77</v>
      </c>
      <c r="L654">
        <v>47.95</v>
      </c>
      <c r="M654">
        <v>7.1924999999999999</v>
      </c>
      <c r="N654">
        <v>40.7575</v>
      </c>
      <c r="O6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4" s="9" t="str">
        <f ca="1">IF(OR(ISNUMBER(Table1[[#This Row],[Order_Date]])=FALSE,Table1[[#This Row],[Order_Date]]&lt;DATE(2000,1,1),Table1[[#This Row],[Order_Date]]&gt;TODAY()),"YES","NO")</f>
        <v>NO</v>
      </c>
    </row>
    <row r="655" spans="1:16" x14ac:dyDescent="0.3">
      <c r="A655">
        <v>100650</v>
      </c>
      <c r="B655" s="8">
        <v>45319.041666666657</v>
      </c>
      <c r="C655" t="s">
        <v>14</v>
      </c>
      <c r="D655" t="s">
        <v>58</v>
      </c>
      <c r="E655" t="s">
        <v>67</v>
      </c>
      <c r="F655" t="s">
        <v>72</v>
      </c>
      <c r="G655">
        <v>3</v>
      </c>
      <c r="H655">
        <v>34.36</v>
      </c>
      <c r="I655">
        <v>10</v>
      </c>
      <c r="J655" t="s">
        <v>74</v>
      </c>
      <c r="K655" t="s">
        <v>77</v>
      </c>
      <c r="L655">
        <v>103.08</v>
      </c>
      <c r="M655">
        <v>10.308</v>
      </c>
      <c r="N655">
        <v>92.771999999999991</v>
      </c>
      <c r="O6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5" s="9" t="str">
        <f ca="1">IF(OR(ISNUMBER(Table1[[#This Row],[Order_Date]])=FALSE,Table1[[#This Row],[Order_Date]]&lt;DATE(2000,1,1),Table1[[#This Row],[Order_Date]]&gt;TODAY()),"YES","NO")</f>
        <v>NO</v>
      </c>
    </row>
    <row r="656" spans="1:16" x14ac:dyDescent="0.3">
      <c r="A656">
        <v>100651</v>
      </c>
      <c r="B656" s="8">
        <v>45319.083333333343</v>
      </c>
      <c r="C656" t="s">
        <v>14</v>
      </c>
      <c r="D656" t="s">
        <v>60</v>
      </c>
      <c r="E656" t="s">
        <v>67</v>
      </c>
      <c r="F656" t="s">
        <v>71</v>
      </c>
      <c r="G656">
        <v>5</v>
      </c>
      <c r="H656">
        <v>17.18</v>
      </c>
      <c r="I656">
        <v>10</v>
      </c>
      <c r="J656" t="s">
        <v>75</v>
      </c>
      <c r="K656" t="s">
        <v>77</v>
      </c>
      <c r="L656">
        <v>85.9</v>
      </c>
      <c r="M656">
        <v>8.5900000000000016</v>
      </c>
      <c r="N656">
        <v>77.31</v>
      </c>
      <c r="O6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6" s="9" t="str">
        <f ca="1">IF(OR(ISNUMBER(Table1[[#This Row],[Order_Date]])=FALSE,Table1[[#This Row],[Order_Date]]&lt;DATE(2000,1,1),Table1[[#This Row],[Order_Date]]&gt;TODAY()),"YES","NO")</f>
        <v>NO</v>
      </c>
    </row>
    <row r="657" spans="1:16" x14ac:dyDescent="0.3">
      <c r="A657">
        <v>100652</v>
      </c>
      <c r="B657" s="8">
        <v>45319.125</v>
      </c>
      <c r="C657" t="s">
        <v>15</v>
      </c>
      <c r="D657" t="s">
        <v>16</v>
      </c>
      <c r="E657" t="s">
        <v>67</v>
      </c>
      <c r="F657" t="s">
        <v>72</v>
      </c>
      <c r="G657">
        <v>5</v>
      </c>
      <c r="H657">
        <v>45.81</v>
      </c>
      <c r="I657">
        <v>10</v>
      </c>
      <c r="J657" t="s">
        <v>76</v>
      </c>
      <c r="K657" t="s">
        <v>77</v>
      </c>
      <c r="L657">
        <v>229.05</v>
      </c>
      <c r="M657">
        <v>22.905000000000001</v>
      </c>
      <c r="N657">
        <v>206.14500000000001</v>
      </c>
      <c r="O6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7" s="9" t="str">
        <f ca="1">IF(OR(ISNUMBER(Table1[[#This Row],[Order_Date]])=FALSE,Table1[[#This Row],[Order_Date]]&lt;DATE(2000,1,1),Table1[[#This Row],[Order_Date]]&gt;TODAY()),"YES","NO")</f>
        <v>NO</v>
      </c>
    </row>
    <row r="658" spans="1:16" x14ac:dyDescent="0.3">
      <c r="A658">
        <v>100653</v>
      </c>
      <c r="B658" s="8">
        <v>45319.166666666657</v>
      </c>
      <c r="C658" t="s">
        <v>14</v>
      </c>
      <c r="D658" t="s">
        <v>32</v>
      </c>
      <c r="E658" t="s">
        <v>68</v>
      </c>
      <c r="F658" t="s">
        <v>72</v>
      </c>
      <c r="G658">
        <v>1</v>
      </c>
      <c r="H658">
        <v>52.51</v>
      </c>
      <c r="I658">
        <v>5</v>
      </c>
      <c r="J658" t="s">
        <v>73</v>
      </c>
      <c r="K658" t="s">
        <v>77</v>
      </c>
      <c r="L658">
        <v>52.51</v>
      </c>
      <c r="M658">
        <v>2.6255000000000002</v>
      </c>
      <c r="N658">
        <v>49.884500000000003</v>
      </c>
      <c r="O6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8" s="9" t="str">
        <f ca="1">IF(OR(ISNUMBER(Table1[[#This Row],[Order_Date]])=FALSE,Table1[[#This Row],[Order_Date]]&lt;DATE(2000,1,1),Table1[[#This Row],[Order_Date]]&gt;TODAY()),"YES","NO")</f>
        <v>NO</v>
      </c>
    </row>
    <row r="659" spans="1:16" x14ac:dyDescent="0.3">
      <c r="A659">
        <v>100654</v>
      </c>
      <c r="B659" s="8">
        <v>45319.208333333343</v>
      </c>
      <c r="C659" t="s">
        <v>14</v>
      </c>
      <c r="D659" t="s">
        <v>33</v>
      </c>
      <c r="E659" t="s">
        <v>68</v>
      </c>
      <c r="F659" t="s">
        <v>71</v>
      </c>
      <c r="G659">
        <v>1</v>
      </c>
      <c r="H659">
        <v>82.72</v>
      </c>
      <c r="I659">
        <v>5</v>
      </c>
      <c r="J659" t="s">
        <v>75</v>
      </c>
      <c r="K659" t="s">
        <v>77</v>
      </c>
      <c r="L659">
        <v>82.72</v>
      </c>
      <c r="M659">
        <v>4.1360000000000001</v>
      </c>
      <c r="N659">
        <v>78.584000000000003</v>
      </c>
      <c r="O6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59" s="9" t="str">
        <f ca="1">IF(OR(ISNUMBER(Table1[[#This Row],[Order_Date]])=FALSE,Table1[[#This Row],[Order_Date]]&lt;DATE(2000,1,1),Table1[[#This Row],[Order_Date]]&gt;TODAY()),"YES","NO")</f>
        <v>NO</v>
      </c>
    </row>
    <row r="660" spans="1:16" x14ac:dyDescent="0.3">
      <c r="A660">
        <v>100655</v>
      </c>
      <c r="B660" s="8">
        <v>45319.25</v>
      </c>
      <c r="C660" t="s">
        <v>15</v>
      </c>
      <c r="D660" t="s">
        <v>24</v>
      </c>
      <c r="E660" t="s">
        <v>69</v>
      </c>
      <c r="F660" t="s">
        <v>71</v>
      </c>
      <c r="G660">
        <v>1</v>
      </c>
      <c r="H660">
        <v>80.69</v>
      </c>
      <c r="I660">
        <v>5</v>
      </c>
      <c r="J660" t="s">
        <v>75</v>
      </c>
      <c r="K660" t="s">
        <v>77</v>
      </c>
      <c r="L660">
        <v>80.69</v>
      </c>
      <c r="M660">
        <v>4.0345000000000004</v>
      </c>
      <c r="N660">
        <v>76.655500000000004</v>
      </c>
      <c r="O6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0" s="9" t="str">
        <f ca="1">IF(OR(ISNUMBER(Table1[[#This Row],[Order_Date]])=FALSE,Table1[[#This Row],[Order_Date]]&lt;DATE(2000,1,1),Table1[[#This Row],[Order_Date]]&gt;TODAY()),"YES","NO")</f>
        <v>NO</v>
      </c>
    </row>
    <row r="661" spans="1:16" x14ac:dyDescent="0.3">
      <c r="A661">
        <v>100656</v>
      </c>
      <c r="B661" s="8">
        <v>45319.291666666657</v>
      </c>
      <c r="C661" t="s">
        <v>14</v>
      </c>
      <c r="D661" t="s">
        <v>49</v>
      </c>
      <c r="E661" t="s">
        <v>70</v>
      </c>
      <c r="F661" t="s">
        <v>72</v>
      </c>
      <c r="G661">
        <v>3</v>
      </c>
      <c r="H661">
        <v>13.06</v>
      </c>
      <c r="I661">
        <v>0</v>
      </c>
      <c r="J661" t="s">
        <v>75</v>
      </c>
      <c r="K661" t="s">
        <v>77</v>
      </c>
      <c r="L661">
        <v>39.18</v>
      </c>
      <c r="M661">
        <v>0</v>
      </c>
      <c r="N661">
        <v>39.18</v>
      </c>
      <c r="O6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1" s="9" t="str">
        <f ca="1">IF(OR(ISNUMBER(Table1[[#This Row],[Order_Date]])=FALSE,Table1[[#This Row],[Order_Date]]&lt;DATE(2000,1,1),Table1[[#This Row],[Order_Date]]&gt;TODAY()),"YES","NO")</f>
        <v>NO</v>
      </c>
    </row>
    <row r="662" spans="1:16" x14ac:dyDescent="0.3">
      <c r="A662">
        <v>100657</v>
      </c>
      <c r="B662" s="8">
        <v>45319.333333333343</v>
      </c>
      <c r="C662" t="s">
        <v>14</v>
      </c>
      <c r="D662" t="s">
        <v>37</v>
      </c>
      <c r="E662" t="s">
        <v>69</v>
      </c>
      <c r="F662" t="s">
        <v>72</v>
      </c>
      <c r="G662">
        <v>4</v>
      </c>
      <c r="H662">
        <v>50.45</v>
      </c>
      <c r="I662">
        <v>15</v>
      </c>
      <c r="J662" t="s">
        <v>76</v>
      </c>
      <c r="K662" t="s">
        <v>77</v>
      </c>
      <c r="L662">
        <v>201.8</v>
      </c>
      <c r="M662">
        <v>30.27</v>
      </c>
      <c r="N662">
        <v>171.53</v>
      </c>
      <c r="O6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2" s="9" t="str">
        <f ca="1">IF(OR(ISNUMBER(Table1[[#This Row],[Order_Date]])=FALSE,Table1[[#This Row],[Order_Date]]&lt;DATE(2000,1,1),Table1[[#This Row],[Order_Date]]&gt;TODAY()),"YES","NO")</f>
        <v>NO</v>
      </c>
    </row>
    <row r="663" spans="1:16" x14ac:dyDescent="0.3">
      <c r="A663">
        <v>100658</v>
      </c>
      <c r="B663" s="8">
        <v>45319.375</v>
      </c>
      <c r="C663" t="s">
        <v>14</v>
      </c>
      <c r="D663" t="s">
        <v>16</v>
      </c>
      <c r="E663" t="s">
        <v>70</v>
      </c>
      <c r="F663" t="s">
        <v>71</v>
      </c>
      <c r="G663">
        <v>1</v>
      </c>
      <c r="H663">
        <v>25.9</v>
      </c>
      <c r="I663">
        <v>5</v>
      </c>
      <c r="J663" t="s">
        <v>73</v>
      </c>
      <c r="K663" t="s">
        <v>77</v>
      </c>
      <c r="L663">
        <v>25.9</v>
      </c>
      <c r="M663">
        <v>1.2949999999999999</v>
      </c>
      <c r="N663">
        <v>24.605</v>
      </c>
      <c r="O6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3" s="9" t="str">
        <f ca="1">IF(OR(ISNUMBER(Table1[[#This Row],[Order_Date]])=FALSE,Table1[[#This Row],[Order_Date]]&lt;DATE(2000,1,1),Table1[[#This Row],[Order_Date]]&gt;TODAY()),"YES","NO")</f>
        <v>NO</v>
      </c>
    </row>
    <row r="664" spans="1:16" x14ac:dyDescent="0.3">
      <c r="A664">
        <v>100659</v>
      </c>
      <c r="B664" s="8">
        <v>45319.416666666657</v>
      </c>
      <c r="C664" t="s">
        <v>15</v>
      </c>
      <c r="D664" t="s">
        <v>34</v>
      </c>
      <c r="E664" t="s">
        <v>68</v>
      </c>
      <c r="F664" t="s">
        <v>71</v>
      </c>
      <c r="G664">
        <v>1</v>
      </c>
      <c r="H664">
        <v>23.03</v>
      </c>
      <c r="I664">
        <v>15</v>
      </c>
      <c r="J664" t="s">
        <v>74</v>
      </c>
      <c r="K664" t="s">
        <v>77</v>
      </c>
      <c r="L664">
        <v>23.03</v>
      </c>
      <c r="M664">
        <v>3.4544999999999999</v>
      </c>
      <c r="N664">
        <v>19.575500000000002</v>
      </c>
      <c r="O6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4" s="9" t="str">
        <f ca="1">IF(OR(ISNUMBER(Table1[[#This Row],[Order_Date]])=FALSE,Table1[[#This Row],[Order_Date]]&lt;DATE(2000,1,1),Table1[[#This Row],[Order_Date]]&gt;TODAY()),"YES","NO")</f>
        <v>NO</v>
      </c>
    </row>
    <row r="665" spans="1:16" x14ac:dyDescent="0.3">
      <c r="A665">
        <v>100660</v>
      </c>
      <c r="B665" s="8">
        <v>45319.458333333343</v>
      </c>
      <c r="C665" t="s">
        <v>15</v>
      </c>
      <c r="D665" t="s">
        <v>16</v>
      </c>
      <c r="E665" t="s">
        <v>68</v>
      </c>
      <c r="F665" t="s">
        <v>71</v>
      </c>
      <c r="G665">
        <v>2</v>
      </c>
      <c r="H665">
        <v>100.14</v>
      </c>
      <c r="I665">
        <v>15</v>
      </c>
      <c r="J665" t="s">
        <v>74</v>
      </c>
      <c r="K665" t="s">
        <v>77</v>
      </c>
      <c r="L665">
        <v>200.28</v>
      </c>
      <c r="M665">
        <v>30.042000000000002</v>
      </c>
      <c r="N665">
        <v>170.238</v>
      </c>
      <c r="O6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5" s="9" t="str">
        <f ca="1">IF(OR(ISNUMBER(Table1[[#This Row],[Order_Date]])=FALSE,Table1[[#This Row],[Order_Date]]&lt;DATE(2000,1,1),Table1[[#This Row],[Order_Date]]&gt;TODAY()),"YES","NO")</f>
        <v>NO</v>
      </c>
    </row>
    <row r="666" spans="1:16" x14ac:dyDescent="0.3">
      <c r="A666">
        <v>100661</v>
      </c>
      <c r="B666" s="8">
        <v>45319.5</v>
      </c>
      <c r="C666" t="s">
        <v>15</v>
      </c>
      <c r="D666" t="s">
        <v>52</v>
      </c>
      <c r="E666" t="s">
        <v>69</v>
      </c>
      <c r="F666" t="s">
        <v>72</v>
      </c>
      <c r="G666">
        <v>3</v>
      </c>
      <c r="H666">
        <v>9.82</v>
      </c>
      <c r="I666">
        <v>15</v>
      </c>
      <c r="J666" t="s">
        <v>74</v>
      </c>
      <c r="K666" t="s">
        <v>77</v>
      </c>
      <c r="L666">
        <v>29.46</v>
      </c>
      <c r="M666">
        <v>4.4189999999999996</v>
      </c>
      <c r="N666">
        <v>25.041</v>
      </c>
      <c r="O6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6" s="9" t="str">
        <f ca="1">IF(OR(ISNUMBER(Table1[[#This Row],[Order_Date]])=FALSE,Table1[[#This Row],[Order_Date]]&lt;DATE(2000,1,1),Table1[[#This Row],[Order_Date]]&gt;TODAY()),"YES","NO")</f>
        <v>NO</v>
      </c>
    </row>
    <row r="667" spans="1:16" x14ac:dyDescent="0.3">
      <c r="A667">
        <v>100662</v>
      </c>
      <c r="B667" s="8">
        <v>45319.541666666657</v>
      </c>
      <c r="C667" t="s">
        <v>14</v>
      </c>
      <c r="D667" t="s">
        <v>17</v>
      </c>
      <c r="E667" t="s">
        <v>66</v>
      </c>
      <c r="F667" t="s">
        <v>71</v>
      </c>
      <c r="G667">
        <v>1</v>
      </c>
      <c r="H667">
        <v>53.21</v>
      </c>
      <c r="I667">
        <v>0</v>
      </c>
      <c r="J667" t="s">
        <v>73</v>
      </c>
      <c r="K667" t="s">
        <v>77</v>
      </c>
      <c r="L667">
        <v>53.21</v>
      </c>
      <c r="M667">
        <v>0</v>
      </c>
      <c r="N667">
        <v>53.21</v>
      </c>
      <c r="O6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7" s="9" t="str">
        <f ca="1">IF(OR(ISNUMBER(Table1[[#This Row],[Order_Date]])=FALSE,Table1[[#This Row],[Order_Date]]&lt;DATE(2000,1,1),Table1[[#This Row],[Order_Date]]&gt;TODAY()),"YES","NO")</f>
        <v>NO</v>
      </c>
    </row>
    <row r="668" spans="1:16" x14ac:dyDescent="0.3">
      <c r="A668">
        <v>100663</v>
      </c>
      <c r="B668" s="8">
        <v>45319.583333333343</v>
      </c>
      <c r="C668" t="s">
        <v>14</v>
      </c>
      <c r="D668" t="s">
        <v>54</v>
      </c>
      <c r="E668" t="s">
        <v>69</v>
      </c>
      <c r="F668" t="s">
        <v>71</v>
      </c>
      <c r="G668">
        <v>2</v>
      </c>
      <c r="H668">
        <v>24.34</v>
      </c>
      <c r="I668">
        <v>0</v>
      </c>
      <c r="J668" t="s">
        <v>74</v>
      </c>
      <c r="K668" t="s">
        <v>78</v>
      </c>
      <c r="L668">
        <v>48.68</v>
      </c>
      <c r="M668">
        <v>0</v>
      </c>
      <c r="N668">
        <v>48.68</v>
      </c>
      <c r="O6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68" s="9" t="str">
        <f ca="1">IF(OR(ISNUMBER(Table1[[#This Row],[Order_Date]])=FALSE,Table1[[#This Row],[Order_Date]]&lt;DATE(2000,1,1),Table1[[#This Row],[Order_Date]]&gt;TODAY()),"YES","NO")</f>
        <v>NO</v>
      </c>
    </row>
    <row r="669" spans="1:16" x14ac:dyDescent="0.3">
      <c r="A669">
        <v>100664</v>
      </c>
      <c r="B669" s="8">
        <v>45319.625</v>
      </c>
      <c r="C669" t="s">
        <v>15</v>
      </c>
      <c r="D669" t="s">
        <v>31</v>
      </c>
      <c r="E669" t="s">
        <v>70</v>
      </c>
      <c r="F669" t="s">
        <v>72</v>
      </c>
      <c r="G669">
        <v>5</v>
      </c>
      <c r="H669">
        <v>106.12</v>
      </c>
      <c r="I669">
        <v>10</v>
      </c>
      <c r="J669" t="s">
        <v>76</v>
      </c>
      <c r="K669" t="s">
        <v>77</v>
      </c>
      <c r="L669">
        <v>530.6</v>
      </c>
      <c r="M669">
        <v>53.06</v>
      </c>
      <c r="N669">
        <v>477.54</v>
      </c>
      <c r="O6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69" s="9" t="str">
        <f ca="1">IF(OR(ISNUMBER(Table1[[#This Row],[Order_Date]])=FALSE,Table1[[#This Row],[Order_Date]]&lt;DATE(2000,1,1),Table1[[#This Row],[Order_Date]]&gt;TODAY()),"YES","NO")</f>
        <v>NO</v>
      </c>
    </row>
    <row r="670" spans="1:16" x14ac:dyDescent="0.3">
      <c r="A670">
        <v>100665</v>
      </c>
      <c r="B670" s="8">
        <v>45319.666666666657</v>
      </c>
      <c r="C670" t="s">
        <v>14</v>
      </c>
      <c r="D670" t="s">
        <v>35</v>
      </c>
      <c r="E670" t="s">
        <v>69</v>
      </c>
      <c r="F670" t="s">
        <v>72</v>
      </c>
      <c r="G670">
        <v>1</v>
      </c>
      <c r="H670">
        <v>69.06</v>
      </c>
      <c r="I670">
        <v>10</v>
      </c>
      <c r="J670" t="s">
        <v>73</v>
      </c>
      <c r="K670" t="s">
        <v>77</v>
      </c>
      <c r="L670">
        <v>69.06</v>
      </c>
      <c r="M670">
        <v>6.9060000000000006</v>
      </c>
      <c r="N670">
        <v>62.154000000000003</v>
      </c>
      <c r="O6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0" s="9" t="str">
        <f ca="1">IF(OR(ISNUMBER(Table1[[#This Row],[Order_Date]])=FALSE,Table1[[#This Row],[Order_Date]]&lt;DATE(2000,1,1),Table1[[#This Row],[Order_Date]]&gt;TODAY()),"YES","NO")</f>
        <v>NO</v>
      </c>
    </row>
    <row r="671" spans="1:16" x14ac:dyDescent="0.3">
      <c r="A671">
        <v>100666</v>
      </c>
      <c r="B671" s="8">
        <v>45319.708333333343</v>
      </c>
      <c r="C671" t="s">
        <v>14</v>
      </c>
      <c r="D671" t="s">
        <v>30</v>
      </c>
      <c r="E671" t="s">
        <v>67</v>
      </c>
      <c r="F671" t="s">
        <v>72</v>
      </c>
      <c r="G671">
        <v>1</v>
      </c>
      <c r="H671">
        <v>31.61</v>
      </c>
      <c r="I671">
        <v>15</v>
      </c>
      <c r="J671" t="s">
        <v>75</v>
      </c>
      <c r="K671" t="s">
        <v>77</v>
      </c>
      <c r="L671">
        <v>31.61</v>
      </c>
      <c r="M671">
        <v>4.7414999999999994</v>
      </c>
      <c r="N671">
        <v>26.868500000000001</v>
      </c>
      <c r="O6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1" s="9" t="str">
        <f ca="1">IF(OR(ISNUMBER(Table1[[#This Row],[Order_Date]])=FALSE,Table1[[#This Row],[Order_Date]]&lt;DATE(2000,1,1),Table1[[#This Row],[Order_Date]]&gt;TODAY()),"YES","NO")</f>
        <v>NO</v>
      </c>
    </row>
    <row r="672" spans="1:16" x14ac:dyDescent="0.3">
      <c r="A672">
        <v>100667</v>
      </c>
      <c r="B672" s="8">
        <v>45319.75</v>
      </c>
      <c r="C672" t="s">
        <v>15</v>
      </c>
      <c r="D672" t="s">
        <v>56</v>
      </c>
      <c r="E672" t="s">
        <v>70</v>
      </c>
      <c r="F672" t="s">
        <v>72</v>
      </c>
      <c r="G672">
        <v>2</v>
      </c>
      <c r="H672">
        <v>62.78</v>
      </c>
      <c r="I672">
        <v>10</v>
      </c>
      <c r="J672" t="s">
        <v>76</v>
      </c>
      <c r="K672" t="s">
        <v>77</v>
      </c>
      <c r="L672">
        <v>125.56</v>
      </c>
      <c r="M672">
        <v>12.555999999999999</v>
      </c>
      <c r="N672">
        <v>113.004</v>
      </c>
      <c r="O6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2" s="9" t="str">
        <f ca="1">IF(OR(ISNUMBER(Table1[[#This Row],[Order_Date]])=FALSE,Table1[[#This Row],[Order_Date]]&lt;DATE(2000,1,1),Table1[[#This Row],[Order_Date]]&gt;TODAY()),"YES","NO")</f>
        <v>NO</v>
      </c>
    </row>
    <row r="673" spans="1:16" x14ac:dyDescent="0.3">
      <c r="A673">
        <v>100668</v>
      </c>
      <c r="B673" s="8">
        <v>45319.791666666657</v>
      </c>
      <c r="C673" t="s">
        <v>15</v>
      </c>
      <c r="D673" t="s">
        <v>17</v>
      </c>
      <c r="E673" t="s">
        <v>70</v>
      </c>
      <c r="F673" t="s">
        <v>72</v>
      </c>
      <c r="G673">
        <v>3</v>
      </c>
      <c r="H673">
        <v>89.12</v>
      </c>
      <c r="I673">
        <v>15</v>
      </c>
      <c r="J673" t="s">
        <v>75</v>
      </c>
      <c r="K673" t="s">
        <v>77</v>
      </c>
      <c r="L673">
        <v>267.36</v>
      </c>
      <c r="M673">
        <v>40.103999999999999</v>
      </c>
      <c r="N673">
        <v>227.256</v>
      </c>
      <c r="O6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3" s="9" t="str">
        <f ca="1">IF(OR(ISNUMBER(Table1[[#This Row],[Order_Date]])=FALSE,Table1[[#This Row],[Order_Date]]&lt;DATE(2000,1,1),Table1[[#This Row],[Order_Date]]&gt;TODAY()),"YES","NO")</f>
        <v>NO</v>
      </c>
    </row>
    <row r="674" spans="1:16" x14ac:dyDescent="0.3">
      <c r="A674">
        <v>100669</v>
      </c>
      <c r="B674" s="8">
        <v>45319.833333333343</v>
      </c>
      <c r="C674" t="s">
        <v>14</v>
      </c>
      <c r="D674" t="s">
        <v>42</v>
      </c>
      <c r="E674" t="s">
        <v>66</v>
      </c>
      <c r="F674" t="s">
        <v>71</v>
      </c>
      <c r="G674">
        <v>1</v>
      </c>
      <c r="H674">
        <v>115.18</v>
      </c>
      <c r="I674">
        <v>0</v>
      </c>
      <c r="J674" t="s">
        <v>74</v>
      </c>
      <c r="K674" t="s">
        <v>77</v>
      </c>
      <c r="L674">
        <v>115.18</v>
      </c>
      <c r="M674">
        <v>0</v>
      </c>
      <c r="N674">
        <v>115.18</v>
      </c>
      <c r="O6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4" s="9" t="str">
        <f ca="1">IF(OR(ISNUMBER(Table1[[#This Row],[Order_Date]])=FALSE,Table1[[#This Row],[Order_Date]]&lt;DATE(2000,1,1),Table1[[#This Row],[Order_Date]]&gt;TODAY()),"YES","NO")</f>
        <v>NO</v>
      </c>
    </row>
    <row r="675" spans="1:16" x14ac:dyDescent="0.3">
      <c r="A675">
        <v>100670</v>
      </c>
      <c r="B675" s="8">
        <v>45319.875</v>
      </c>
      <c r="C675" t="s">
        <v>14</v>
      </c>
      <c r="D675" t="s">
        <v>62</v>
      </c>
      <c r="E675" t="s">
        <v>68</v>
      </c>
      <c r="F675" t="s">
        <v>71</v>
      </c>
      <c r="G675">
        <v>5</v>
      </c>
      <c r="H675">
        <v>30.35</v>
      </c>
      <c r="I675">
        <v>0</v>
      </c>
      <c r="J675" t="s">
        <v>76</v>
      </c>
      <c r="K675" t="s">
        <v>79</v>
      </c>
      <c r="L675">
        <v>151.75</v>
      </c>
      <c r="M675">
        <v>0</v>
      </c>
      <c r="N675">
        <v>151.75</v>
      </c>
      <c r="O6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75" s="9" t="str">
        <f ca="1">IF(OR(ISNUMBER(Table1[[#This Row],[Order_Date]])=FALSE,Table1[[#This Row],[Order_Date]]&lt;DATE(2000,1,1),Table1[[#This Row],[Order_Date]]&gt;TODAY()),"YES","NO")</f>
        <v>NO</v>
      </c>
    </row>
    <row r="676" spans="1:16" x14ac:dyDescent="0.3">
      <c r="A676">
        <v>100671</v>
      </c>
      <c r="B676" s="8">
        <v>45319.916666666657</v>
      </c>
      <c r="C676" t="s">
        <v>14</v>
      </c>
      <c r="D676" t="s">
        <v>24</v>
      </c>
      <c r="E676" t="s">
        <v>70</v>
      </c>
      <c r="F676" t="s">
        <v>72</v>
      </c>
      <c r="G676">
        <v>1</v>
      </c>
      <c r="H676">
        <v>106.91</v>
      </c>
      <c r="I676">
        <v>0</v>
      </c>
      <c r="J676" t="s">
        <v>73</v>
      </c>
      <c r="K676" t="s">
        <v>77</v>
      </c>
      <c r="L676">
        <v>106.91</v>
      </c>
      <c r="M676">
        <v>0</v>
      </c>
      <c r="N676">
        <v>106.91</v>
      </c>
      <c r="O6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6" s="9" t="str">
        <f ca="1">IF(OR(ISNUMBER(Table1[[#This Row],[Order_Date]])=FALSE,Table1[[#This Row],[Order_Date]]&lt;DATE(2000,1,1),Table1[[#This Row],[Order_Date]]&gt;TODAY()),"YES","NO")</f>
        <v>NO</v>
      </c>
    </row>
    <row r="677" spans="1:16" x14ac:dyDescent="0.3">
      <c r="A677">
        <v>100672</v>
      </c>
      <c r="B677" s="8">
        <v>45319.958333333343</v>
      </c>
      <c r="C677" t="s">
        <v>15</v>
      </c>
      <c r="D677" t="s">
        <v>53</v>
      </c>
      <c r="E677" t="s">
        <v>68</v>
      </c>
      <c r="F677" t="s">
        <v>72</v>
      </c>
      <c r="G677">
        <v>5</v>
      </c>
      <c r="H677">
        <v>112.44</v>
      </c>
      <c r="I677">
        <v>5</v>
      </c>
      <c r="J677" t="s">
        <v>76</v>
      </c>
      <c r="K677" t="s">
        <v>77</v>
      </c>
      <c r="L677">
        <v>562.20000000000005</v>
      </c>
      <c r="M677">
        <v>28.11</v>
      </c>
      <c r="N677">
        <v>534.09</v>
      </c>
      <c r="O6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7" s="9" t="str">
        <f ca="1">IF(OR(ISNUMBER(Table1[[#This Row],[Order_Date]])=FALSE,Table1[[#This Row],[Order_Date]]&lt;DATE(2000,1,1),Table1[[#This Row],[Order_Date]]&gt;TODAY()),"YES","NO")</f>
        <v>NO</v>
      </c>
    </row>
    <row r="678" spans="1:16" x14ac:dyDescent="0.3">
      <c r="A678">
        <v>100673</v>
      </c>
      <c r="B678" s="8">
        <v>45320</v>
      </c>
      <c r="C678" t="s">
        <v>15</v>
      </c>
      <c r="D678" t="s">
        <v>41</v>
      </c>
      <c r="E678" t="s">
        <v>69</v>
      </c>
      <c r="F678" t="s">
        <v>72</v>
      </c>
      <c r="G678">
        <v>4</v>
      </c>
      <c r="H678">
        <v>110.39</v>
      </c>
      <c r="I678">
        <v>15</v>
      </c>
      <c r="J678" t="s">
        <v>75</v>
      </c>
      <c r="K678" t="s">
        <v>77</v>
      </c>
      <c r="L678">
        <v>441.56</v>
      </c>
      <c r="M678">
        <v>66.233999999999995</v>
      </c>
      <c r="N678">
        <v>375.32600000000002</v>
      </c>
      <c r="O6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78" s="9" t="str">
        <f ca="1">IF(OR(ISNUMBER(Table1[[#This Row],[Order_Date]])=FALSE,Table1[[#This Row],[Order_Date]]&lt;DATE(2000,1,1),Table1[[#This Row],[Order_Date]]&gt;TODAY()),"YES","NO")</f>
        <v>NO</v>
      </c>
    </row>
    <row r="679" spans="1:16" x14ac:dyDescent="0.3">
      <c r="A679">
        <v>100674</v>
      </c>
      <c r="B679" s="8">
        <v>45320.041666666657</v>
      </c>
      <c r="C679" t="s">
        <v>15</v>
      </c>
      <c r="D679" t="s">
        <v>23</v>
      </c>
      <c r="E679" t="s">
        <v>67</v>
      </c>
      <c r="F679" t="s">
        <v>72</v>
      </c>
      <c r="G679">
        <v>4</v>
      </c>
      <c r="H679">
        <v>78.069999999999993</v>
      </c>
      <c r="I679">
        <v>0</v>
      </c>
      <c r="J679" t="s">
        <v>73</v>
      </c>
      <c r="K679" t="s">
        <v>78</v>
      </c>
      <c r="L679">
        <v>312.27999999999997</v>
      </c>
      <c r="M679">
        <v>0</v>
      </c>
      <c r="N679">
        <v>312.27999999999997</v>
      </c>
      <c r="O6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79" s="9" t="str">
        <f ca="1">IF(OR(ISNUMBER(Table1[[#This Row],[Order_Date]])=FALSE,Table1[[#This Row],[Order_Date]]&lt;DATE(2000,1,1),Table1[[#This Row],[Order_Date]]&gt;TODAY()),"YES","NO")</f>
        <v>NO</v>
      </c>
    </row>
    <row r="680" spans="1:16" x14ac:dyDescent="0.3">
      <c r="A680">
        <v>100675</v>
      </c>
      <c r="B680" s="8">
        <v>45320.083333333343</v>
      </c>
      <c r="C680" t="s">
        <v>15</v>
      </c>
      <c r="D680" t="s">
        <v>35</v>
      </c>
      <c r="E680" t="s">
        <v>66</v>
      </c>
      <c r="F680" t="s">
        <v>72</v>
      </c>
      <c r="G680">
        <v>5</v>
      </c>
      <c r="H680">
        <v>77.430000000000007</v>
      </c>
      <c r="I680">
        <v>15</v>
      </c>
      <c r="J680" t="s">
        <v>76</v>
      </c>
      <c r="K680" t="s">
        <v>77</v>
      </c>
      <c r="L680">
        <v>387.15</v>
      </c>
      <c r="M680">
        <v>58.072500000000012</v>
      </c>
      <c r="N680">
        <v>329.07749999999999</v>
      </c>
      <c r="O6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0" s="9" t="str">
        <f ca="1">IF(OR(ISNUMBER(Table1[[#This Row],[Order_Date]])=FALSE,Table1[[#This Row],[Order_Date]]&lt;DATE(2000,1,1),Table1[[#This Row],[Order_Date]]&gt;TODAY()),"YES","NO")</f>
        <v>NO</v>
      </c>
    </row>
    <row r="681" spans="1:16" x14ac:dyDescent="0.3">
      <c r="A681">
        <v>100676</v>
      </c>
      <c r="B681" s="8">
        <v>45320.125</v>
      </c>
      <c r="C681" t="s">
        <v>14</v>
      </c>
      <c r="D681" t="s">
        <v>44</v>
      </c>
      <c r="E681" t="s">
        <v>68</v>
      </c>
      <c r="F681" t="s">
        <v>71</v>
      </c>
      <c r="G681">
        <v>3</v>
      </c>
      <c r="H681">
        <v>51.37</v>
      </c>
      <c r="I681">
        <v>10</v>
      </c>
      <c r="J681" t="s">
        <v>76</v>
      </c>
      <c r="K681" t="s">
        <v>77</v>
      </c>
      <c r="L681">
        <v>154.11000000000001</v>
      </c>
      <c r="M681">
        <v>15.411</v>
      </c>
      <c r="N681">
        <v>138.69900000000001</v>
      </c>
      <c r="O6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1" s="9" t="str">
        <f ca="1">IF(OR(ISNUMBER(Table1[[#This Row],[Order_Date]])=FALSE,Table1[[#This Row],[Order_Date]]&lt;DATE(2000,1,1),Table1[[#This Row],[Order_Date]]&gt;TODAY()),"YES","NO")</f>
        <v>NO</v>
      </c>
    </row>
    <row r="682" spans="1:16" x14ac:dyDescent="0.3">
      <c r="A682">
        <v>100677</v>
      </c>
      <c r="B682" s="8">
        <v>45320.166666666657</v>
      </c>
      <c r="C682" t="s">
        <v>15</v>
      </c>
      <c r="D682" t="s">
        <v>49</v>
      </c>
      <c r="E682" t="s">
        <v>70</v>
      </c>
      <c r="F682" t="s">
        <v>71</v>
      </c>
      <c r="G682">
        <v>1</v>
      </c>
      <c r="H682">
        <v>91.53</v>
      </c>
      <c r="I682">
        <v>10</v>
      </c>
      <c r="J682" t="s">
        <v>76</v>
      </c>
      <c r="K682" t="s">
        <v>77</v>
      </c>
      <c r="L682">
        <v>91.53</v>
      </c>
      <c r="M682">
        <v>9.1530000000000005</v>
      </c>
      <c r="N682">
        <v>82.376999999999995</v>
      </c>
      <c r="O6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2" s="9" t="str">
        <f ca="1">IF(OR(ISNUMBER(Table1[[#This Row],[Order_Date]])=FALSE,Table1[[#This Row],[Order_Date]]&lt;DATE(2000,1,1),Table1[[#This Row],[Order_Date]]&gt;TODAY()),"YES","NO")</f>
        <v>NO</v>
      </c>
    </row>
    <row r="683" spans="1:16" x14ac:dyDescent="0.3">
      <c r="A683">
        <v>100678</v>
      </c>
      <c r="B683" s="8">
        <v>45320.208333333343</v>
      </c>
      <c r="C683" t="s">
        <v>15</v>
      </c>
      <c r="D683" t="s">
        <v>50</v>
      </c>
      <c r="E683" t="s">
        <v>68</v>
      </c>
      <c r="F683" t="s">
        <v>71</v>
      </c>
      <c r="G683">
        <v>1</v>
      </c>
      <c r="H683">
        <v>66.099999999999994</v>
      </c>
      <c r="I683">
        <v>0</v>
      </c>
      <c r="J683" t="s">
        <v>76</v>
      </c>
      <c r="K683" t="s">
        <v>77</v>
      </c>
      <c r="L683">
        <v>66.099999999999994</v>
      </c>
      <c r="M683">
        <v>0</v>
      </c>
      <c r="N683">
        <v>66.099999999999994</v>
      </c>
      <c r="O6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3" s="9" t="str">
        <f ca="1">IF(OR(ISNUMBER(Table1[[#This Row],[Order_Date]])=FALSE,Table1[[#This Row],[Order_Date]]&lt;DATE(2000,1,1),Table1[[#This Row],[Order_Date]]&gt;TODAY()),"YES","NO")</f>
        <v>NO</v>
      </c>
    </row>
    <row r="684" spans="1:16" x14ac:dyDescent="0.3">
      <c r="A684">
        <v>100679</v>
      </c>
      <c r="B684" s="8">
        <v>45320.25</v>
      </c>
      <c r="C684" t="s">
        <v>15</v>
      </c>
      <c r="D684" t="s">
        <v>39</v>
      </c>
      <c r="E684" t="s">
        <v>70</v>
      </c>
      <c r="F684" t="s">
        <v>71</v>
      </c>
      <c r="G684">
        <v>4</v>
      </c>
      <c r="H684">
        <v>82.91</v>
      </c>
      <c r="I684">
        <v>15</v>
      </c>
      <c r="J684" t="s">
        <v>73</v>
      </c>
      <c r="K684" t="s">
        <v>77</v>
      </c>
      <c r="L684">
        <v>331.64</v>
      </c>
      <c r="M684">
        <v>49.746000000000002</v>
      </c>
      <c r="N684">
        <v>281.89400000000001</v>
      </c>
      <c r="O6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4" s="9" t="str">
        <f ca="1">IF(OR(ISNUMBER(Table1[[#This Row],[Order_Date]])=FALSE,Table1[[#This Row],[Order_Date]]&lt;DATE(2000,1,1),Table1[[#This Row],[Order_Date]]&gt;TODAY()),"YES","NO")</f>
        <v>NO</v>
      </c>
    </row>
    <row r="685" spans="1:16" x14ac:dyDescent="0.3">
      <c r="A685">
        <v>100680</v>
      </c>
      <c r="B685" s="8">
        <v>45320.291666666657</v>
      </c>
      <c r="C685" t="s">
        <v>15</v>
      </c>
      <c r="D685" t="s">
        <v>26</v>
      </c>
      <c r="E685" t="s">
        <v>68</v>
      </c>
      <c r="F685" t="s">
        <v>72</v>
      </c>
      <c r="G685">
        <v>5</v>
      </c>
      <c r="H685">
        <v>54.27</v>
      </c>
      <c r="I685">
        <v>0</v>
      </c>
      <c r="J685" t="s">
        <v>75</v>
      </c>
      <c r="K685" t="s">
        <v>77</v>
      </c>
      <c r="L685">
        <v>271.35000000000002</v>
      </c>
      <c r="M685">
        <v>0</v>
      </c>
      <c r="N685">
        <v>271.35000000000002</v>
      </c>
      <c r="O6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5" s="9" t="str">
        <f ca="1">IF(OR(ISNUMBER(Table1[[#This Row],[Order_Date]])=FALSE,Table1[[#This Row],[Order_Date]]&lt;DATE(2000,1,1),Table1[[#This Row],[Order_Date]]&gt;TODAY()),"YES","NO")</f>
        <v>NO</v>
      </c>
    </row>
    <row r="686" spans="1:16" x14ac:dyDescent="0.3">
      <c r="A686">
        <v>100681</v>
      </c>
      <c r="B686" s="8">
        <v>45320.333333333343</v>
      </c>
      <c r="C686" t="s">
        <v>15</v>
      </c>
      <c r="D686" t="s">
        <v>27</v>
      </c>
      <c r="E686" t="s">
        <v>70</v>
      </c>
      <c r="F686" t="s">
        <v>71</v>
      </c>
      <c r="G686">
        <v>1</v>
      </c>
      <c r="H686">
        <v>89.12</v>
      </c>
      <c r="I686">
        <v>10</v>
      </c>
      <c r="J686" t="s">
        <v>76</v>
      </c>
      <c r="K686" t="s">
        <v>77</v>
      </c>
      <c r="L686">
        <v>89.12</v>
      </c>
      <c r="M686">
        <v>8.9120000000000008</v>
      </c>
      <c r="N686">
        <v>80.207999999999998</v>
      </c>
      <c r="O6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6" s="9" t="str">
        <f ca="1">IF(OR(ISNUMBER(Table1[[#This Row],[Order_Date]])=FALSE,Table1[[#This Row],[Order_Date]]&lt;DATE(2000,1,1),Table1[[#This Row],[Order_Date]]&gt;TODAY()),"YES","NO")</f>
        <v>NO</v>
      </c>
    </row>
    <row r="687" spans="1:16" x14ac:dyDescent="0.3">
      <c r="A687">
        <v>100682</v>
      </c>
      <c r="B687" s="8">
        <v>45320.375</v>
      </c>
      <c r="C687" t="s">
        <v>14</v>
      </c>
      <c r="D687" t="s">
        <v>40</v>
      </c>
      <c r="E687" t="s">
        <v>69</v>
      </c>
      <c r="F687" t="s">
        <v>72</v>
      </c>
      <c r="G687">
        <v>1</v>
      </c>
      <c r="H687">
        <v>99.81</v>
      </c>
      <c r="I687">
        <v>0</v>
      </c>
      <c r="J687" t="s">
        <v>73</v>
      </c>
      <c r="K687" t="s">
        <v>77</v>
      </c>
      <c r="L687">
        <v>99.81</v>
      </c>
      <c r="M687">
        <v>0</v>
      </c>
      <c r="N687">
        <v>99.81</v>
      </c>
      <c r="O6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7" s="9" t="str">
        <f ca="1">IF(OR(ISNUMBER(Table1[[#This Row],[Order_Date]])=FALSE,Table1[[#This Row],[Order_Date]]&lt;DATE(2000,1,1),Table1[[#This Row],[Order_Date]]&gt;TODAY()),"YES","NO")</f>
        <v>NO</v>
      </c>
    </row>
    <row r="688" spans="1:16" x14ac:dyDescent="0.3">
      <c r="A688">
        <v>100683</v>
      </c>
      <c r="B688" s="8">
        <v>45320.416666666657</v>
      </c>
      <c r="C688" t="s">
        <v>14</v>
      </c>
      <c r="D688" t="s">
        <v>61</v>
      </c>
      <c r="E688" t="s">
        <v>70</v>
      </c>
      <c r="F688" t="s">
        <v>72</v>
      </c>
      <c r="G688">
        <v>3</v>
      </c>
      <c r="H688">
        <v>21.84</v>
      </c>
      <c r="I688">
        <v>15</v>
      </c>
      <c r="J688" t="s">
        <v>75</v>
      </c>
      <c r="K688" t="s">
        <v>78</v>
      </c>
      <c r="L688">
        <v>65.52</v>
      </c>
      <c r="M688">
        <v>9.8279999999999994</v>
      </c>
      <c r="N688">
        <v>55.691999999999993</v>
      </c>
      <c r="O6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88" s="9" t="str">
        <f ca="1">IF(OR(ISNUMBER(Table1[[#This Row],[Order_Date]])=FALSE,Table1[[#This Row],[Order_Date]]&lt;DATE(2000,1,1),Table1[[#This Row],[Order_Date]]&gt;TODAY()),"YES","NO")</f>
        <v>NO</v>
      </c>
    </row>
    <row r="689" spans="1:16" x14ac:dyDescent="0.3">
      <c r="A689">
        <v>100684</v>
      </c>
      <c r="B689" s="8">
        <v>45320.458333333343</v>
      </c>
      <c r="C689" t="s">
        <v>15</v>
      </c>
      <c r="D689" t="s">
        <v>64</v>
      </c>
      <c r="E689" t="s">
        <v>70</v>
      </c>
      <c r="F689" t="s">
        <v>72</v>
      </c>
      <c r="G689">
        <v>2</v>
      </c>
      <c r="H689">
        <v>100.79</v>
      </c>
      <c r="I689">
        <v>10</v>
      </c>
      <c r="J689" t="s">
        <v>76</v>
      </c>
      <c r="K689" t="s">
        <v>77</v>
      </c>
      <c r="L689">
        <v>201.58</v>
      </c>
      <c r="M689">
        <v>20.158000000000001</v>
      </c>
      <c r="N689">
        <v>181.422</v>
      </c>
      <c r="O6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89" s="9" t="str">
        <f ca="1">IF(OR(ISNUMBER(Table1[[#This Row],[Order_Date]])=FALSE,Table1[[#This Row],[Order_Date]]&lt;DATE(2000,1,1),Table1[[#This Row],[Order_Date]]&gt;TODAY()),"YES","NO")</f>
        <v>NO</v>
      </c>
    </row>
    <row r="690" spans="1:16" x14ac:dyDescent="0.3">
      <c r="A690">
        <v>100685</v>
      </c>
      <c r="B690" s="8">
        <v>45320.5</v>
      </c>
      <c r="C690" t="s">
        <v>14</v>
      </c>
      <c r="D690" t="s">
        <v>45</v>
      </c>
      <c r="E690" t="s">
        <v>67</v>
      </c>
      <c r="F690" t="s">
        <v>71</v>
      </c>
      <c r="G690">
        <v>4</v>
      </c>
      <c r="H690">
        <v>67.13</v>
      </c>
      <c r="I690">
        <v>5</v>
      </c>
      <c r="J690" t="s">
        <v>75</v>
      </c>
      <c r="K690" t="s">
        <v>79</v>
      </c>
      <c r="L690">
        <v>268.52</v>
      </c>
      <c r="M690">
        <v>13.426</v>
      </c>
      <c r="N690">
        <v>255.09399999999999</v>
      </c>
      <c r="O6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690" s="9" t="str">
        <f ca="1">IF(OR(ISNUMBER(Table1[[#This Row],[Order_Date]])=FALSE,Table1[[#This Row],[Order_Date]]&lt;DATE(2000,1,1),Table1[[#This Row],[Order_Date]]&gt;TODAY()),"YES","NO")</f>
        <v>NO</v>
      </c>
    </row>
    <row r="691" spans="1:16" x14ac:dyDescent="0.3">
      <c r="A691">
        <v>100686</v>
      </c>
      <c r="B691" s="8">
        <v>45320.541666666657</v>
      </c>
      <c r="C691" t="s">
        <v>15</v>
      </c>
      <c r="D691" t="s">
        <v>47</v>
      </c>
      <c r="E691" t="s">
        <v>70</v>
      </c>
      <c r="F691" t="s">
        <v>72</v>
      </c>
      <c r="G691">
        <v>4</v>
      </c>
      <c r="H691">
        <v>102.14</v>
      </c>
      <c r="I691">
        <v>10</v>
      </c>
      <c r="J691" t="s">
        <v>75</v>
      </c>
      <c r="K691" t="s">
        <v>77</v>
      </c>
      <c r="L691">
        <v>408.56</v>
      </c>
      <c r="M691">
        <v>40.856000000000002</v>
      </c>
      <c r="N691">
        <v>367.70400000000001</v>
      </c>
      <c r="O6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1" s="9" t="str">
        <f ca="1">IF(OR(ISNUMBER(Table1[[#This Row],[Order_Date]])=FALSE,Table1[[#This Row],[Order_Date]]&lt;DATE(2000,1,1),Table1[[#This Row],[Order_Date]]&gt;TODAY()),"YES","NO")</f>
        <v>NO</v>
      </c>
    </row>
    <row r="692" spans="1:16" x14ac:dyDescent="0.3">
      <c r="A692">
        <v>100687</v>
      </c>
      <c r="B692" s="8">
        <v>45320.583333333343</v>
      </c>
      <c r="C692" t="s">
        <v>15</v>
      </c>
      <c r="D692" t="s">
        <v>44</v>
      </c>
      <c r="E692" t="s">
        <v>67</v>
      </c>
      <c r="F692" t="s">
        <v>71</v>
      </c>
      <c r="G692">
        <v>2</v>
      </c>
      <c r="H692">
        <v>54.6</v>
      </c>
      <c r="I692">
        <v>5</v>
      </c>
      <c r="J692" t="s">
        <v>73</v>
      </c>
      <c r="K692" t="s">
        <v>77</v>
      </c>
      <c r="L692">
        <v>109.2</v>
      </c>
      <c r="M692">
        <v>5.4600000000000009</v>
      </c>
      <c r="N692">
        <v>103.74</v>
      </c>
      <c r="O6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2" s="9" t="str">
        <f ca="1">IF(OR(ISNUMBER(Table1[[#This Row],[Order_Date]])=FALSE,Table1[[#This Row],[Order_Date]]&lt;DATE(2000,1,1),Table1[[#This Row],[Order_Date]]&gt;TODAY()),"YES","NO")</f>
        <v>NO</v>
      </c>
    </row>
    <row r="693" spans="1:16" x14ac:dyDescent="0.3">
      <c r="A693">
        <v>100688</v>
      </c>
      <c r="B693" s="8">
        <v>45320.625</v>
      </c>
      <c r="C693" t="s">
        <v>14</v>
      </c>
      <c r="D693" t="s">
        <v>16</v>
      </c>
      <c r="E693" t="s">
        <v>66</v>
      </c>
      <c r="F693" t="s">
        <v>71</v>
      </c>
      <c r="G693">
        <v>1</v>
      </c>
      <c r="H693">
        <v>48.59</v>
      </c>
      <c r="I693">
        <v>0</v>
      </c>
      <c r="J693" t="s">
        <v>75</v>
      </c>
      <c r="K693" t="s">
        <v>77</v>
      </c>
      <c r="L693">
        <v>48.59</v>
      </c>
      <c r="M693">
        <v>0</v>
      </c>
      <c r="N693">
        <v>48.59</v>
      </c>
      <c r="O6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3" s="9" t="str">
        <f ca="1">IF(OR(ISNUMBER(Table1[[#This Row],[Order_Date]])=FALSE,Table1[[#This Row],[Order_Date]]&lt;DATE(2000,1,1),Table1[[#This Row],[Order_Date]]&gt;TODAY()),"YES","NO")</f>
        <v>NO</v>
      </c>
    </row>
    <row r="694" spans="1:16" x14ac:dyDescent="0.3">
      <c r="A694">
        <v>100689</v>
      </c>
      <c r="B694" s="8">
        <v>45320.666666666657</v>
      </c>
      <c r="C694" t="s">
        <v>14</v>
      </c>
      <c r="D694" t="s">
        <v>50</v>
      </c>
      <c r="E694" t="s">
        <v>67</v>
      </c>
      <c r="F694" t="s">
        <v>72</v>
      </c>
      <c r="G694">
        <v>3</v>
      </c>
      <c r="H694">
        <v>110.23</v>
      </c>
      <c r="I694">
        <v>0</v>
      </c>
      <c r="J694" t="s">
        <v>73</v>
      </c>
      <c r="K694" t="s">
        <v>77</v>
      </c>
      <c r="L694">
        <v>330.69</v>
      </c>
      <c r="M694">
        <v>0</v>
      </c>
      <c r="N694">
        <v>330.69</v>
      </c>
      <c r="O6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4" s="9" t="str">
        <f ca="1">IF(OR(ISNUMBER(Table1[[#This Row],[Order_Date]])=FALSE,Table1[[#This Row],[Order_Date]]&lt;DATE(2000,1,1),Table1[[#This Row],[Order_Date]]&gt;TODAY()),"YES","NO")</f>
        <v>NO</v>
      </c>
    </row>
    <row r="695" spans="1:16" x14ac:dyDescent="0.3">
      <c r="A695">
        <v>100690</v>
      </c>
      <c r="B695" s="8">
        <v>45320.708333333343</v>
      </c>
      <c r="C695" t="s">
        <v>15</v>
      </c>
      <c r="D695" t="s">
        <v>30</v>
      </c>
      <c r="E695" t="s">
        <v>69</v>
      </c>
      <c r="F695" t="s">
        <v>72</v>
      </c>
      <c r="G695">
        <v>3</v>
      </c>
      <c r="H695">
        <v>33.880000000000003</v>
      </c>
      <c r="I695">
        <v>15</v>
      </c>
      <c r="J695" t="s">
        <v>76</v>
      </c>
      <c r="K695" t="s">
        <v>77</v>
      </c>
      <c r="L695">
        <v>101.64</v>
      </c>
      <c r="M695">
        <v>15.246</v>
      </c>
      <c r="N695">
        <v>86.394000000000005</v>
      </c>
      <c r="O6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5" s="9" t="str">
        <f ca="1">IF(OR(ISNUMBER(Table1[[#This Row],[Order_Date]])=FALSE,Table1[[#This Row],[Order_Date]]&lt;DATE(2000,1,1),Table1[[#This Row],[Order_Date]]&gt;TODAY()),"YES","NO")</f>
        <v>NO</v>
      </c>
    </row>
    <row r="696" spans="1:16" x14ac:dyDescent="0.3">
      <c r="A696">
        <v>100691</v>
      </c>
      <c r="B696" s="8">
        <v>45320.75</v>
      </c>
      <c r="C696" t="s">
        <v>15</v>
      </c>
      <c r="D696" t="s">
        <v>47</v>
      </c>
      <c r="E696" t="s">
        <v>67</v>
      </c>
      <c r="F696" t="s">
        <v>72</v>
      </c>
      <c r="G696">
        <v>4</v>
      </c>
      <c r="H696">
        <v>102.08</v>
      </c>
      <c r="I696">
        <v>5</v>
      </c>
      <c r="J696" t="s">
        <v>75</v>
      </c>
      <c r="K696" t="s">
        <v>77</v>
      </c>
      <c r="L696">
        <v>408.32</v>
      </c>
      <c r="M696">
        <v>20.416</v>
      </c>
      <c r="N696">
        <v>387.904</v>
      </c>
      <c r="O6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6" s="9" t="str">
        <f ca="1">IF(OR(ISNUMBER(Table1[[#This Row],[Order_Date]])=FALSE,Table1[[#This Row],[Order_Date]]&lt;DATE(2000,1,1),Table1[[#This Row],[Order_Date]]&gt;TODAY()),"YES","NO")</f>
        <v>NO</v>
      </c>
    </row>
    <row r="697" spans="1:16" x14ac:dyDescent="0.3">
      <c r="A697">
        <v>100692</v>
      </c>
      <c r="B697" s="8">
        <v>45320.791666666657</v>
      </c>
      <c r="C697" t="s">
        <v>15</v>
      </c>
      <c r="D697" t="s">
        <v>57</v>
      </c>
      <c r="E697" t="s">
        <v>66</v>
      </c>
      <c r="F697" t="s">
        <v>71</v>
      </c>
      <c r="G697">
        <v>3</v>
      </c>
      <c r="H697">
        <v>60.66</v>
      </c>
      <c r="I697">
        <v>0</v>
      </c>
      <c r="J697" t="s">
        <v>75</v>
      </c>
      <c r="K697" t="s">
        <v>77</v>
      </c>
      <c r="L697">
        <v>181.98</v>
      </c>
      <c r="M697">
        <v>0</v>
      </c>
      <c r="N697">
        <v>181.98</v>
      </c>
      <c r="O6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7" s="9" t="str">
        <f ca="1">IF(OR(ISNUMBER(Table1[[#This Row],[Order_Date]])=FALSE,Table1[[#This Row],[Order_Date]]&lt;DATE(2000,1,1),Table1[[#This Row],[Order_Date]]&gt;TODAY()),"YES","NO")</f>
        <v>NO</v>
      </c>
    </row>
    <row r="698" spans="1:16" x14ac:dyDescent="0.3">
      <c r="A698">
        <v>100693</v>
      </c>
      <c r="B698" s="8">
        <v>45320.833333333343</v>
      </c>
      <c r="C698" t="s">
        <v>14</v>
      </c>
      <c r="D698" t="s">
        <v>49</v>
      </c>
      <c r="E698" t="s">
        <v>69</v>
      </c>
      <c r="F698" t="s">
        <v>72</v>
      </c>
      <c r="G698">
        <v>2</v>
      </c>
      <c r="H698">
        <v>64.12</v>
      </c>
      <c r="I698">
        <v>5</v>
      </c>
      <c r="J698" t="s">
        <v>74</v>
      </c>
      <c r="K698" t="s">
        <v>77</v>
      </c>
      <c r="L698">
        <v>128.24</v>
      </c>
      <c r="M698">
        <v>6.4120000000000008</v>
      </c>
      <c r="N698">
        <v>121.828</v>
      </c>
      <c r="O6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8" s="9" t="str">
        <f ca="1">IF(OR(ISNUMBER(Table1[[#This Row],[Order_Date]])=FALSE,Table1[[#This Row],[Order_Date]]&lt;DATE(2000,1,1),Table1[[#This Row],[Order_Date]]&gt;TODAY()),"YES","NO")</f>
        <v>NO</v>
      </c>
    </row>
    <row r="699" spans="1:16" x14ac:dyDescent="0.3">
      <c r="A699">
        <v>100694</v>
      </c>
      <c r="B699" s="8">
        <v>45320.875</v>
      </c>
      <c r="C699" t="s">
        <v>15</v>
      </c>
      <c r="D699" t="s">
        <v>61</v>
      </c>
      <c r="E699" t="s">
        <v>68</v>
      </c>
      <c r="F699" t="s">
        <v>71</v>
      </c>
      <c r="G699">
        <v>1</v>
      </c>
      <c r="H699">
        <v>40.47</v>
      </c>
      <c r="I699">
        <v>0</v>
      </c>
      <c r="J699" t="s">
        <v>76</v>
      </c>
      <c r="K699" t="s">
        <v>77</v>
      </c>
      <c r="L699">
        <v>40.47</v>
      </c>
      <c r="M699">
        <v>0</v>
      </c>
      <c r="N699">
        <v>40.47</v>
      </c>
      <c r="O6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699" s="9" t="str">
        <f ca="1">IF(OR(ISNUMBER(Table1[[#This Row],[Order_Date]])=FALSE,Table1[[#This Row],[Order_Date]]&lt;DATE(2000,1,1),Table1[[#This Row],[Order_Date]]&gt;TODAY()),"YES","NO")</f>
        <v>NO</v>
      </c>
    </row>
    <row r="700" spans="1:16" x14ac:dyDescent="0.3">
      <c r="A700">
        <v>100695</v>
      </c>
      <c r="B700" s="8">
        <v>45320.916666666657</v>
      </c>
      <c r="C700" t="s">
        <v>15</v>
      </c>
      <c r="D700" t="s">
        <v>42</v>
      </c>
      <c r="E700" t="s">
        <v>68</v>
      </c>
      <c r="F700" t="s">
        <v>72</v>
      </c>
      <c r="G700">
        <v>2</v>
      </c>
      <c r="H700">
        <v>70.900000000000006</v>
      </c>
      <c r="I700">
        <v>10</v>
      </c>
      <c r="J700" t="s">
        <v>76</v>
      </c>
      <c r="K700" t="s">
        <v>77</v>
      </c>
      <c r="L700">
        <v>141.80000000000001</v>
      </c>
      <c r="M700">
        <v>14.18</v>
      </c>
      <c r="N700">
        <v>127.62</v>
      </c>
      <c r="O7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0" s="9" t="str">
        <f ca="1">IF(OR(ISNUMBER(Table1[[#This Row],[Order_Date]])=FALSE,Table1[[#This Row],[Order_Date]]&lt;DATE(2000,1,1),Table1[[#This Row],[Order_Date]]&gt;TODAY()),"YES","NO")</f>
        <v>NO</v>
      </c>
    </row>
    <row r="701" spans="1:16" x14ac:dyDescent="0.3">
      <c r="A701">
        <v>100696</v>
      </c>
      <c r="B701" s="8">
        <v>45320.958333333343</v>
      </c>
      <c r="C701" t="s">
        <v>15</v>
      </c>
      <c r="D701" t="s">
        <v>40</v>
      </c>
      <c r="E701" t="s">
        <v>67</v>
      </c>
      <c r="F701" t="s">
        <v>72</v>
      </c>
      <c r="G701">
        <v>5</v>
      </c>
      <c r="H701">
        <v>42.4</v>
      </c>
      <c r="I701">
        <v>0</v>
      </c>
      <c r="J701" t="s">
        <v>74</v>
      </c>
      <c r="K701" t="s">
        <v>77</v>
      </c>
      <c r="L701">
        <v>212</v>
      </c>
      <c r="M701">
        <v>0</v>
      </c>
      <c r="N701">
        <v>212</v>
      </c>
      <c r="O7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1" s="9" t="str">
        <f ca="1">IF(OR(ISNUMBER(Table1[[#This Row],[Order_Date]])=FALSE,Table1[[#This Row],[Order_Date]]&lt;DATE(2000,1,1),Table1[[#This Row],[Order_Date]]&gt;TODAY()),"YES","NO")</f>
        <v>NO</v>
      </c>
    </row>
    <row r="702" spans="1:16" x14ac:dyDescent="0.3">
      <c r="A702">
        <v>100697</v>
      </c>
      <c r="B702" s="8">
        <v>45321</v>
      </c>
      <c r="C702" t="s">
        <v>14</v>
      </c>
      <c r="D702" t="s">
        <v>43</v>
      </c>
      <c r="E702" t="s">
        <v>67</v>
      </c>
      <c r="F702" t="s">
        <v>71</v>
      </c>
      <c r="G702">
        <v>4</v>
      </c>
      <c r="H702">
        <v>9.52</v>
      </c>
      <c r="I702">
        <v>15</v>
      </c>
      <c r="J702" t="s">
        <v>74</v>
      </c>
      <c r="K702" t="s">
        <v>77</v>
      </c>
      <c r="L702">
        <v>38.08</v>
      </c>
      <c r="M702">
        <v>5.7119999999999997</v>
      </c>
      <c r="N702">
        <v>32.367999999999988</v>
      </c>
      <c r="O7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2" s="9" t="str">
        <f ca="1">IF(OR(ISNUMBER(Table1[[#This Row],[Order_Date]])=FALSE,Table1[[#This Row],[Order_Date]]&lt;DATE(2000,1,1),Table1[[#This Row],[Order_Date]]&gt;TODAY()),"YES","NO")</f>
        <v>NO</v>
      </c>
    </row>
    <row r="703" spans="1:16" x14ac:dyDescent="0.3">
      <c r="A703">
        <v>100698</v>
      </c>
      <c r="B703" s="8">
        <v>45321.041666666657</v>
      </c>
      <c r="C703" t="s">
        <v>15</v>
      </c>
      <c r="D703" t="s">
        <v>46</v>
      </c>
      <c r="E703" t="s">
        <v>66</v>
      </c>
      <c r="F703" t="s">
        <v>71</v>
      </c>
      <c r="G703">
        <v>3</v>
      </c>
      <c r="H703">
        <v>36.28</v>
      </c>
      <c r="I703">
        <v>10</v>
      </c>
      <c r="J703" t="s">
        <v>73</v>
      </c>
      <c r="K703" t="s">
        <v>78</v>
      </c>
      <c r="L703">
        <v>108.84</v>
      </c>
      <c r="M703">
        <v>10.884</v>
      </c>
      <c r="N703">
        <v>97.956000000000003</v>
      </c>
      <c r="O7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03" s="9" t="str">
        <f ca="1">IF(OR(ISNUMBER(Table1[[#This Row],[Order_Date]])=FALSE,Table1[[#This Row],[Order_Date]]&lt;DATE(2000,1,1),Table1[[#This Row],[Order_Date]]&gt;TODAY()),"YES","NO")</f>
        <v>NO</v>
      </c>
    </row>
    <row r="704" spans="1:16" x14ac:dyDescent="0.3">
      <c r="A704">
        <v>100699</v>
      </c>
      <c r="B704" s="8">
        <v>45321.083333333343</v>
      </c>
      <c r="C704" t="s">
        <v>15</v>
      </c>
      <c r="D704" t="s">
        <v>26</v>
      </c>
      <c r="E704" t="s">
        <v>66</v>
      </c>
      <c r="F704" t="s">
        <v>71</v>
      </c>
      <c r="G704">
        <v>5</v>
      </c>
      <c r="H704">
        <v>5.73</v>
      </c>
      <c r="I704">
        <v>15</v>
      </c>
      <c r="J704" t="s">
        <v>73</v>
      </c>
      <c r="K704" t="s">
        <v>77</v>
      </c>
      <c r="L704">
        <v>28.65</v>
      </c>
      <c r="M704">
        <v>4.2975000000000003</v>
      </c>
      <c r="N704">
        <v>24.352499999999999</v>
      </c>
      <c r="O7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4" s="9" t="str">
        <f ca="1">IF(OR(ISNUMBER(Table1[[#This Row],[Order_Date]])=FALSE,Table1[[#This Row],[Order_Date]]&lt;DATE(2000,1,1),Table1[[#This Row],[Order_Date]]&gt;TODAY()),"YES","NO")</f>
        <v>NO</v>
      </c>
    </row>
    <row r="705" spans="1:16" x14ac:dyDescent="0.3">
      <c r="A705">
        <v>100700</v>
      </c>
      <c r="B705" s="8">
        <v>45321.125</v>
      </c>
      <c r="C705" t="s">
        <v>14</v>
      </c>
      <c r="D705" t="s">
        <v>43</v>
      </c>
      <c r="E705" t="s">
        <v>70</v>
      </c>
      <c r="F705" t="s">
        <v>71</v>
      </c>
      <c r="G705">
        <v>3</v>
      </c>
      <c r="H705">
        <v>117.51</v>
      </c>
      <c r="I705">
        <v>10</v>
      </c>
      <c r="J705" t="s">
        <v>75</v>
      </c>
      <c r="K705" t="s">
        <v>77</v>
      </c>
      <c r="L705">
        <v>352.53</v>
      </c>
      <c r="M705">
        <v>35.253000000000007</v>
      </c>
      <c r="N705">
        <v>317.27699999999999</v>
      </c>
      <c r="O7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5" s="9" t="str">
        <f ca="1">IF(OR(ISNUMBER(Table1[[#This Row],[Order_Date]])=FALSE,Table1[[#This Row],[Order_Date]]&lt;DATE(2000,1,1),Table1[[#This Row],[Order_Date]]&gt;TODAY()),"YES","NO")</f>
        <v>NO</v>
      </c>
    </row>
    <row r="706" spans="1:16" x14ac:dyDescent="0.3">
      <c r="A706">
        <v>100701</v>
      </c>
      <c r="B706" s="8">
        <v>45321.166666666657</v>
      </c>
      <c r="C706" t="s">
        <v>15</v>
      </c>
      <c r="D706" t="s">
        <v>54</v>
      </c>
      <c r="E706" t="s">
        <v>66</v>
      </c>
      <c r="F706" t="s">
        <v>71</v>
      </c>
      <c r="G706">
        <v>1</v>
      </c>
      <c r="H706">
        <v>116.06</v>
      </c>
      <c r="I706">
        <v>5</v>
      </c>
      <c r="J706" t="s">
        <v>75</v>
      </c>
      <c r="K706" t="s">
        <v>77</v>
      </c>
      <c r="L706">
        <v>116.06</v>
      </c>
      <c r="M706">
        <v>5.8030000000000008</v>
      </c>
      <c r="N706">
        <v>110.25700000000001</v>
      </c>
      <c r="O7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6" s="9" t="str">
        <f ca="1">IF(OR(ISNUMBER(Table1[[#This Row],[Order_Date]])=FALSE,Table1[[#This Row],[Order_Date]]&lt;DATE(2000,1,1),Table1[[#This Row],[Order_Date]]&gt;TODAY()),"YES","NO")</f>
        <v>NO</v>
      </c>
    </row>
    <row r="707" spans="1:16" x14ac:dyDescent="0.3">
      <c r="A707">
        <v>100702</v>
      </c>
      <c r="B707" s="8">
        <v>45321.208333333343</v>
      </c>
      <c r="C707" t="s">
        <v>15</v>
      </c>
      <c r="D707" t="s">
        <v>44</v>
      </c>
      <c r="E707" t="s">
        <v>70</v>
      </c>
      <c r="F707" t="s">
        <v>71</v>
      </c>
      <c r="G707">
        <v>1</v>
      </c>
      <c r="H707">
        <v>50.44</v>
      </c>
      <c r="I707">
        <v>15</v>
      </c>
      <c r="J707" t="s">
        <v>75</v>
      </c>
      <c r="K707" t="s">
        <v>77</v>
      </c>
      <c r="L707">
        <v>50.44</v>
      </c>
      <c r="M707">
        <v>7.5659999999999989</v>
      </c>
      <c r="N707">
        <v>42.874000000000002</v>
      </c>
      <c r="O7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7" s="9" t="str">
        <f ca="1">IF(OR(ISNUMBER(Table1[[#This Row],[Order_Date]])=FALSE,Table1[[#This Row],[Order_Date]]&lt;DATE(2000,1,1),Table1[[#This Row],[Order_Date]]&gt;TODAY()),"YES","NO")</f>
        <v>NO</v>
      </c>
    </row>
    <row r="708" spans="1:16" x14ac:dyDescent="0.3">
      <c r="A708">
        <v>100703</v>
      </c>
      <c r="B708" s="8">
        <v>45321.25</v>
      </c>
      <c r="C708" t="s">
        <v>14</v>
      </c>
      <c r="D708" t="s">
        <v>57</v>
      </c>
      <c r="E708" t="s">
        <v>69</v>
      </c>
      <c r="F708" t="s">
        <v>72</v>
      </c>
      <c r="G708">
        <v>1</v>
      </c>
      <c r="H708">
        <v>88.76</v>
      </c>
      <c r="I708">
        <v>0</v>
      </c>
      <c r="J708" t="s">
        <v>75</v>
      </c>
      <c r="K708" t="s">
        <v>79</v>
      </c>
      <c r="L708">
        <v>88.76</v>
      </c>
      <c r="M708">
        <v>0</v>
      </c>
      <c r="N708">
        <v>88.76</v>
      </c>
      <c r="O7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08" s="9" t="str">
        <f ca="1">IF(OR(ISNUMBER(Table1[[#This Row],[Order_Date]])=FALSE,Table1[[#This Row],[Order_Date]]&lt;DATE(2000,1,1),Table1[[#This Row],[Order_Date]]&gt;TODAY()),"YES","NO")</f>
        <v>NO</v>
      </c>
    </row>
    <row r="709" spans="1:16" x14ac:dyDescent="0.3">
      <c r="A709">
        <v>100704</v>
      </c>
      <c r="B709" s="8">
        <v>45321.291666666657</v>
      </c>
      <c r="C709" t="s">
        <v>15</v>
      </c>
      <c r="D709" t="s">
        <v>35</v>
      </c>
      <c r="E709" t="s">
        <v>67</v>
      </c>
      <c r="F709" t="s">
        <v>72</v>
      </c>
      <c r="G709">
        <v>3</v>
      </c>
      <c r="H709">
        <v>44.77</v>
      </c>
      <c r="I709">
        <v>5</v>
      </c>
      <c r="J709" t="s">
        <v>73</v>
      </c>
      <c r="K709" t="s">
        <v>77</v>
      </c>
      <c r="L709">
        <v>134.31</v>
      </c>
      <c r="M709">
        <v>6.7154999999999996</v>
      </c>
      <c r="N709">
        <v>127.5945</v>
      </c>
      <c r="O7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09" s="9" t="str">
        <f ca="1">IF(OR(ISNUMBER(Table1[[#This Row],[Order_Date]])=FALSE,Table1[[#This Row],[Order_Date]]&lt;DATE(2000,1,1),Table1[[#This Row],[Order_Date]]&gt;TODAY()),"YES","NO")</f>
        <v>NO</v>
      </c>
    </row>
    <row r="710" spans="1:16" x14ac:dyDescent="0.3">
      <c r="A710">
        <v>100705</v>
      </c>
      <c r="B710" s="8">
        <v>45321.333333333343</v>
      </c>
      <c r="C710" t="s">
        <v>14</v>
      </c>
      <c r="D710" t="s">
        <v>65</v>
      </c>
      <c r="E710" t="s">
        <v>69</v>
      </c>
      <c r="F710" t="s">
        <v>71</v>
      </c>
      <c r="G710">
        <v>5</v>
      </c>
      <c r="H710">
        <v>82.18</v>
      </c>
      <c r="I710">
        <v>0</v>
      </c>
      <c r="J710" t="s">
        <v>76</v>
      </c>
      <c r="K710" t="s">
        <v>77</v>
      </c>
      <c r="L710">
        <v>410.9</v>
      </c>
      <c r="M710">
        <v>0</v>
      </c>
      <c r="N710">
        <v>410.9</v>
      </c>
      <c r="O7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0" s="9" t="str">
        <f ca="1">IF(OR(ISNUMBER(Table1[[#This Row],[Order_Date]])=FALSE,Table1[[#This Row],[Order_Date]]&lt;DATE(2000,1,1),Table1[[#This Row],[Order_Date]]&gt;TODAY()),"YES","NO")</f>
        <v>NO</v>
      </c>
    </row>
    <row r="711" spans="1:16" x14ac:dyDescent="0.3">
      <c r="A711">
        <v>100706</v>
      </c>
      <c r="B711" s="8">
        <v>45321.375</v>
      </c>
      <c r="C711" t="s">
        <v>14</v>
      </c>
      <c r="D711" t="s">
        <v>32</v>
      </c>
      <c r="E711" t="s">
        <v>66</v>
      </c>
      <c r="F711" t="s">
        <v>72</v>
      </c>
      <c r="G711">
        <v>1</v>
      </c>
      <c r="H711">
        <v>97.62</v>
      </c>
      <c r="I711">
        <v>10</v>
      </c>
      <c r="J711" t="s">
        <v>75</v>
      </c>
      <c r="K711" t="s">
        <v>77</v>
      </c>
      <c r="L711">
        <v>97.62</v>
      </c>
      <c r="M711">
        <v>9.7620000000000005</v>
      </c>
      <c r="N711">
        <v>87.858000000000004</v>
      </c>
      <c r="O7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1" s="9" t="str">
        <f ca="1">IF(OR(ISNUMBER(Table1[[#This Row],[Order_Date]])=FALSE,Table1[[#This Row],[Order_Date]]&lt;DATE(2000,1,1),Table1[[#This Row],[Order_Date]]&gt;TODAY()),"YES","NO")</f>
        <v>NO</v>
      </c>
    </row>
    <row r="712" spans="1:16" x14ac:dyDescent="0.3">
      <c r="A712">
        <v>100707</v>
      </c>
      <c r="B712" s="8">
        <v>45321.416666666657</v>
      </c>
      <c r="C712" t="s">
        <v>15</v>
      </c>
      <c r="D712" t="s">
        <v>35</v>
      </c>
      <c r="E712" t="s">
        <v>69</v>
      </c>
      <c r="F712" t="s">
        <v>71</v>
      </c>
      <c r="G712">
        <v>5</v>
      </c>
      <c r="H712">
        <v>113.88</v>
      </c>
      <c r="I712">
        <v>10</v>
      </c>
      <c r="J712" t="s">
        <v>76</v>
      </c>
      <c r="K712" t="s">
        <v>77</v>
      </c>
      <c r="L712">
        <v>569.4</v>
      </c>
      <c r="M712">
        <v>56.94</v>
      </c>
      <c r="N712">
        <v>512.46</v>
      </c>
      <c r="O7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2" s="9" t="str">
        <f ca="1">IF(OR(ISNUMBER(Table1[[#This Row],[Order_Date]])=FALSE,Table1[[#This Row],[Order_Date]]&lt;DATE(2000,1,1),Table1[[#This Row],[Order_Date]]&gt;TODAY()),"YES","NO")</f>
        <v>NO</v>
      </c>
    </row>
    <row r="713" spans="1:16" x14ac:dyDescent="0.3">
      <c r="A713">
        <v>100708</v>
      </c>
      <c r="B713" s="8">
        <v>45321.458333333343</v>
      </c>
      <c r="C713" t="s">
        <v>15</v>
      </c>
      <c r="D713" t="s">
        <v>16</v>
      </c>
      <c r="E713" t="s">
        <v>69</v>
      </c>
      <c r="F713" t="s">
        <v>72</v>
      </c>
      <c r="G713">
        <v>3</v>
      </c>
      <c r="H713">
        <v>51.02</v>
      </c>
      <c r="I713">
        <v>0</v>
      </c>
      <c r="J713" t="s">
        <v>75</v>
      </c>
      <c r="K713" t="s">
        <v>79</v>
      </c>
      <c r="L713">
        <v>153.06</v>
      </c>
      <c r="M713">
        <v>0</v>
      </c>
      <c r="N713">
        <v>153.06</v>
      </c>
      <c r="O7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13" s="9" t="str">
        <f ca="1">IF(OR(ISNUMBER(Table1[[#This Row],[Order_Date]])=FALSE,Table1[[#This Row],[Order_Date]]&lt;DATE(2000,1,1),Table1[[#This Row],[Order_Date]]&gt;TODAY()),"YES","NO")</f>
        <v>NO</v>
      </c>
    </row>
    <row r="714" spans="1:16" x14ac:dyDescent="0.3">
      <c r="A714">
        <v>100709</v>
      </c>
      <c r="B714" s="8">
        <v>45321.5</v>
      </c>
      <c r="C714" t="s">
        <v>15</v>
      </c>
      <c r="D714" t="s">
        <v>41</v>
      </c>
      <c r="E714" t="s">
        <v>69</v>
      </c>
      <c r="F714" t="s">
        <v>72</v>
      </c>
      <c r="G714">
        <v>5</v>
      </c>
      <c r="H714">
        <v>95.08</v>
      </c>
      <c r="I714">
        <v>0</v>
      </c>
      <c r="J714" t="s">
        <v>74</v>
      </c>
      <c r="K714" t="s">
        <v>77</v>
      </c>
      <c r="L714">
        <v>475.4</v>
      </c>
      <c r="M714">
        <v>0</v>
      </c>
      <c r="N714">
        <v>475.4</v>
      </c>
      <c r="O7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4" s="9" t="str">
        <f ca="1">IF(OR(ISNUMBER(Table1[[#This Row],[Order_Date]])=FALSE,Table1[[#This Row],[Order_Date]]&lt;DATE(2000,1,1),Table1[[#This Row],[Order_Date]]&gt;TODAY()),"YES","NO")</f>
        <v>NO</v>
      </c>
    </row>
    <row r="715" spans="1:16" x14ac:dyDescent="0.3">
      <c r="A715">
        <v>100710</v>
      </c>
      <c r="B715" s="8">
        <v>45321.541666666657</v>
      </c>
      <c r="C715" t="s">
        <v>15</v>
      </c>
      <c r="D715" t="s">
        <v>40</v>
      </c>
      <c r="E715" t="s">
        <v>66</v>
      </c>
      <c r="F715" t="s">
        <v>71</v>
      </c>
      <c r="G715">
        <v>3</v>
      </c>
      <c r="H715">
        <v>35.58</v>
      </c>
      <c r="I715">
        <v>5</v>
      </c>
      <c r="J715" t="s">
        <v>75</v>
      </c>
      <c r="K715" t="s">
        <v>77</v>
      </c>
      <c r="L715">
        <v>106.74</v>
      </c>
      <c r="M715">
        <v>5.3369999999999997</v>
      </c>
      <c r="N715">
        <v>101.40300000000001</v>
      </c>
      <c r="O7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5" s="9" t="str">
        <f ca="1">IF(OR(ISNUMBER(Table1[[#This Row],[Order_Date]])=FALSE,Table1[[#This Row],[Order_Date]]&lt;DATE(2000,1,1),Table1[[#This Row],[Order_Date]]&gt;TODAY()),"YES","NO")</f>
        <v>NO</v>
      </c>
    </row>
    <row r="716" spans="1:16" x14ac:dyDescent="0.3">
      <c r="A716">
        <v>100711</v>
      </c>
      <c r="B716" s="8">
        <v>45321.583333333343</v>
      </c>
      <c r="C716" t="s">
        <v>14</v>
      </c>
      <c r="D716" t="s">
        <v>21</v>
      </c>
      <c r="E716" t="s">
        <v>69</v>
      </c>
      <c r="F716" t="s">
        <v>71</v>
      </c>
      <c r="G716">
        <v>3</v>
      </c>
      <c r="H716">
        <v>118.89</v>
      </c>
      <c r="I716">
        <v>0</v>
      </c>
      <c r="J716" t="s">
        <v>75</v>
      </c>
      <c r="K716" t="s">
        <v>77</v>
      </c>
      <c r="L716">
        <v>356.67</v>
      </c>
      <c r="M716">
        <v>0</v>
      </c>
      <c r="N716">
        <v>356.67</v>
      </c>
      <c r="O7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6" s="9" t="str">
        <f ca="1">IF(OR(ISNUMBER(Table1[[#This Row],[Order_Date]])=FALSE,Table1[[#This Row],[Order_Date]]&lt;DATE(2000,1,1),Table1[[#This Row],[Order_Date]]&gt;TODAY()),"YES","NO")</f>
        <v>NO</v>
      </c>
    </row>
    <row r="717" spans="1:16" x14ac:dyDescent="0.3">
      <c r="A717">
        <v>100712</v>
      </c>
      <c r="B717" s="8">
        <v>45321.625</v>
      </c>
      <c r="C717" t="s">
        <v>15</v>
      </c>
      <c r="D717" t="s">
        <v>24</v>
      </c>
      <c r="E717" t="s">
        <v>70</v>
      </c>
      <c r="F717" t="s">
        <v>71</v>
      </c>
      <c r="G717">
        <v>4</v>
      </c>
      <c r="H717">
        <v>7.96</v>
      </c>
      <c r="I717">
        <v>15</v>
      </c>
      <c r="J717" t="s">
        <v>75</v>
      </c>
      <c r="K717" t="s">
        <v>77</v>
      </c>
      <c r="L717">
        <v>31.84</v>
      </c>
      <c r="M717">
        <v>4.7759999999999998</v>
      </c>
      <c r="N717">
        <v>27.064</v>
      </c>
      <c r="O7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7" s="9" t="str">
        <f ca="1">IF(OR(ISNUMBER(Table1[[#This Row],[Order_Date]])=FALSE,Table1[[#This Row],[Order_Date]]&lt;DATE(2000,1,1),Table1[[#This Row],[Order_Date]]&gt;TODAY()),"YES","NO")</f>
        <v>NO</v>
      </c>
    </row>
    <row r="718" spans="1:16" x14ac:dyDescent="0.3">
      <c r="A718">
        <v>100713</v>
      </c>
      <c r="B718" s="8">
        <v>45321.666666666657</v>
      </c>
      <c r="C718" t="s">
        <v>14</v>
      </c>
      <c r="D718" t="s">
        <v>31</v>
      </c>
      <c r="E718" t="s">
        <v>66</v>
      </c>
      <c r="F718" t="s">
        <v>72</v>
      </c>
      <c r="G718">
        <v>3</v>
      </c>
      <c r="H718">
        <v>74.41</v>
      </c>
      <c r="I718">
        <v>15</v>
      </c>
      <c r="J718" t="s">
        <v>73</v>
      </c>
      <c r="K718" t="s">
        <v>77</v>
      </c>
      <c r="L718">
        <v>223.23</v>
      </c>
      <c r="M718">
        <v>33.484499999999997</v>
      </c>
      <c r="N718">
        <v>189.74549999999999</v>
      </c>
      <c r="O7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8" s="9" t="str">
        <f ca="1">IF(OR(ISNUMBER(Table1[[#This Row],[Order_Date]])=FALSE,Table1[[#This Row],[Order_Date]]&lt;DATE(2000,1,1),Table1[[#This Row],[Order_Date]]&gt;TODAY()),"YES","NO")</f>
        <v>NO</v>
      </c>
    </row>
    <row r="719" spans="1:16" x14ac:dyDescent="0.3">
      <c r="A719">
        <v>100714</v>
      </c>
      <c r="B719" s="8">
        <v>45321.708333333343</v>
      </c>
      <c r="C719" t="s">
        <v>15</v>
      </c>
      <c r="D719" t="s">
        <v>62</v>
      </c>
      <c r="E719" t="s">
        <v>69</v>
      </c>
      <c r="F719" t="s">
        <v>71</v>
      </c>
      <c r="G719">
        <v>3</v>
      </c>
      <c r="H719">
        <v>80.84</v>
      </c>
      <c r="I719">
        <v>0</v>
      </c>
      <c r="J719" t="s">
        <v>74</v>
      </c>
      <c r="K719" t="s">
        <v>77</v>
      </c>
      <c r="L719">
        <v>242.52</v>
      </c>
      <c r="M719">
        <v>0</v>
      </c>
      <c r="N719">
        <v>242.52</v>
      </c>
      <c r="O7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19" s="9" t="str">
        <f ca="1">IF(OR(ISNUMBER(Table1[[#This Row],[Order_Date]])=FALSE,Table1[[#This Row],[Order_Date]]&lt;DATE(2000,1,1),Table1[[#This Row],[Order_Date]]&gt;TODAY()),"YES","NO")</f>
        <v>NO</v>
      </c>
    </row>
    <row r="720" spans="1:16" x14ac:dyDescent="0.3">
      <c r="A720">
        <v>100715</v>
      </c>
      <c r="B720" s="8">
        <v>45321.75</v>
      </c>
      <c r="C720" t="s">
        <v>15</v>
      </c>
      <c r="D720" t="s">
        <v>36</v>
      </c>
      <c r="E720" t="s">
        <v>66</v>
      </c>
      <c r="F720" t="s">
        <v>72</v>
      </c>
      <c r="G720">
        <v>2</v>
      </c>
      <c r="H720">
        <v>84.13</v>
      </c>
      <c r="I720">
        <v>15</v>
      </c>
      <c r="J720" t="s">
        <v>75</v>
      </c>
      <c r="K720" t="s">
        <v>77</v>
      </c>
      <c r="L720">
        <v>168.26</v>
      </c>
      <c r="M720">
        <v>25.239000000000001</v>
      </c>
      <c r="N720">
        <v>143.02099999999999</v>
      </c>
      <c r="O7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0" s="9" t="str">
        <f ca="1">IF(OR(ISNUMBER(Table1[[#This Row],[Order_Date]])=FALSE,Table1[[#This Row],[Order_Date]]&lt;DATE(2000,1,1),Table1[[#This Row],[Order_Date]]&gt;TODAY()),"YES","NO")</f>
        <v>NO</v>
      </c>
    </row>
    <row r="721" spans="1:16" x14ac:dyDescent="0.3">
      <c r="A721">
        <v>100716</v>
      </c>
      <c r="B721" s="8">
        <v>45321.791666666657</v>
      </c>
      <c r="C721" t="s">
        <v>15</v>
      </c>
      <c r="D721" t="s">
        <v>64</v>
      </c>
      <c r="E721" t="s">
        <v>68</v>
      </c>
      <c r="F721" t="s">
        <v>71</v>
      </c>
      <c r="G721">
        <v>1</v>
      </c>
      <c r="H721">
        <v>18.84</v>
      </c>
      <c r="I721">
        <v>0</v>
      </c>
      <c r="J721" t="s">
        <v>75</v>
      </c>
      <c r="K721" t="s">
        <v>78</v>
      </c>
      <c r="L721">
        <v>18.84</v>
      </c>
      <c r="M721">
        <v>0</v>
      </c>
      <c r="N721">
        <v>18.84</v>
      </c>
      <c r="O7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21" s="9" t="str">
        <f ca="1">IF(OR(ISNUMBER(Table1[[#This Row],[Order_Date]])=FALSE,Table1[[#This Row],[Order_Date]]&lt;DATE(2000,1,1),Table1[[#This Row],[Order_Date]]&gt;TODAY()),"YES","NO")</f>
        <v>NO</v>
      </c>
    </row>
    <row r="722" spans="1:16" x14ac:dyDescent="0.3">
      <c r="A722">
        <v>100717</v>
      </c>
      <c r="B722" s="8">
        <v>45321.833333333343</v>
      </c>
      <c r="C722" t="s">
        <v>14</v>
      </c>
      <c r="D722" t="s">
        <v>41</v>
      </c>
      <c r="E722" t="s">
        <v>70</v>
      </c>
      <c r="F722" t="s">
        <v>72</v>
      </c>
      <c r="G722">
        <v>4</v>
      </c>
      <c r="H722">
        <v>112.93</v>
      </c>
      <c r="I722">
        <v>5</v>
      </c>
      <c r="J722" t="s">
        <v>76</v>
      </c>
      <c r="K722" t="s">
        <v>77</v>
      </c>
      <c r="L722">
        <v>451.72</v>
      </c>
      <c r="M722">
        <v>22.585999999999999</v>
      </c>
      <c r="N722">
        <v>429.13400000000001</v>
      </c>
      <c r="O7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2" s="9" t="str">
        <f ca="1">IF(OR(ISNUMBER(Table1[[#This Row],[Order_Date]])=FALSE,Table1[[#This Row],[Order_Date]]&lt;DATE(2000,1,1),Table1[[#This Row],[Order_Date]]&gt;TODAY()),"YES","NO")</f>
        <v>NO</v>
      </c>
    </row>
    <row r="723" spans="1:16" x14ac:dyDescent="0.3">
      <c r="A723">
        <v>100718</v>
      </c>
      <c r="B723" s="8">
        <v>45321.875</v>
      </c>
      <c r="C723" t="s">
        <v>15</v>
      </c>
      <c r="D723" t="s">
        <v>23</v>
      </c>
      <c r="E723" t="s">
        <v>69</v>
      </c>
      <c r="F723" t="s">
        <v>72</v>
      </c>
      <c r="G723">
        <v>4</v>
      </c>
      <c r="H723">
        <v>25.84</v>
      </c>
      <c r="I723">
        <v>15</v>
      </c>
      <c r="J723" t="s">
        <v>74</v>
      </c>
      <c r="K723" t="s">
        <v>77</v>
      </c>
      <c r="L723">
        <v>103.36</v>
      </c>
      <c r="M723">
        <v>15.504</v>
      </c>
      <c r="N723">
        <v>87.855999999999995</v>
      </c>
      <c r="O7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3" s="9" t="str">
        <f ca="1">IF(OR(ISNUMBER(Table1[[#This Row],[Order_Date]])=FALSE,Table1[[#This Row],[Order_Date]]&lt;DATE(2000,1,1),Table1[[#This Row],[Order_Date]]&gt;TODAY()),"YES","NO")</f>
        <v>NO</v>
      </c>
    </row>
    <row r="724" spans="1:16" x14ac:dyDescent="0.3">
      <c r="A724">
        <v>100719</v>
      </c>
      <c r="B724" s="8">
        <v>45321.916666666657</v>
      </c>
      <c r="C724" t="s">
        <v>15</v>
      </c>
      <c r="D724" t="s">
        <v>40</v>
      </c>
      <c r="E724" t="s">
        <v>68</v>
      </c>
      <c r="F724" t="s">
        <v>71</v>
      </c>
      <c r="G724">
        <v>4</v>
      </c>
      <c r="H724">
        <v>76.62</v>
      </c>
      <c r="I724">
        <v>15</v>
      </c>
      <c r="J724" t="s">
        <v>75</v>
      </c>
      <c r="K724" t="s">
        <v>77</v>
      </c>
      <c r="L724">
        <v>306.48</v>
      </c>
      <c r="M724">
        <v>45.972000000000001</v>
      </c>
      <c r="N724">
        <v>260.50799999999998</v>
      </c>
      <c r="O7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4" s="9" t="str">
        <f ca="1">IF(OR(ISNUMBER(Table1[[#This Row],[Order_Date]])=FALSE,Table1[[#This Row],[Order_Date]]&lt;DATE(2000,1,1),Table1[[#This Row],[Order_Date]]&gt;TODAY()),"YES","NO")</f>
        <v>NO</v>
      </c>
    </row>
    <row r="725" spans="1:16" x14ac:dyDescent="0.3">
      <c r="A725">
        <v>100720</v>
      </c>
      <c r="B725" s="8">
        <v>45321.958333333343</v>
      </c>
      <c r="C725" t="s">
        <v>15</v>
      </c>
      <c r="D725" t="s">
        <v>39</v>
      </c>
      <c r="E725" t="s">
        <v>68</v>
      </c>
      <c r="F725" t="s">
        <v>72</v>
      </c>
      <c r="G725">
        <v>2</v>
      </c>
      <c r="H725">
        <v>30.61</v>
      </c>
      <c r="I725">
        <v>0</v>
      </c>
      <c r="J725" t="s">
        <v>76</v>
      </c>
      <c r="K725" t="s">
        <v>79</v>
      </c>
      <c r="L725">
        <v>61.22</v>
      </c>
      <c r="M725">
        <v>0</v>
      </c>
      <c r="N725">
        <v>61.22</v>
      </c>
      <c r="O7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25" s="9" t="str">
        <f ca="1">IF(OR(ISNUMBER(Table1[[#This Row],[Order_Date]])=FALSE,Table1[[#This Row],[Order_Date]]&lt;DATE(2000,1,1),Table1[[#This Row],[Order_Date]]&gt;TODAY()),"YES","NO")</f>
        <v>NO</v>
      </c>
    </row>
    <row r="726" spans="1:16" x14ac:dyDescent="0.3">
      <c r="A726">
        <v>100721</v>
      </c>
      <c r="B726" s="8">
        <v>45322</v>
      </c>
      <c r="C726" t="s">
        <v>15</v>
      </c>
      <c r="D726" t="s">
        <v>54</v>
      </c>
      <c r="E726" t="s">
        <v>66</v>
      </c>
      <c r="F726" t="s">
        <v>72</v>
      </c>
      <c r="G726">
        <v>3</v>
      </c>
      <c r="H726">
        <v>40.33</v>
      </c>
      <c r="I726">
        <v>15</v>
      </c>
      <c r="J726" t="s">
        <v>76</v>
      </c>
      <c r="K726" t="s">
        <v>77</v>
      </c>
      <c r="L726">
        <v>120.99</v>
      </c>
      <c r="M726">
        <v>18.148499999999999</v>
      </c>
      <c r="N726">
        <v>102.8415</v>
      </c>
      <c r="O7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6" s="9" t="str">
        <f ca="1">IF(OR(ISNUMBER(Table1[[#This Row],[Order_Date]])=FALSE,Table1[[#This Row],[Order_Date]]&lt;DATE(2000,1,1),Table1[[#This Row],[Order_Date]]&gt;TODAY()),"YES","NO")</f>
        <v>NO</v>
      </c>
    </row>
    <row r="727" spans="1:16" x14ac:dyDescent="0.3">
      <c r="A727">
        <v>100722</v>
      </c>
      <c r="B727" s="8">
        <v>45322.041666666657</v>
      </c>
      <c r="C727" t="s">
        <v>14</v>
      </c>
      <c r="D727" t="s">
        <v>39</v>
      </c>
      <c r="E727" t="s">
        <v>68</v>
      </c>
      <c r="F727" t="s">
        <v>71</v>
      </c>
      <c r="G727">
        <v>1</v>
      </c>
      <c r="H727">
        <v>67.84</v>
      </c>
      <c r="I727">
        <v>10</v>
      </c>
      <c r="J727" t="s">
        <v>73</v>
      </c>
      <c r="K727" t="s">
        <v>77</v>
      </c>
      <c r="L727">
        <v>67.84</v>
      </c>
      <c r="M727">
        <v>6.7840000000000007</v>
      </c>
      <c r="N727">
        <v>61.055999999999997</v>
      </c>
      <c r="O7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7" s="9" t="str">
        <f ca="1">IF(OR(ISNUMBER(Table1[[#This Row],[Order_Date]])=FALSE,Table1[[#This Row],[Order_Date]]&lt;DATE(2000,1,1),Table1[[#This Row],[Order_Date]]&gt;TODAY()),"YES","NO")</f>
        <v>NO</v>
      </c>
    </row>
    <row r="728" spans="1:16" x14ac:dyDescent="0.3">
      <c r="A728">
        <v>100723</v>
      </c>
      <c r="B728" s="8">
        <v>45322.083333333343</v>
      </c>
      <c r="C728" t="s">
        <v>15</v>
      </c>
      <c r="D728" t="s">
        <v>64</v>
      </c>
      <c r="E728" t="s">
        <v>70</v>
      </c>
      <c r="F728" t="s">
        <v>72</v>
      </c>
      <c r="G728">
        <v>5</v>
      </c>
      <c r="H728">
        <v>52.98</v>
      </c>
      <c r="I728">
        <v>5</v>
      </c>
      <c r="J728" t="s">
        <v>76</v>
      </c>
      <c r="K728" t="s">
        <v>77</v>
      </c>
      <c r="L728">
        <v>264.89999999999998</v>
      </c>
      <c r="M728">
        <v>13.244999999999999</v>
      </c>
      <c r="N728">
        <v>251.655</v>
      </c>
      <c r="O7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8" s="9" t="str">
        <f ca="1">IF(OR(ISNUMBER(Table1[[#This Row],[Order_Date]])=FALSE,Table1[[#This Row],[Order_Date]]&lt;DATE(2000,1,1),Table1[[#This Row],[Order_Date]]&gt;TODAY()),"YES","NO")</f>
        <v>NO</v>
      </c>
    </row>
    <row r="729" spans="1:16" x14ac:dyDescent="0.3">
      <c r="A729">
        <v>100724</v>
      </c>
      <c r="B729" s="8">
        <v>45322.125</v>
      </c>
      <c r="C729" t="s">
        <v>14</v>
      </c>
      <c r="D729" t="s">
        <v>38</v>
      </c>
      <c r="E729" t="s">
        <v>70</v>
      </c>
      <c r="F729" t="s">
        <v>71</v>
      </c>
      <c r="G729">
        <v>3</v>
      </c>
      <c r="H729">
        <v>23.43</v>
      </c>
      <c r="I729">
        <v>5</v>
      </c>
      <c r="J729" t="s">
        <v>75</v>
      </c>
      <c r="K729" t="s">
        <v>77</v>
      </c>
      <c r="L729">
        <v>70.289999999999992</v>
      </c>
      <c r="M729">
        <v>3.5145</v>
      </c>
      <c r="N729">
        <v>66.775499999999994</v>
      </c>
      <c r="O7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29" s="9" t="str">
        <f ca="1">IF(OR(ISNUMBER(Table1[[#This Row],[Order_Date]])=FALSE,Table1[[#This Row],[Order_Date]]&lt;DATE(2000,1,1),Table1[[#This Row],[Order_Date]]&gt;TODAY()),"YES","NO")</f>
        <v>NO</v>
      </c>
    </row>
    <row r="730" spans="1:16" x14ac:dyDescent="0.3">
      <c r="A730">
        <v>100725</v>
      </c>
      <c r="B730" s="8">
        <v>45322.166666666657</v>
      </c>
      <c r="C730" t="s">
        <v>14</v>
      </c>
      <c r="D730" t="s">
        <v>56</v>
      </c>
      <c r="E730" t="s">
        <v>67</v>
      </c>
      <c r="F730" t="s">
        <v>71</v>
      </c>
      <c r="G730">
        <v>2</v>
      </c>
      <c r="H730">
        <v>24.66</v>
      </c>
      <c r="I730">
        <v>15</v>
      </c>
      <c r="J730" t="s">
        <v>73</v>
      </c>
      <c r="K730" t="s">
        <v>77</v>
      </c>
      <c r="L730">
        <v>49.32</v>
      </c>
      <c r="M730">
        <v>7.3979999999999997</v>
      </c>
      <c r="N730">
        <v>41.921999999999997</v>
      </c>
      <c r="O7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0" s="9" t="str">
        <f ca="1">IF(OR(ISNUMBER(Table1[[#This Row],[Order_Date]])=FALSE,Table1[[#This Row],[Order_Date]]&lt;DATE(2000,1,1),Table1[[#This Row],[Order_Date]]&gt;TODAY()),"YES","NO")</f>
        <v>NO</v>
      </c>
    </row>
    <row r="731" spans="1:16" x14ac:dyDescent="0.3">
      <c r="A731">
        <v>100726</v>
      </c>
      <c r="B731" s="8">
        <v>45322.208333333343</v>
      </c>
      <c r="C731" t="s">
        <v>14</v>
      </c>
      <c r="D731" t="s">
        <v>54</v>
      </c>
      <c r="E731" t="s">
        <v>70</v>
      </c>
      <c r="F731" t="s">
        <v>71</v>
      </c>
      <c r="G731">
        <v>3</v>
      </c>
      <c r="H731">
        <v>53.09</v>
      </c>
      <c r="I731">
        <v>15</v>
      </c>
      <c r="J731" t="s">
        <v>73</v>
      </c>
      <c r="K731" t="s">
        <v>77</v>
      </c>
      <c r="L731">
        <v>159.27000000000001</v>
      </c>
      <c r="M731">
        <v>23.890499999999999</v>
      </c>
      <c r="N731">
        <v>135.37950000000001</v>
      </c>
      <c r="O7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1" s="9" t="str">
        <f ca="1">IF(OR(ISNUMBER(Table1[[#This Row],[Order_Date]])=FALSE,Table1[[#This Row],[Order_Date]]&lt;DATE(2000,1,1),Table1[[#This Row],[Order_Date]]&gt;TODAY()),"YES","NO")</f>
        <v>NO</v>
      </c>
    </row>
    <row r="732" spans="1:16" x14ac:dyDescent="0.3">
      <c r="A732">
        <v>100727</v>
      </c>
      <c r="B732" s="8">
        <v>45322.25</v>
      </c>
      <c r="C732" t="s">
        <v>14</v>
      </c>
      <c r="D732" t="s">
        <v>25</v>
      </c>
      <c r="E732" t="s">
        <v>68</v>
      </c>
      <c r="F732" t="s">
        <v>71</v>
      </c>
      <c r="G732">
        <v>3</v>
      </c>
      <c r="H732">
        <v>92.09</v>
      </c>
      <c r="I732">
        <v>10</v>
      </c>
      <c r="J732" t="s">
        <v>75</v>
      </c>
      <c r="K732" t="s">
        <v>77</v>
      </c>
      <c r="L732">
        <v>276.27</v>
      </c>
      <c r="M732">
        <v>27.626999999999999</v>
      </c>
      <c r="N732">
        <v>248.643</v>
      </c>
      <c r="O7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2" s="9" t="str">
        <f ca="1">IF(OR(ISNUMBER(Table1[[#This Row],[Order_Date]])=FALSE,Table1[[#This Row],[Order_Date]]&lt;DATE(2000,1,1),Table1[[#This Row],[Order_Date]]&gt;TODAY()),"YES","NO")</f>
        <v>NO</v>
      </c>
    </row>
    <row r="733" spans="1:16" x14ac:dyDescent="0.3">
      <c r="A733">
        <v>100728</v>
      </c>
      <c r="B733" s="8">
        <v>45322.291666666657</v>
      </c>
      <c r="C733" t="s">
        <v>14</v>
      </c>
      <c r="D733" t="s">
        <v>44</v>
      </c>
      <c r="E733" t="s">
        <v>70</v>
      </c>
      <c r="F733" t="s">
        <v>72</v>
      </c>
      <c r="G733">
        <v>2</v>
      </c>
      <c r="H733">
        <v>108.27</v>
      </c>
      <c r="I733">
        <v>10</v>
      </c>
      <c r="J733" t="s">
        <v>74</v>
      </c>
      <c r="K733" t="s">
        <v>77</v>
      </c>
      <c r="L733">
        <v>216.54</v>
      </c>
      <c r="M733">
        <v>21.654</v>
      </c>
      <c r="N733">
        <v>194.886</v>
      </c>
      <c r="O7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3" s="9" t="str">
        <f ca="1">IF(OR(ISNUMBER(Table1[[#This Row],[Order_Date]])=FALSE,Table1[[#This Row],[Order_Date]]&lt;DATE(2000,1,1),Table1[[#This Row],[Order_Date]]&gt;TODAY()),"YES","NO")</f>
        <v>NO</v>
      </c>
    </row>
    <row r="734" spans="1:16" x14ac:dyDescent="0.3">
      <c r="A734">
        <v>100729</v>
      </c>
      <c r="B734" s="8">
        <v>45322.333333333343</v>
      </c>
      <c r="C734" t="s">
        <v>14</v>
      </c>
      <c r="D734" t="s">
        <v>29</v>
      </c>
      <c r="E734" t="s">
        <v>66</v>
      </c>
      <c r="F734" t="s">
        <v>72</v>
      </c>
      <c r="G734">
        <v>4</v>
      </c>
      <c r="H734">
        <v>14.67</v>
      </c>
      <c r="I734">
        <v>15</v>
      </c>
      <c r="J734" t="s">
        <v>76</v>
      </c>
      <c r="K734" t="s">
        <v>77</v>
      </c>
      <c r="L734">
        <v>58.68</v>
      </c>
      <c r="M734">
        <v>8.8019999999999996</v>
      </c>
      <c r="N734">
        <v>49.878</v>
      </c>
      <c r="O7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4" s="9" t="str">
        <f ca="1">IF(OR(ISNUMBER(Table1[[#This Row],[Order_Date]])=FALSE,Table1[[#This Row],[Order_Date]]&lt;DATE(2000,1,1),Table1[[#This Row],[Order_Date]]&gt;TODAY()),"YES","NO")</f>
        <v>NO</v>
      </c>
    </row>
    <row r="735" spans="1:16" x14ac:dyDescent="0.3">
      <c r="A735">
        <v>100730</v>
      </c>
      <c r="B735" s="8">
        <v>45322.375</v>
      </c>
      <c r="C735" t="s">
        <v>15</v>
      </c>
      <c r="D735" t="s">
        <v>60</v>
      </c>
      <c r="E735" t="s">
        <v>67</v>
      </c>
      <c r="F735" t="s">
        <v>72</v>
      </c>
      <c r="G735">
        <v>4</v>
      </c>
      <c r="H735">
        <v>50.21</v>
      </c>
      <c r="I735">
        <v>15</v>
      </c>
      <c r="J735" t="s">
        <v>73</v>
      </c>
      <c r="K735" t="s">
        <v>78</v>
      </c>
      <c r="L735">
        <v>200.84</v>
      </c>
      <c r="M735">
        <v>30.126000000000001</v>
      </c>
      <c r="N735">
        <v>170.714</v>
      </c>
      <c r="O7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35" s="9" t="str">
        <f ca="1">IF(OR(ISNUMBER(Table1[[#This Row],[Order_Date]])=FALSE,Table1[[#This Row],[Order_Date]]&lt;DATE(2000,1,1),Table1[[#This Row],[Order_Date]]&gt;TODAY()),"YES","NO")</f>
        <v>NO</v>
      </c>
    </row>
    <row r="736" spans="1:16" x14ac:dyDescent="0.3">
      <c r="A736">
        <v>100731</v>
      </c>
      <c r="B736" s="8">
        <v>45322.416666666657</v>
      </c>
      <c r="C736" t="s">
        <v>14</v>
      </c>
      <c r="D736" t="s">
        <v>42</v>
      </c>
      <c r="E736" t="s">
        <v>68</v>
      </c>
      <c r="F736" t="s">
        <v>71</v>
      </c>
      <c r="G736">
        <v>1</v>
      </c>
      <c r="H736">
        <v>16.53</v>
      </c>
      <c r="I736">
        <v>10</v>
      </c>
      <c r="J736" t="s">
        <v>74</v>
      </c>
      <c r="K736" t="s">
        <v>79</v>
      </c>
      <c r="L736">
        <v>16.53</v>
      </c>
      <c r="M736">
        <v>1.653</v>
      </c>
      <c r="N736">
        <v>14.877000000000001</v>
      </c>
      <c r="O7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36" s="9" t="str">
        <f ca="1">IF(OR(ISNUMBER(Table1[[#This Row],[Order_Date]])=FALSE,Table1[[#This Row],[Order_Date]]&lt;DATE(2000,1,1),Table1[[#This Row],[Order_Date]]&gt;TODAY()),"YES","NO")</f>
        <v>NO</v>
      </c>
    </row>
    <row r="737" spans="1:16" x14ac:dyDescent="0.3">
      <c r="A737">
        <v>100732</v>
      </c>
      <c r="B737" s="8">
        <v>45322.458333333343</v>
      </c>
      <c r="C737" t="s">
        <v>14</v>
      </c>
      <c r="D737" t="s">
        <v>28</v>
      </c>
      <c r="E737" t="s">
        <v>67</v>
      </c>
      <c r="F737" t="s">
        <v>72</v>
      </c>
      <c r="G737">
        <v>1</v>
      </c>
      <c r="H737">
        <v>6.91</v>
      </c>
      <c r="I737">
        <v>0</v>
      </c>
      <c r="J737" t="s">
        <v>75</v>
      </c>
      <c r="K737" t="s">
        <v>77</v>
      </c>
      <c r="L737">
        <v>6.91</v>
      </c>
      <c r="M737">
        <v>0</v>
      </c>
      <c r="N737">
        <v>6.91</v>
      </c>
      <c r="O7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7" s="9" t="str">
        <f ca="1">IF(OR(ISNUMBER(Table1[[#This Row],[Order_Date]])=FALSE,Table1[[#This Row],[Order_Date]]&lt;DATE(2000,1,1),Table1[[#This Row],[Order_Date]]&gt;TODAY()),"YES","NO")</f>
        <v>NO</v>
      </c>
    </row>
    <row r="738" spans="1:16" x14ac:dyDescent="0.3">
      <c r="A738">
        <v>100733</v>
      </c>
      <c r="B738" s="8">
        <v>45322.5</v>
      </c>
      <c r="C738" t="s">
        <v>14</v>
      </c>
      <c r="D738" t="s">
        <v>18</v>
      </c>
      <c r="E738" t="s">
        <v>68</v>
      </c>
      <c r="F738" t="s">
        <v>72</v>
      </c>
      <c r="G738">
        <v>4</v>
      </c>
      <c r="H738">
        <v>81.099999999999994</v>
      </c>
      <c r="I738">
        <v>10</v>
      </c>
      <c r="J738" t="s">
        <v>76</v>
      </c>
      <c r="K738" t="s">
        <v>77</v>
      </c>
      <c r="L738">
        <v>324.39999999999998</v>
      </c>
      <c r="M738">
        <v>32.44</v>
      </c>
      <c r="N738">
        <v>291.95999999999998</v>
      </c>
      <c r="O7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8" s="9" t="str">
        <f ca="1">IF(OR(ISNUMBER(Table1[[#This Row],[Order_Date]])=FALSE,Table1[[#This Row],[Order_Date]]&lt;DATE(2000,1,1),Table1[[#This Row],[Order_Date]]&gt;TODAY()),"YES","NO")</f>
        <v>NO</v>
      </c>
    </row>
    <row r="739" spans="1:16" x14ac:dyDescent="0.3">
      <c r="A739">
        <v>100734</v>
      </c>
      <c r="B739" s="8">
        <v>45322.541666666657</v>
      </c>
      <c r="C739" t="s">
        <v>15</v>
      </c>
      <c r="D739" t="s">
        <v>64</v>
      </c>
      <c r="E739" t="s">
        <v>66</v>
      </c>
      <c r="F739" t="s">
        <v>71</v>
      </c>
      <c r="G739">
        <v>5</v>
      </c>
      <c r="H739">
        <v>74.28</v>
      </c>
      <c r="I739">
        <v>0</v>
      </c>
      <c r="J739" t="s">
        <v>76</v>
      </c>
      <c r="K739" t="s">
        <v>77</v>
      </c>
      <c r="L739">
        <v>371.4</v>
      </c>
      <c r="M739">
        <v>0</v>
      </c>
      <c r="N739">
        <v>371.4</v>
      </c>
      <c r="O7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39" s="9" t="str">
        <f ca="1">IF(OR(ISNUMBER(Table1[[#This Row],[Order_Date]])=FALSE,Table1[[#This Row],[Order_Date]]&lt;DATE(2000,1,1),Table1[[#This Row],[Order_Date]]&gt;TODAY()),"YES","NO")</f>
        <v>NO</v>
      </c>
    </row>
    <row r="740" spans="1:16" x14ac:dyDescent="0.3">
      <c r="A740">
        <v>100735</v>
      </c>
      <c r="B740" s="8">
        <v>45322.583333333343</v>
      </c>
      <c r="C740" t="s">
        <v>15</v>
      </c>
      <c r="D740" t="s">
        <v>29</v>
      </c>
      <c r="E740" t="s">
        <v>67</v>
      </c>
      <c r="F740" t="s">
        <v>71</v>
      </c>
      <c r="G740">
        <v>3</v>
      </c>
      <c r="H740">
        <v>23.75</v>
      </c>
      <c r="I740">
        <v>5</v>
      </c>
      <c r="J740" t="s">
        <v>73</v>
      </c>
      <c r="K740" t="s">
        <v>77</v>
      </c>
      <c r="L740">
        <v>71.25</v>
      </c>
      <c r="M740">
        <v>3.5625</v>
      </c>
      <c r="N740">
        <v>67.6875</v>
      </c>
      <c r="O7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0" s="9" t="str">
        <f ca="1">IF(OR(ISNUMBER(Table1[[#This Row],[Order_Date]])=FALSE,Table1[[#This Row],[Order_Date]]&lt;DATE(2000,1,1),Table1[[#This Row],[Order_Date]]&gt;TODAY()),"YES","NO")</f>
        <v>NO</v>
      </c>
    </row>
    <row r="741" spans="1:16" x14ac:dyDescent="0.3">
      <c r="A741">
        <v>100736</v>
      </c>
      <c r="B741" s="8">
        <v>45322.625</v>
      </c>
      <c r="C741" t="s">
        <v>14</v>
      </c>
      <c r="D741" t="s">
        <v>19</v>
      </c>
      <c r="E741" t="s">
        <v>69</v>
      </c>
      <c r="F741" t="s">
        <v>72</v>
      </c>
      <c r="G741">
        <v>5</v>
      </c>
      <c r="H741">
        <v>31.89</v>
      </c>
      <c r="I741">
        <v>5</v>
      </c>
      <c r="J741" t="s">
        <v>76</v>
      </c>
      <c r="K741" t="s">
        <v>77</v>
      </c>
      <c r="L741">
        <v>159.44999999999999</v>
      </c>
      <c r="M741">
        <v>7.9725000000000001</v>
      </c>
      <c r="N741">
        <v>151.47749999999999</v>
      </c>
      <c r="O7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1" s="9" t="str">
        <f ca="1">IF(OR(ISNUMBER(Table1[[#This Row],[Order_Date]])=FALSE,Table1[[#This Row],[Order_Date]]&lt;DATE(2000,1,1),Table1[[#This Row],[Order_Date]]&gt;TODAY()),"YES","NO")</f>
        <v>NO</v>
      </c>
    </row>
    <row r="742" spans="1:16" x14ac:dyDescent="0.3">
      <c r="A742">
        <v>100737</v>
      </c>
      <c r="B742" s="8">
        <v>45322.666666666657</v>
      </c>
      <c r="C742" t="s">
        <v>15</v>
      </c>
      <c r="D742" t="s">
        <v>51</v>
      </c>
      <c r="E742" t="s">
        <v>68</v>
      </c>
      <c r="F742" t="s">
        <v>71</v>
      </c>
      <c r="G742">
        <v>3</v>
      </c>
      <c r="H742">
        <v>7.73</v>
      </c>
      <c r="I742">
        <v>10</v>
      </c>
      <c r="J742" t="s">
        <v>76</v>
      </c>
      <c r="K742" t="s">
        <v>77</v>
      </c>
      <c r="L742">
        <v>23.19</v>
      </c>
      <c r="M742">
        <v>2.319</v>
      </c>
      <c r="N742">
        <v>20.870999999999999</v>
      </c>
      <c r="O7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2" s="9" t="str">
        <f ca="1">IF(OR(ISNUMBER(Table1[[#This Row],[Order_Date]])=FALSE,Table1[[#This Row],[Order_Date]]&lt;DATE(2000,1,1),Table1[[#This Row],[Order_Date]]&gt;TODAY()),"YES","NO")</f>
        <v>NO</v>
      </c>
    </row>
    <row r="743" spans="1:16" x14ac:dyDescent="0.3">
      <c r="A743">
        <v>100738</v>
      </c>
      <c r="B743" s="8">
        <v>45322.708333333343</v>
      </c>
      <c r="C743" t="s">
        <v>14</v>
      </c>
      <c r="D743" t="s">
        <v>25</v>
      </c>
      <c r="E743" t="s">
        <v>69</v>
      </c>
      <c r="F743" t="s">
        <v>71</v>
      </c>
      <c r="G743">
        <v>4</v>
      </c>
      <c r="H743">
        <v>101.02</v>
      </c>
      <c r="I743">
        <v>0</v>
      </c>
      <c r="J743" t="s">
        <v>76</v>
      </c>
      <c r="K743" t="s">
        <v>77</v>
      </c>
      <c r="L743">
        <v>404.08</v>
      </c>
      <c r="M743">
        <v>0</v>
      </c>
      <c r="N743">
        <v>404.08</v>
      </c>
      <c r="O7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3" s="9" t="str">
        <f ca="1">IF(OR(ISNUMBER(Table1[[#This Row],[Order_Date]])=FALSE,Table1[[#This Row],[Order_Date]]&lt;DATE(2000,1,1),Table1[[#This Row],[Order_Date]]&gt;TODAY()),"YES","NO")</f>
        <v>NO</v>
      </c>
    </row>
    <row r="744" spans="1:16" x14ac:dyDescent="0.3">
      <c r="A744">
        <v>100739</v>
      </c>
      <c r="B744" s="8">
        <v>45322.75</v>
      </c>
      <c r="C744" t="s">
        <v>14</v>
      </c>
      <c r="D744" t="s">
        <v>62</v>
      </c>
      <c r="E744" t="s">
        <v>67</v>
      </c>
      <c r="F744" t="s">
        <v>71</v>
      </c>
      <c r="G744">
        <v>1</v>
      </c>
      <c r="H744">
        <v>117.09</v>
      </c>
      <c r="I744">
        <v>10</v>
      </c>
      <c r="J744" t="s">
        <v>76</v>
      </c>
      <c r="K744" t="s">
        <v>77</v>
      </c>
      <c r="L744">
        <v>117.09</v>
      </c>
      <c r="M744">
        <v>11.709</v>
      </c>
      <c r="N744">
        <v>105.381</v>
      </c>
      <c r="O7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4" s="9" t="str">
        <f ca="1">IF(OR(ISNUMBER(Table1[[#This Row],[Order_Date]])=FALSE,Table1[[#This Row],[Order_Date]]&lt;DATE(2000,1,1),Table1[[#This Row],[Order_Date]]&gt;TODAY()),"YES","NO")</f>
        <v>NO</v>
      </c>
    </row>
    <row r="745" spans="1:16" x14ac:dyDescent="0.3">
      <c r="A745">
        <v>100740</v>
      </c>
      <c r="B745" s="8">
        <v>45322.791666666657</v>
      </c>
      <c r="C745" t="s">
        <v>15</v>
      </c>
      <c r="D745" t="s">
        <v>16</v>
      </c>
      <c r="E745" t="s">
        <v>69</v>
      </c>
      <c r="F745" t="s">
        <v>71</v>
      </c>
      <c r="G745">
        <v>1</v>
      </c>
      <c r="H745">
        <v>20.58</v>
      </c>
      <c r="I745">
        <v>10</v>
      </c>
      <c r="J745" t="s">
        <v>75</v>
      </c>
      <c r="K745" t="s">
        <v>77</v>
      </c>
      <c r="L745">
        <v>20.58</v>
      </c>
      <c r="M745">
        <v>2.0579999999999998</v>
      </c>
      <c r="N745">
        <v>18.521999999999998</v>
      </c>
      <c r="O7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5" s="9" t="str">
        <f ca="1">IF(OR(ISNUMBER(Table1[[#This Row],[Order_Date]])=FALSE,Table1[[#This Row],[Order_Date]]&lt;DATE(2000,1,1),Table1[[#This Row],[Order_Date]]&gt;TODAY()),"YES","NO")</f>
        <v>NO</v>
      </c>
    </row>
    <row r="746" spans="1:16" x14ac:dyDescent="0.3">
      <c r="A746">
        <v>100741</v>
      </c>
      <c r="B746" s="8">
        <v>45322.833333333343</v>
      </c>
      <c r="C746" t="s">
        <v>14</v>
      </c>
      <c r="D746" t="s">
        <v>35</v>
      </c>
      <c r="E746" t="s">
        <v>69</v>
      </c>
      <c r="F746" t="s">
        <v>72</v>
      </c>
      <c r="G746">
        <v>5</v>
      </c>
      <c r="H746">
        <v>31.62</v>
      </c>
      <c r="I746">
        <v>0</v>
      </c>
      <c r="J746" t="s">
        <v>74</v>
      </c>
      <c r="K746" t="s">
        <v>77</v>
      </c>
      <c r="L746">
        <v>158.1</v>
      </c>
      <c r="M746">
        <v>0</v>
      </c>
      <c r="N746">
        <v>158.1</v>
      </c>
      <c r="O7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6" s="9" t="str">
        <f ca="1">IF(OR(ISNUMBER(Table1[[#This Row],[Order_Date]])=FALSE,Table1[[#This Row],[Order_Date]]&lt;DATE(2000,1,1),Table1[[#This Row],[Order_Date]]&gt;TODAY()),"YES","NO")</f>
        <v>NO</v>
      </c>
    </row>
    <row r="747" spans="1:16" x14ac:dyDescent="0.3">
      <c r="A747">
        <v>100742</v>
      </c>
      <c r="B747" s="8">
        <v>45322.875</v>
      </c>
      <c r="C747" t="s">
        <v>15</v>
      </c>
      <c r="D747" t="s">
        <v>62</v>
      </c>
      <c r="E747" t="s">
        <v>67</v>
      </c>
      <c r="F747" t="s">
        <v>71</v>
      </c>
      <c r="G747">
        <v>1</v>
      </c>
      <c r="H747">
        <v>104.87</v>
      </c>
      <c r="I747">
        <v>10</v>
      </c>
      <c r="J747" t="s">
        <v>75</v>
      </c>
      <c r="K747" t="s">
        <v>77</v>
      </c>
      <c r="L747">
        <v>104.87</v>
      </c>
      <c r="M747">
        <v>10.487</v>
      </c>
      <c r="N747">
        <v>94.38300000000001</v>
      </c>
      <c r="O7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7" s="9" t="str">
        <f ca="1">IF(OR(ISNUMBER(Table1[[#This Row],[Order_Date]])=FALSE,Table1[[#This Row],[Order_Date]]&lt;DATE(2000,1,1),Table1[[#This Row],[Order_Date]]&gt;TODAY()),"YES","NO")</f>
        <v>NO</v>
      </c>
    </row>
    <row r="748" spans="1:16" x14ac:dyDescent="0.3">
      <c r="A748">
        <v>100743</v>
      </c>
      <c r="B748" s="8">
        <v>45322.916666666657</v>
      </c>
      <c r="C748" t="s">
        <v>15</v>
      </c>
      <c r="D748" t="s">
        <v>44</v>
      </c>
      <c r="E748" t="s">
        <v>66</v>
      </c>
      <c r="F748" t="s">
        <v>71</v>
      </c>
      <c r="G748">
        <v>4</v>
      </c>
      <c r="H748">
        <v>111.54</v>
      </c>
      <c r="I748">
        <v>5</v>
      </c>
      <c r="J748" t="s">
        <v>75</v>
      </c>
      <c r="K748" t="s">
        <v>77</v>
      </c>
      <c r="L748">
        <v>446.16</v>
      </c>
      <c r="M748">
        <v>22.308</v>
      </c>
      <c r="N748">
        <v>423.85199999999998</v>
      </c>
      <c r="O7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8" s="9" t="str">
        <f ca="1">IF(OR(ISNUMBER(Table1[[#This Row],[Order_Date]])=FALSE,Table1[[#This Row],[Order_Date]]&lt;DATE(2000,1,1),Table1[[#This Row],[Order_Date]]&gt;TODAY()),"YES","NO")</f>
        <v>NO</v>
      </c>
    </row>
    <row r="749" spans="1:16" x14ac:dyDescent="0.3">
      <c r="A749">
        <v>100744</v>
      </c>
      <c r="B749" s="8">
        <v>45322.958333333343</v>
      </c>
      <c r="C749" t="s">
        <v>14</v>
      </c>
      <c r="D749" t="s">
        <v>17</v>
      </c>
      <c r="E749" t="s">
        <v>69</v>
      </c>
      <c r="F749" t="s">
        <v>71</v>
      </c>
      <c r="G749">
        <v>5</v>
      </c>
      <c r="H749">
        <v>53.26</v>
      </c>
      <c r="I749">
        <v>15</v>
      </c>
      <c r="J749" t="s">
        <v>73</v>
      </c>
      <c r="K749" t="s">
        <v>77</v>
      </c>
      <c r="L749">
        <v>266.3</v>
      </c>
      <c r="M749">
        <v>39.945</v>
      </c>
      <c r="N749">
        <v>226.35499999999999</v>
      </c>
      <c r="O7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49" s="9" t="str">
        <f ca="1">IF(OR(ISNUMBER(Table1[[#This Row],[Order_Date]])=FALSE,Table1[[#This Row],[Order_Date]]&lt;DATE(2000,1,1),Table1[[#This Row],[Order_Date]]&gt;TODAY()),"YES","NO")</f>
        <v>NO</v>
      </c>
    </row>
    <row r="750" spans="1:16" x14ac:dyDescent="0.3">
      <c r="A750">
        <v>100745</v>
      </c>
      <c r="B750" s="8">
        <v>45323</v>
      </c>
      <c r="C750" t="s">
        <v>14</v>
      </c>
      <c r="D750" t="s">
        <v>41</v>
      </c>
      <c r="E750" t="s">
        <v>69</v>
      </c>
      <c r="F750" t="s">
        <v>71</v>
      </c>
      <c r="G750">
        <v>3</v>
      </c>
      <c r="H750">
        <v>10.82</v>
      </c>
      <c r="I750">
        <v>15</v>
      </c>
      <c r="J750" t="s">
        <v>76</v>
      </c>
      <c r="K750" t="s">
        <v>77</v>
      </c>
      <c r="L750">
        <v>32.46</v>
      </c>
      <c r="M750">
        <v>4.8689999999999998</v>
      </c>
      <c r="N750">
        <v>27.591000000000001</v>
      </c>
      <c r="O7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0" s="9" t="str">
        <f ca="1">IF(OR(ISNUMBER(Table1[[#This Row],[Order_Date]])=FALSE,Table1[[#This Row],[Order_Date]]&lt;DATE(2000,1,1),Table1[[#This Row],[Order_Date]]&gt;TODAY()),"YES","NO")</f>
        <v>NO</v>
      </c>
    </row>
    <row r="751" spans="1:16" x14ac:dyDescent="0.3">
      <c r="A751">
        <v>100746</v>
      </c>
      <c r="B751" s="8">
        <v>45323.041666666657</v>
      </c>
      <c r="C751" t="s">
        <v>15</v>
      </c>
      <c r="D751" t="s">
        <v>31</v>
      </c>
      <c r="E751" t="s">
        <v>66</v>
      </c>
      <c r="F751" t="s">
        <v>71</v>
      </c>
      <c r="G751">
        <v>1</v>
      </c>
      <c r="H751">
        <v>9.5299999999999994</v>
      </c>
      <c r="I751">
        <v>10</v>
      </c>
      <c r="J751" t="s">
        <v>75</v>
      </c>
      <c r="K751" t="s">
        <v>77</v>
      </c>
      <c r="L751">
        <v>9.5299999999999994</v>
      </c>
      <c r="M751">
        <v>0.95299999999999996</v>
      </c>
      <c r="N751">
        <v>8.577</v>
      </c>
      <c r="O7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1" s="9" t="str">
        <f ca="1">IF(OR(ISNUMBER(Table1[[#This Row],[Order_Date]])=FALSE,Table1[[#This Row],[Order_Date]]&lt;DATE(2000,1,1),Table1[[#This Row],[Order_Date]]&gt;TODAY()),"YES","NO")</f>
        <v>NO</v>
      </c>
    </row>
    <row r="752" spans="1:16" x14ac:dyDescent="0.3">
      <c r="A752">
        <v>100747</v>
      </c>
      <c r="B752" s="8">
        <v>45323.083333333343</v>
      </c>
      <c r="C752" t="s">
        <v>14</v>
      </c>
      <c r="D752" t="s">
        <v>17</v>
      </c>
      <c r="E752" t="s">
        <v>69</v>
      </c>
      <c r="F752" t="s">
        <v>71</v>
      </c>
      <c r="G752">
        <v>2</v>
      </c>
      <c r="H752">
        <v>71</v>
      </c>
      <c r="I752">
        <v>0</v>
      </c>
      <c r="J752" t="s">
        <v>76</v>
      </c>
      <c r="K752" t="s">
        <v>77</v>
      </c>
      <c r="L752">
        <v>142</v>
      </c>
      <c r="M752">
        <v>0</v>
      </c>
      <c r="N752">
        <v>142</v>
      </c>
      <c r="O7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2" s="9" t="str">
        <f ca="1">IF(OR(ISNUMBER(Table1[[#This Row],[Order_Date]])=FALSE,Table1[[#This Row],[Order_Date]]&lt;DATE(2000,1,1),Table1[[#This Row],[Order_Date]]&gt;TODAY()),"YES","NO")</f>
        <v>NO</v>
      </c>
    </row>
    <row r="753" spans="1:16" x14ac:dyDescent="0.3">
      <c r="A753">
        <v>100748</v>
      </c>
      <c r="B753" s="8">
        <v>45323.125</v>
      </c>
      <c r="C753" t="s">
        <v>14</v>
      </c>
      <c r="D753" t="s">
        <v>17</v>
      </c>
      <c r="E753" t="s">
        <v>69</v>
      </c>
      <c r="F753" t="s">
        <v>71</v>
      </c>
      <c r="G753">
        <v>1</v>
      </c>
      <c r="H753">
        <v>50.18</v>
      </c>
      <c r="I753">
        <v>0</v>
      </c>
      <c r="J753" t="s">
        <v>75</v>
      </c>
      <c r="K753" t="s">
        <v>78</v>
      </c>
      <c r="L753">
        <v>50.18</v>
      </c>
      <c r="M753">
        <v>0</v>
      </c>
      <c r="N753">
        <v>50.18</v>
      </c>
      <c r="O7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53" s="9" t="str">
        <f ca="1">IF(OR(ISNUMBER(Table1[[#This Row],[Order_Date]])=FALSE,Table1[[#This Row],[Order_Date]]&lt;DATE(2000,1,1),Table1[[#This Row],[Order_Date]]&gt;TODAY()),"YES","NO")</f>
        <v>NO</v>
      </c>
    </row>
    <row r="754" spans="1:16" x14ac:dyDescent="0.3">
      <c r="A754">
        <v>100749</v>
      </c>
      <c r="B754" s="8">
        <v>45323.166666666657</v>
      </c>
      <c r="C754" t="s">
        <v>14</v>
      </c>
      <c r="D754" t="s">
        <v>54</v>
      </c>
      <c r="E754" t="s">
        <v>69</v>
      </c>
      <c r="F754" t="s">
        <v>71</v>
      </c>
      <c r="G754">
        <v>3</v>
      </c>
      <c r="H754">
        <v>8.3000000000000007</v>
      </c>
      <c r="I754">
        <v>5</v>
      </c>
      <c r="J754" t="s">
        <v>75</v>
      </c>
      <c r="K754" t="s">
        <v>77</v>
      </c>
      <c r="L754">
        <v>24.9</v>
      </c>
      <c r="M754">
        <v>1.2450000000000001</v>
      </c>
      <c r="N754">
        <v>23.655000000000001</v>
      </c>
      <c r="O7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4" s="9" t="str">
        <f ca="1">IF(OR(ISNUMBER(Table1[[#This Row],[Order_Date]])=FALSE,Table1[[#This Row],[Order_Date]]&lt;DATE(2000,1,1),Table1[[#This Row],[Order_Date]]&gt;TODAY()),"YES","NO")</f>
        <v>NO</v>
      </c>
    </row>
    <row r="755" spans="1:16" x14ac:dyDescent="0.3">
      <c r="A755">
        <v>100750</v>
      </c>
      <c r="B755" s="8">
        <v>45323.208333333343</v>
      </c>
      <c r="C755" t="s">
        <v>15</v>
      </c>
      <c r="D755" t="s">
        <v>16</v>
      </c>
      <c r="E755" t="s">
        <v>70</v>
      </c>
      <c r="F755" t="s">
        <v>72</v>
      </c>
      <c r="G755">
        <v>5</v>
      </c>
      <c r="H755">
        <v>72.069999999999993</v>
      </c>
      <c r="I755">
        <v>0</v>
      </c>
      <c r="J755" t="s">
        <v>73</v>
      </c>
      <c r="K755" t="s">
        <v>77</v>
      </c>
      <c r="L755">
        <v>360.35</v>
      </c>
      <c r="M755">
        <v>0</v>
      </c>
      <c r="N755">
        <v>360.35</v>
      </c>
      <c r="O7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5" s="9" t="str">
        <f ca="1">IF(OR(ISNUMBER(Table1[[#This Row],[Order_Date]])=FALSE,Table1[[#This Row],[Order_Date]]&lt;DATE(2000,1,1),Table1[[#This Row],[Order_Date]]&gt;TODAY()),"YES","NO")</f>
        <v>NO</v>
      </c>
    </row>
    <row r="756" spans="1:16" x14ac:dyDescent="0.3">
      <c r="A756">
        <v>100751</v>
      </c>
      <c r="B756" s="8">
        <v>45323.25</v>
      </c>
      <c r="C756" t="s">
        <v>15</v>
      </c>
      <c r="D756" t="s">
        <v>36</v>
      </c>
      <c r="E756" t="s">
        <v>66</v>
      </c>
      <c r="F756" t="s">
        <v>71</v>
      </c>
      <c r="G756">
        <v>3</v>
      </c>
      <c r="H756">
        <v>6.3</v>
      </c>
      <c r="I756">
        <v>0</v>
      </c>
      <c r="J756" t="s">
        <v>74</v>
      </c>
      <c r="K756" t="s">
        <v>77</v>
      </c>
      <c r="L756">
        <v>18.899999999999999</v>
      </c>
      <c r="M756">
        <v>0</v>
      </c>
      <c r="N756">
        <v>18.899999999999999</v>
      </c>
      <c r="O7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6" s="9" t="str">
        <f ca="1">IF(OR(ISNUMBER(Table1[[#This Row],[Order_Date]])=FALSE,Table1[[#This Row],[Order_Date]]&lt;DATE(2000,1,1),Table1[[#This Row],[Order_Date]]&gt;TODAY()),"YES","NO")</f>
        <v>NO</v>
      </c>
    </row>
    <row r="757" spans="1:16" x14ac:dyDescent="0.3">
      <c r="A757">
        <v>100752</v>
      </c>
      <c r="B757" s="8">
        <v>45323.291666666657</v>
      </c>
      <c r="C757" t="s">
        <v>14</v>
      </c>
      <c r="D757" t="s">
        <v>30</v>
      </c>
      <c r="E757" t="s">
        <v>69</v>
      </c>
      <c r="F757" t="s">
        <v>72</v>
      </c>
      <c r="G757">
        <v>2</v>
      </c>
      <c r="H757">
        <v>95.55</v>
      </c>
      <c r="I757">
        <v>5</v>
      </c>
      <c r="J757" t="s">
        <v>74</v>
      </c>
      <c r="K757" t="s">
        <v>78</v>
      </c>
      <c r="L757">
        <v>191.1</v>
      </c>
      <c r="M757">
        <v>9.5549999999999997</v>
      </c>
      <c r="N757">
        <v>181.54499999999999</v>
      </c>
      <c r="O7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57" s="9" t="str">
        <f ca="1">IF(OR(ISNUMBER(Table1[[#This Row],[Order_Date]])=FALSE,Table1[[#This Row],[Order_Date]]&lt;DATE(2000,1,1),Table1[[#This Row],[Order_Date]]&gt;TODAY()),"YES","NO")</f>
        <v>NO</v>
      </c>
    </row>
    <row r="758" spans="1:16" x14ac:dyDescent="0.3">
      <c r="A758">
        <v>100753</v>
      </c>
      <c r="B758" s="8">
        <v>45323.333333333343</v>
      </c>
      <c r="C758" t="s">
        <v>15</v>
      </c>
      <c r="D758" t="s">
        <v>62</v>
      </c>
      <c r="E758" t="s">
        <v>66</v>
      </c>
      <c r="F758" t="s">
        <v>71</v>
      </c>
      <c r="G758">
        <v>4</v>
      </c>
      <c r="H758">
        <v>40.24</v>
      </c>
      <c r="I758">
        <v>10</v>
      </c>
      <c r="J758" t="s">
        <v>75</v>
      </c>
      <c r="K758" t="s">
        <v>78</v>
      </c>
      <c r="L758">
        <v>160.96</v>
      </c>
      <c r="M758">
        <v>16.096</v>
      </c>
      <c r="N758">
        <v>144.864</v>
      </c>
      <c r="O7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58" s="9" t="str">
        <f ca="1">IF(OR(ISNUMBER(Table1[[#This Row],[Order_Date]])=FALSE,Table1[[#This Row],[Order_Date]]&lt;DATE(2000,1,1),Table1[[#This Row],[Order_Date]]&gt;TODAY()),"YES","NO")</f>
        <v>NO</v>
      </c>
    </row>
    <row r="759" spans="1:16" x14ac:dyDescent="0.3">
      <c r="A759">
        <v>100754</v>
      </c>
      <c r="B759" s="8">
        <v>45323.375</v>
      </c>
      <c r="C759" t="s">
        <v>15</v>
      </c>
      <c r="D759" t="s">
        <v>54</v>
      </c>
      <c r="E759" t="s">
        <v>68</v>
      </c>
      <c r="F759" t="s">
        <v>71</v>
      </c>
      <c r="G759">
        <v>1</v>
      </c>
      <c r="H759">
        <v>9.6300000000000008</v>
      </c>
      <c r="I759">
        <v>15</v>
      </c>
      <c r="J759" t="s">
        <v>73</v>
      </c>
      <c r="K759" t="s">
        <v>77</v>
      </c>
      <c r="L759">
        <v>9.6300000000000008</v>
      </c>
      <c r="M759">
        <v>1.4444999999999999</v>
      </c>
      <c r="N759">
        <v>8.1855000000000011</v>
      </c>
      <c r="O7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59" s="9" t="str">
        <f ca="1">IF(OR(ISNUMBER(Table1[[#This Row],[Order_Date]])=FALSE,Table1[[#This Row],[Order_Date]]&lt;DATE(2000,1,1),Table1[[#This Row],[Order_Date]]&gt;TODAY()),"YES","NO")</f>
        <v>NO</v>
      </c>
    </row>
    <row r="760" spans="1:16" x14ac:dyDescent="0.3">
      <c r="A760">
        <v>100755</v>
      </c>
      <c r="B760" s="8">
        <v>45323.416666666657</v>
      </c>
      <c r="C760" t="s">
        <v>15</v>
      </c>
      <c r="D760" t="s">
        <v>61</v>
      </c>
      <c r="E760" t="s">
        <v>68</v>
      </c>
      <c r="F760" t="s">
        <v>71</v>
      </c>
      <c r="G760">
        <v>5</v>
      </c>
      <c r="H760">
        <v>72.66</v>
      </c>
      <c r="I760">
        <v>5</v>
      </c>
      <c r="J760" t="s">
        <v>76</v>
      </c>
      <c r="K760" t="s">
        <v>78</v>
      </c>
      <c r="L760">
        <v>363.3</v>
      </c>
      <c r="M760">
        <v>18.164999999999999</v>
      </c>
      <c r="N760">
        <v>345.13499999999988</v>
      </c>
      <c r="O7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60" s="9" t="str">
        <f ca="1">IF(OR(ISNUMBER(Table1[[#This Row],[Order_Date]])=FALSE,Table1[[#This Row],[Order_Date]]&lt;DATE(2000,1,1),Table1[[#This Row],[Order_Date]]&gt;TODAY()),"YES","NO")</f>
        <v>NO</v>
      </c>
    </row>
    <row r="761" spans="1:16" x14ac:dyDescent="0.3">
      <c r="A761">
        <v>100756</v>
      </c>
      <c r="B761" s="8">
        <v>45323.458333333343</v>
      </c>
      <c r="C761" t="s">
        <v>15</v>
      </c>
      <c r="D761" t="s">
        <v>30</v>
      </c>
      <c r="E761" t="s">
        <v>69</v>
      </c>
      <c r="F761" t="s">
        <v>71</v>
      </c>
      <c r="G761">
        <v>4</v>
      </c>
      <c r="H761">
        <v>50.73</v>
      </c>
      <c r="I761">
        <v>10</v>
      </c>
      <c r="J761" t="s">
        <v>76</v>
      </c>
      <c r="K761" t="s">
        <v>77</v>
      </c>
      <c r="L761">
        <v>202.92</v>
      </c>
      <c r="M761">
        <v>20.292000000000002</v>
      </c>
      <c r="N761">
        <v>182.62799999999999</v>
      </c>
      <c r="O7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1" s="9" t="str">
        <f ca="1">IF(OR(ISNUMBER(Table1[[#This Row],[Order_Date]])=FALSE,Table1[[#This Row],[Order_Date]]&lt;DATE(2000,1,1),Table1[[#This Row],[Order_Date]]&gt;TODAY()),"YES","NO")</f>
        <v>NO</v>
      </c>
    </row>
    <row r="762" spans="1:16" x14ac:dyDescent="0.3">
      <c r="A762">
        <v>100757</v>
      </c>
      <c r="B762" s="8">
        <v>45323.5</v>
      </c>
      <c r="C762" t="s">
        <v>15</v>
      </c>
      <c r="D762" t="s">
        <v>56</v>
      </c>
      <c r="E762" t="s">
        <v>66</v>
      </c>
      <c r="F762" t="s">
        <v>72</v>
      </c>
      <c r="G762">
        <v>3</v>
      </c>
      <c r="H762">
        <v>116.99</v>
      </c>
      <c r="I762">
        <v>5</v>
      </c>
      <c r="J762" t="s">
        <v>75</v>
      </c>
      <c r="K762" t="s">
        <v>77</v>
      </c>
      <c r="L762">
        <v>350.97</v>
      </c>
      <c r="M762">
        <v>17.548500000000001</v>
      </c>
      <c r="N762">
        <v>333.42149999999998</v>
      </c>
      <c r="O7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2" s="9" t="str">
        <f ca="1">IF(OR(ISNUMBER(Table1[[#This Row],[Order_Date]])=FALSE,Table1[[#This Row],[Order_Date]]&lt;DATE(2000,1,1),Table1[[#This Row],[Order_Date]]&gt;TODAY()),"YES","NO")</f>
        <v>NO</v>
      </c>
    </row>
    <row r="763" spans="1:16" x14ac:dyDescent="0.3">
      <c r="A763">
        <v>100758</v>
      </c>
      <c r="B763" s="8">
        <v>45323.541666666657</v>
      </c>
      <c r="C763" t="s">
        <v>14</v>
      </c>
      <c r="D763" t="s">
        <v>25</v>
      </c>
      <c r="E763" t="s">
        <v>66</v>
      </c>
      <c r="F763" t="s">
        <v>71</v>
      </c>
      <c r="G763">
        <v>5</v>
      </c>
      <c r="H763">
        <v>67.58</v>
      </c>
      <c r="I763">
        <v>10</v>
      </c>
      <c r="J763" t="s">
        <v>74</v>
      </c>
      <c r="K763" t="s">
        <v>77</v>
      </c>
      <c r="L763">
        <v>337.9</v>
      </c>
      <c r="M763">
        <v>33.79</v>
      </c>
      <c r="N763">
        <v>304.11</v>
      </c>
      <c r="O7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3" s="9" t="str">
        <f ca="1">IF(OR(ISNUMBER(Table1[[#This Row],[Order_Date]])=FALSE,Table1[[#This Row],[Order_Date]]&lt;DATE(2000,1,1),Table1[[#This Row],[Order_Date]]&gt;TODAY()),"YES","NO")</f>
        <v>NO</v>
      </c>
    </row>
    <row r="764" spans="1:16" x14ac:dyDescent="0.3">
      <c r="A764">
        <v>100759</v>
      </c>
      <c r="B764" s="8">
        <v>45323.583333333343</v>
      </c>
      <c r="C764" t="s">
        <v>14</v>
      </c>
      <c r="D764" t="s">
        <v>48</v>
      </c>
      <c r="E764" t="s">
        <v>66</v>
      </c>
      <c r="F764" t="s">
        <v>71</v>
      </c>
      <c r="G764">
        <v>4</v>
      </c>
      <c r="H764">
        <v>36.65</v>
      </c>
      <c r="I764">
        <v>5</v>
      </c>
      <c r="J764" t="s">
        <v>73</v>
      </c>
      <c r="K764" t="s">
        <v>77</v>
      </c>
      <c r="L764">
        <v>146.6</v>
      </c>
      <c r="M764">
        <v>7.33</v>
      </c>
      <c r="N764">
        <v>139.27000000000001</v>
      </c>
      <c r="O7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4" s="9" t="str">
        <f ca="1">IF(OR(ISNUMBER(Table1[[#This Row],[Order_Date]])=FALSE,Table1[[#This Row],[Order_Date]]&lt;DATE(2000,1,1),Table1[[#This Row],[Order_Date]]&gt;TODAY()),"YES","NO")</f>
        <v>NO</v>
      </c>
    </row>
    <row r="765" spans="1:16" x14ac:dyDescent="0.3">
      <c r="A765">
        <v>100760</v>
      </c>
      <c r="B765" s="8">
        <v>45323.625</v>
      </c>
      <c r="C765" t="s">
        <v>14</v>
      </c>
      <c r="D765" t="s">
        <v>34</v>
      </c>
      <c r="E765" t="s">
        <v>70</v>
      </c>
      <c r="F765" t="s">
        <v>72</v>
      </c>
      <c r="G765">
        <v>5</v>
      </c>
      <c r="H765">
        <v>86.59</v>
      </c>
      <c r="I765">
        <v>10</v>
      </c>
      <c r="J765" t="s">
        <v>74</v>
      </c>
      <c r="K765" t="s">
        <v>78</v>
      </c>
      <c r="L765">
        <v>432.95</v>
      </c>
      <c r="M765">
        <v>43.295000000000009</v>
      </c>
      <c r="N765">
        <v>389.65499999999997</v>
      </c>
      <c r="O7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65" s="9" t="str">
        <f ca="1">IF(OR(ISNUMBER(Table1[[#This Row],[Order_Date]])=FALSE,Table1[[#This Row],[Order_Date]]&lt;DATE(2000,1,1),Table1[[#This Row],[Order_Date]]&gt;TODAY()),"YES","NO")</f>
        <v>NO</v>
      </c>
    </row>
    <row r="766" spans="1:16" x14ac:dyDescent="0.3">
      <c r="A766">
        <v>100761</v>
      </c>
      <c r="B766" s="8">
        <v>45323.666666666657</v>
      </c>
      <c r="C766" t="s">
        <v>15</v>
      </c>
      <c r="D766" t="s">
        <v>50</v>
      </c>
      <c r="E766" t="s">
        <v>68</v>
      </c>
      <c r="F766" t="s">
        <v>72</v>
      </c>
      <c r="G766">
        <v>2</v>
      </c>
      <c r="H766">
        <v>36.22</v>
      </c>
      <c r="I766">
        <v>5</v>
      </c>
      <c r="J766" t="s">
        <v>76</v>
      </c>
      <c r="K766" t="s">
        <v>77</v>
      </c>
      <c r="L766">
        <v>72.44</v>
      </c>
      <c r="M766">
        <v>3.6219999999999999</v>
      </c>
      <c r="N766">
        <v>68.817999999999998</v>
      </c>
      <c r="O7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6" s="9" t="str">
        <f ca="1">IF(OR(ISNUMBER(Table1[[#This Row],[Order_Date]])=FALSE,Table1[[#This Row],[Order_Date]]&lt;DATE(2000,1,1),Table1[[#This Row],[Order_Date]]&gt;TODAY()),"YES","NO")</f>
        <v>NO</v>
      </c>
    </row>
    <row r="767" spans="1:16" x14ac:dyDescent="0.3">
      <c r="A767">
        <v>100762</v>
      </c>
      <c r="B767" s="8">
        <v>45323.708333333343</v>
      </c>
      <c r="C767" t="s">
        <v>15</v>
      </c>
      <c r="D767" t="s">
        <v>58</v>
      </c>
      <c r="E767" t="s">
        <v>66</v>
      </c>
      <c r="F767" t="s">
        <v>71</v>
      </c>
      <c r="G767">
        <v>2</v>
      </c>
      <c r="H767">
        <v>108.99</v>
      </c>
      <c r="I767">
        <v>10</v>
      </c>
      <c r="J767" t="s">
        <v>74</v>
      </c>
      <c r="K767" t="s">
        <v>79</v>
      </c>
      <c r="L767">
        <v>217.98</v>
      </c>
      <c r="M767">
        <v>21.797999999999998</v>
      </c>
      <c r="N767">
        <v>196.18199999999999</v>
      </c>
      <c r="O7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67" s="9" t="str">
        <f ca="1">IF(OR(ISNUMBER(Table1[[#This Row],[Order_Date]])=FALSE,Table1[[#This Row],[Order_Date]]&lt;DATE(2000,1,1),Table1[[#This Row],[Order_Date]]&gt;TODAY()),"YES","NO")</f>
        <v>NO</v>
      </c>
    </row>
    <row r="768" spans="1:16" x14ac:dyDescent="0.3">
      <c r="A768">
        <v>100763</v>
      </c>
      <c r="B768" s="8">
        <v>45323.75</v>
      </c>
      <c r="C768" t="s">
        <v>14</v>
      </c>
      <c r="D768" t="s">
        <v>58</v>
      </c>
      <c r="E768" t="s">
        <v>66</v>
      </c>
      <c r="F768" t="s">
        <v>72</v>
      </c>
      <c r="G768">
        <v>1</v>
      </c>
      <c r="H768">
        <v>48.09</v>
      </c>
      <c r="I768">
        <v>5</v>
      </c>
      <c r="J768" t="s">
        <v>76</v>
      </c>
      <c r="K768" t="s">
        <v>77</v>
      </c>
      <c r="L768">
        <v>48.09</v>
      </c>
      <c r="M768">
        <v>2.404500000000001</v>
      </c>
      <c r="N768">
        <v>45.685499999999998</v>
      </c>
      <c r="O7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8" s="9" t="str">
        <f ca="1">IF(OR(ISNUMBER(Table1[[#This Row],[Order_Date]])=FALSE,Table1[[#This Row],[Order_Date]]&lt;DATE(2000,1,1),Table1[[#This Row],[Order_Date]]&gt;TODAY()),"YES","NO")</f>
        <v>NO</v>
      </c>
    </row>
    <row r="769" spans="1:16" x14ac:dyDescent="0.3">
      <c r="A769">
        <v>100764</v>
      </c>
      <c r="B769" s="8">
        <v>45323.791666666657</v>
      </c>
      <c r="C769" t="s">
        <v>15</v>
      </c>
      <c r="D769" t="s">
        <v>33</v>
      </c>
      <c r="E769" t="s">
        <v>70</v>
      </c>
      <c r="F769" t="s">
        <v>72</v>
      </c>
      <c r="G769">
        <v>1</v>
      </c>
      <c r="H769">
        <v>68.23</v>
      </c>
      <c r="I769">
        <v>15</v>
      </c>
      <c r="J769" t="s">
        <v>73</v>
      </c>
      <c r="K769" t="s">
        <v>77</v>
      </c>
      <c r="L769">
        <v>68.23</v>
      </c>
      <c r="M769">
        <v>10.234500000000001</v>
      </c>
      <c r="N769">
        <v>57.995500000000007</v>
      </c>
      <c r="O7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69" s="9" t="str">
        <f ca="1">IF(OR(ISNUMBER(Table1[[#This Row],[Order_Date]])=FALSE,Table1[[#This Row],[Order_Date]]&lt;DATE(2000,1,1),Table1[[#This Row],[Order_Date]]&gt;TODAY()),"YES","NO")</f>
        <v>NO</v>
      </c>
    </row>
    <row r="770" spans="1:16" x14ac:dyDescent="0.3">
      <c r="A770">
        <v>100765</v>
      </c>
      <c r="B770" s="8">
        <v>45323.833333333343</v>
      </c>
      <c r="C770" t="s">
        <v>14</v>
      </c>
      <c r="D770" t="s">
        <v>47</v>
      </c>
      <c r="E770" t="s">
        <v>70</v>
      </c>
      <c r="F770" t="s">
        <v>72</v>
      </c>
      <c r="G770">
        <v>2</v>
      </c>
      <c r="H770">
        <v>10.82</v>
      </c>
      <c r="I770">
        <v>15</v>
      </c>
      <c r="J770" t="s">
        <v>73</v>
      </c>
      <c r="K770" t="s">
        <v>77</v>
      </c>
      <c r="L770">
        <v>21.64</v>
      </c>
      <c r="M770">
        <v>3.246</v>
      </c>
      <c r="N770">
        <v>18.393999999999998</v>
      </c>
      <c r="O7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0" s="9" t="str">
        <f ca="1">IF(OR(ISNUMBER(Table1[[#This Row],[Order_Date]])=FALSE,Table1[[#This Row],[Order_Date]]&lt;DATE(2000,1,1),Table1[[#This Row],[Order_Date]]&gt;TODAY()),"YES","NO")</f>
        <v>NO</v>
      </c>
    </row>
    <row r="771" spans="1:16" x14ac:dyDescent="0.3">
      <c r="A771">
        <v>100766</v>
      </c>
      <c r="B771" s="8">
        <v>45323.875</v>
      </c>
      <c r="C771" t="s">
        <v>14</v>
      </c>
      <c r="D771" t="s">
        <v>44</v>
      </c>
      <c r="E771" t="s">
        <v>66</v>
      </c>
      <c r="F771" t="s">
        <v>71</v>
      </c>
      <c r="G771">
        <v>5</v>
      </c>
      <c r="H771">
        <v>54</v>
      </c>
      <c r="I771">
        <v>0</v>
      </c>
      <c r="J771" t="s">
        <v>75</v>
      </c>
      <c r="K771" t="s">
        <v>77</v>
      </c>
      <c r="L771">
        <v>270</v>
      </c>
      <c r="M771">
        <v>0</v>
      </c>
      <c r="N771">
        <v>270</v>
      </c>
      <c r="O7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1" s="9" t="str">
        <f ca="1">IF(OR(ISNUMBER(Table1[[#This Row],[Order_Date]])=FALSE,Table1[[#This Row],[Order_Date]]&lt;DATE(2000,1,1),Table1[[#This Row],[Order_Date]]&gt;TODAY()),"YES","NO")</f>
        <v>NO</v>
      </c>
    </row>
    <row r="772" spans="1:16" x14ac:dyDescent="0.3">
      <c r="A772">
        <v>100767</v>
      </c>
      <c r="B772" s="8">
        <v>45323.916666666657</v>
      </c>
      <c r="C772" t="s">
        <v>14</v>
      </c>
      <c r="D772" t="s">
        <v>57</v>
      </c>
      <c r="E772" t="s">
        <v>67</v>
      </c>
      <c r="F772" t="s">
        <v>71</v>
      </c>
      <c r="G772">
        <v>2</v>
      </c>
      <c r="H772">
        <v>100.72</v>
      </c>
      <c r="I772">
        <v>10</v>
      </c>
      <c r="J772" t="s">
        <v>75</v>
      </c>
      <c r="K772" t="s">
        <v>77</v>
      </c>
      <c r="L772">
        <v>201.44</v>
      </c>
      <c r="M772">
        <v>20.143999999999998</v>
      </c>
      <c r="N772">
        <v>181.29599999999999</v>
      </c>
      <c r="O7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2" s="9" t="str">
        <f ca="1">IF(OR(ISNUMBER(Table1[[#This Row],[Order_Date]])=FALSE,Table1[[#This Row],[Order_Date]]&lt;DATE(2000,1,1),Table1[[#This Row],[Order_Date]]&gt;TODAY()),"YES","NO")</f>
        <v>NO</v>
      </c>
    </row>
    <row r="773" spans="1:16" x14ac:dyDescent="0.3">
      <c r="A773">
        <v>100768</v>
      </c>
      <c r="B773" s="8">
        <v>45323.958333333343</v>
      </c>
      <c r="C773" t="s">
        <v>15</v>
      </c>
      <c r="D773" t="s">
        <v>51</v>
      </c>
      <c r="E773" t="s">
        <v>66</v>
      </c>
      <c r="F773" t="s">
        <v>71</v>
      </c>
      <c r="G773">
        <v>1</v>
      </c>
      <c r="H773">
        <v>97.65</v>
      </c>
      <c r="I773">
        <v>5</v>
      </c>
      <c r="J773" t="s">
        <v>74</v>
      </c>
      <c r="K773" t="s">
        <v>77</v>
      </c>
      <c r="L773">
        <v>97.65</v>
      </c>
      <c r="M773">
        <v>4.8825000000000003</v>
      </c>
      <c r="N773">
        <v>92.767500000000013</v>
      </c>
      <c r="O7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3" s="9" t="str">
        <f ca="1">IF(OR(ISNUMBER(Table1[[#This Row],[Order_Date]])=FALSE,Table1[[#This Row],[Order_Date]]&lt;DATE(2000,1,1),Table1[[#This Row],[Order_Date]]&gt;TODAY()),"YES","NO")</f>
        <v>NO</v>
      </c>
    </row>
    <row r="774" spans="1:16" x14ac:dyDescent="0.3">
      <c r="A774">
        <v>100769</v>
      </c>
      <c r="B774" s="8">
        <v>45324</v>
      </c>
      <c r="C774" t="s">
        <v>15</v>
      </c>
      <c r="D774" t="s">
        <v>50</v>
      </c>
      <c r="E774" t="s">
        <v>66</v>
      </c>
      <c r="F774" t="s">
        <v>72</v>
      </c>
      <c r="G774">
        <v>2</v>
      </c>
      <c r="H774">
        <v>30.8</v>
      </c>
      <c r="I774">
        <v>10</v>
      </c>
      <c r="J774" t="s">
        <v>73</v>
      </c>
      <c r="K774" t="s">
        <v>79</v>
      </c>
      <c r="L774">
        <v>61.6</v>
      </c>
      <c r="M774">
        <v>6.16</v>
      </c>
      <c r="N774">
        <v>55.44</v>
      </c>
      <c r="O7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74" s="9" t="str">
        <f ca="1">IF(OR(ISNUMBER(Table1[[#This Row],[Order_Date]])=FALSE,Table1[[#This Row],[Order_Date]]&lt;DATE(2000,1,1),Table1[[#This Row],[Order_Date]]&gt;TODAY()),"YES","NO")</f>
        <v>NO</v>
      </c>
    </row>
    <row r="775" spans="1:16" x14ac:dyDescent="0.3">
      <c r="A775">
        <v>100770</v>
      </c>
      <c r="B775" s="8">
        <v>45324.041666666657</v>
      </c>
      <c r="C775" t="s">
        <v>14</v>
      </c>
      <c r="D775" t="s">
        <v>58</v>
      </c>
      <c r="E775" t="s">
        <v>70</v>
      </c>
      <c r="F775" t="s">
        <v>71</v>
      </c>
      <c r="G775">
        <v>2</v>
      </c>
      <c r="H775">
        <v>31</v>
      </c>
      <c r="I775">
        <v>15</v>
      </c>
      <c r="J775" t="s">
        <v>73</v>
      </c>
      <c r="K775" t="s">
        <v>77</v>
      </c>
      <c r="L775">
        <v>62</v>
      </c>
      <c r="M775">
        <v>9.2999999999999989</v>
      </c>
      <c r="N775">
        <v>52.7</v>
      </c>
      <c r="O7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5" s="9" t="str">
        <f ca="1">IF(OR(ISNUMBER(Table1[[#This Row],[Order_Date]])=FALSE,Table1[[#This Row],[Order_Date]]&lt;DATE(2000,1,1),Table1[[#This Row],[Order_Date]]&gt;TODAY()),"YES","NO")</f>
        <v>NO</v>
      </c>
    </row>
    <row r="776" spans="1:16" x14ac:dyDescent="0.3">
      <c r="A776">
        <v>100771</v>
      </c>
      <c r="B776" s="8">
        <v>45324.083333333343</v>
      </c>
      <c r="C776" t="s">
        <v>14</v>
      </c>
      <c r="D776" t="s">
        <v>38</v>
      </c>
      <c r="E776" t="s">
        <v>70</v>
      </c>
      <c r="F776" t="s">
        <v>72</v>
      </c>
      <c r="G776">
        <v>5</v>
      </c>
      <c r="H776">
        <v>98.99</v>
      </c>
      <c r="I776">
        <v>10</v>
      </c>
      <c r="J776" t="s">
        <v>75</v>
      </c>
      <c r="K776" t="s">
        <v>77</v>
      </c>
      <c r="L776">
        <v>494.95</v>
      </c>
      <c r="M776">
        <v>49.494999999999997</v>
      </c>
      <c r="N776">
        <v>445.45499999999998</v>
      </c>
      <c r="O7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6" s="9" t="str">
        <f ca="1">IF(OR(ISNUMBER(Table1[[#This Row],[Order_Date]])=FALSE,Table1[[#This Row],[Order_Date]]&lt;DATE(2000,1,1),Table1[[#This Row],[Order_Date]]&gt;TODAY()),"YES","NO")</f>
        <v>NO</v>
      </c>
    </row>
    <row r="777" spans="1:16" x14ac:dyDescent="0.3">
      <c r="A777">
        <v>100772</v>
      </c>
      <c r="B777" s="8">
        <v>45324.125</v>
      </c>
      <c r="C777" t="s">
        <v>14</v>
      </c>
      <c r="D777" t="s">
        <v>16</v>
      </c>
      <c r="E777" t="s">
        <v>66</v>
      </c>
      <c r="F777" t="s">
        <v>71</v>
      </c>
      <c r="G777">
        <v>4</v>
      </c>
      <c r="H777">
        <v>112</v>
      </c>
      <c r="I777">
        <v>5</v>
      </c>
      <c r="J777" t="s">
        <v>76</v>
      </c>
      <c r="K777" t="s">
        <v>77</v>
      </c>
      <c r="L777">
        <v>448</v>
      </c>
      <c r="M777">
        <v>22.4</v>
      </c>
      <c r="N777">
        <v>425.6</v>
      </c>
      <c r="O7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7" s="9" t="str">
        <f ca="1">IF(OR(ISNUMBER(Table1[[#This Row],[Order_Date]])=FALSE,Table1[[#This Row],[Order_Date]]&lt;DATE(2000,1,1),Table1[[#This Row],[Order_Date]]&gt;TODAY()),"YES","NO")</f>
        <v>NO</v>
      </c>
    </row>
    <row r="778" spans="1:16" x14ac:dyDescent="0.3">
      <c r="A778">
        <v>100773</v>
      </c>
      <c r="B778" s="8">
        <v>45324.166666666657</v>
      </c>
      <c r="C778" t="s">
        <v>14</v>
      </c>
      <c r="D778" t="s">
        <v>32</v>
      </c>
      <c r="E778" t="s">
        <v>66</v>
      </c>
      <c r="F778" t="s">
        <v>71</v>
      </c>
      <c r="G778">
        <v>1</v>
      </c>
      <c r="H778">
        <v>15.97</v>
      </c>
      <c r="I778">
        <v>10</v>
      </c>
      <c r="J778" t="s">
        <v>74</v>
      </c>
      <c r="K778" t="s">
        <v>77</v>
      </c>
      <c r="L778">
        <v>15.97</v>
      </c>
      <c r="M778">
        <v>1.597</v>
      </c>
      <c r="N778">
        <v>14.372999999999999</v>
      </c>
      <c r="O7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78" s="9" t="str">
        <f ca="1">IF(OR(ISNUMBER(Table1[[#This Row],[Order_Date]])=FALSE,Table1[[#This Row],[Order_Date]]&lt;DATE(2000,1,1),Table1[[#This Row],[Order_Date]]&gt;TODAY()),"YES","NO")</f>
        <v>NO</v>
      </c>
    </row>
    <row r="779" spans="1:16" x14ac:dyDescent="0.3">
      <c r="A779">
        <v>100774</v>
      </c>
      <c r="B779" s="8">
        <v>45324.208333333343</v>
      </c>
      <c r="C779" t="s">
        <v>15</v>
      </c>
      <c r="D779" t="s">
        <v>38</v>
      </c>
      <c r="E779" t="s">
        <v>66</v>
      </c>
      <c r="F779" t="s">
        <v>72</v>
      </c>
      <c r="G779">
        <v>5</v>
      </c>
      <c r="H779">
        <v>56.76</v>
      </c>
      <c r="I779">
        <v>5</v>
      </c>
      <c r="J779" t="s">
        <v>74</v>
      </c>
      <c r="K779" t="s">
        <v>78</v>
      </c>
      <c r="L779">
        <v>283.8</v>
      </c>
      <c r="M779">
        <v>14.19</v>
      </c>
      <c r="N779">
        <v>269.61</v>
      </c>
      <c r="O7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79" s="9" t="str">
        <f ca="1">IF(OR(ISNUMBER(Table1[[#This Row],[Order_Date]])=FALSE,Table1[[#This Row],[Order_Date]]&lt;DATE(2000,1,1),Table1[[#This Row],[Order_Date]]&gt;TODAY()),"YES","NO")</f>
        <v>NO</v>
      </c>
    </row>
    <row r="780" spans="1:16" x14ac:dyDescent="0.3">
      <c r="A780">
        <v>100775</v>
      </c>
      <c r="B780" s="8">
        <v>45324.25</v>
      </c>
      <c r="C780" t="s">
        <v>15</v>
      </c>
      <c r="D780" t="s">
        <v>29</v>
      </c>
      <c r="E780" t="s">
        <v>70</v>
      </c>
      <c r="F780" t="s">
        <v>71</v>
      </c>
      <c r="G780">
        <v>2</v>
      </c>
      <c r="H780">
        <v>43.81</v>
      </c>
      <c r="I780">
        <v>15</v>
      </c>
      <c r="J780" t="s">
        <v>75</v>
      </c>
      <c r="K780" t="s">
        <v>77</v>
      </c>
      <c r="L780">
        <v>87.62</v>
      </c>
      <c r="M780">
        <v>13.143000000000001</v>
      </c>
      <c r="N780">
        <v>74.477000000000004</v>
      </c>
      <c r="O7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0" s="9" t="str">
        <f ca="1">IF(OR(ISNUMBER(Table1[[#This Row],[Order_Date]])=FALSE,Table1[[#This Row],[Order_Date]]&lt;DATE(2000,1,1),Table1[[#This Row],[Order_Date]]&gt;TODAY()),"YES","NO")</f>
        <v>NO</v>
      </c>
    </row>
    <row r="781" spans="1:16" x14ac:dyDescent="0.3">
      <c r="A781">
        <v>100776</v>
      </c>
      <c r="B781" s="8">
        <v>45324.291666666657</v>
      </c>
      <c r="C781" t="s">
        <v>14</v>
      </c>
      <c r="D781" t="s">
        <v>57</v>
      </c>
      <c r="E781" t="s">
        <v>66</v>
      </c>
      <c r="F781" t="s">
        <v>72</v>
      </c>
      <c r="G781">
        <v>2</v>
      </c>
      <c r="H781">
        <v>105.13</v>
      </c>
      <c r="I781">
        <v>15</v>
      </c>
      <c r="J781" t="s">
        <v>73</v>
      </c>
      <c r="K781" t="s">
        <v>77</v>
      </c>
      <c r="L781">
        <v>210.26</v>
      </c>
      <c r="M781">
        <v>31.539000000000001</v>
      </c>
      <c r="N781">
        <v>178.721</v>
      </c>
      <c r="O7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1" s="9" t="str">
        <f ca="1">IF(OR(ISNUMBER(Table1[[#This Row],[Order_Date]])=FALSE,Table1[[#This Row],[Order_Date]]&lt;DATE(2000,1,1),Table1[[#This Row],[Order_Date]]&gt;TODAY()),"YES","NO")</f>
        <v>NO</v>
      </c>
    </row>
    <row r="782" spans="1:16" x14ac:dyDescent="0.3">
      <c r="A782">
        <v>100777</v>
      </c>
      <c r="B782" s="8">
        <v>45324.333333333343</v>
      </c>
      <c r="C782" t="s">
        <v>14</v>
      </c>
      <c r="D782" t="s">
        <v>63</v>
      </c>
      <c r="E782" t="s">
        <v>66</v>
      </c>
      <c r="F782" t="s">
        <v>72</v>
      </c>
      <c r="G782">
        <v>4</v>
      </c>
      <c r="H782">
        <v>14.61</v>
      </c>
      <c r="I782">
        <v>15</v>
      </c>
      <c r="J782" t="s">
        <v>75</v>
      </c>
      <c r="K782" t="s">
        <v>77</v>
      </c>
      <c r="L782">
        <v>58.44</v>
      </c>
      <c r="M782">
        <v>8.766</v>
      </c>
      <c r="N782">
        <v>49.673999999999999</v>
      </c>
      <c r="O7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2" s="9" t="str">
        <f ca="1">IF(OR(ISNUMBER(Table1[[#This Row],[Order_Date]])=FALSE,Table1[[#This Row],[Order_Date]]&lt;DATE(2000,1,1),Table1[[#This Row],[Order_Date]]&gt;TODAY()),"YES","NO")</f>
        <v>NO</v>
      </c>
    </row>
    <row r="783" spans="1:16" x14ac:dyDescent="0.3">
      <c r="A783">
        <v>100778</v>
      </c>
      <c r="B783" s="8">
        <v>45324.375</v>
      </c>
      <c r="C783" t="s">
        <v>15</v>
      </c>
      <c r="D783" t="s">
        <v>60</v>
      </c>
      <c r="E783" t="s">
        <v>69</v>
      </c>
      <c r="F783" t="s">
        <v>71</v>
      </c>
      <c r="G783">
        <v>1</v>
      </c>
      <c r="H783">
        <v>29.28</v>
      </c>
      <c r="I783">
        <v>0</v>
      </c>
      <c r="J783" t="s">
        <v>75</v>
      </c>
      <c r="K783" t="s">
        <v>77</v>
      </c>
      <c r="L783">
        <v>29.28</v>
      </c>
      <c r="M783">
        <v>0</v>
      </c>
      <c r="N783">
        <v>29.28</v>
      </c>
      <c r="O7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3" s="9" t="str">
        <f ca="1">IF(OR(ISNUMBER(Table1[[#This Row],[Order_Date]])=FALSE,Table1[[#This Row],[Order_Date]]&lt;DATE(2000,1,1),Table1[[#This Row],[Order_Date]]&gt;TODAY()),"YES","NO")</f>
        <v>NO</v>
      </c>
    </row>
    <row r="784" spans="1:16" x14ac:dyDescent="0.3">
      <c r="A784">
        <v>100779</v>
      </c>
      <c r="B784" s="8">
        <v>45324.416666666657</v>
      </c>
      <c r="C784" t="s">
        <v>15</v>
      </c>
      <c r="D784" t="s">
        <v>51</v>
      </c>
      <c r="E784" t="s">
        <v>67</v>
      </c>
      <c r="F784" t="s">
        <v>72</v>
      </c>
      <c r="G784">
        <v>1</v>
      </c>
      <c r="H784">
        <v>91.53</v>
      </c>
      <c r="I784">
        <v>15</v>
      </c>
      <c r="J784" t="s">
        <v>75</v>
      </c>
      <c r="K784" t="s">
        <v>77</v>
      </c>
      <c r="L784">
        <v>91.53</v>
      </c>
      <c r="M784">
        <v>13.7295</v>
      </c>
      <c r="N784">
        <v>77.8005</v>
      </c>
      <c r="O7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4" s="9" t="str">
        <f ca="1">IF(OR(ISNUMBER(Table1[[#This Row],[Order_Date]])=FALSE,Table1[[#This Row],[Order_Date]]&lt;DATE(2000,1,1),Table1[[#This Row],[Order_Date]]&gt;TODAY()),"YES","NO")</f>
        <v>NO</v>
      </c>
    </row>
    <row r="785" spans="1:16" x14ac:dyDescent="0.3">
      <c r="A785">
        <v>100780</v>
      </c>
      <c r="B785" s="8">
        <v>45324.458333333343</v>
      </c>
      <c r="C785" t="s">
        <v>14</v>
      </c>
      <c r="D785" t="s">
        <v>55</v>
      </c>
      <c r="E785" t="s">
        <v>68</v>
      </c>
      <c r="F785" t="s">
        <v>71</v>
      </c>
      <c r="G785">
        <v>3</v>
      </c>
      <c r="H785">
        <v>10.9</v>
      </c>
      <c r="I785">
        <v>10</v>
      </c>
      <c r="J785" t="s">
        <v>75</v>
      </c>
      <c r="K785" t="s">
        <v>77</v>
      </c>
      <c r="L785">
        <v>32.700000000000003</v>
      </c>
      <c r="M785">
        <v>3.27</v>
      </c>
      <c r="N785">
        <v>29.43</v>
      </c>
      <c r="O7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5" s="9" t="str">
        <f ca="1">IF(OR(ISNUMBER(Table1[[#This Row],[Order_Date]])=FALSE,Table1[[#This Row],[Order_Date]]&lt;DATE(2000,1,1),Table1[[#This Row],[Order_Date]]&gt;TODAY()),"YES","NO")</f>
        <v>NO</v>
      </c>
    </row>
    <row r="786" spans="1:16" x14ac:dyDescent="0.3">
      <c r="A786">
        <v>100781</v>
      </c>
      <c r="B786" s="8">
        <v>45324.5</v>
      </c>
      <c r="C786" t="s">
        <v>14</v>
      </c>
      <c r="D786" t="s">
        <v>46</v>
      </c>
      <c r="E786" t="s">
        <v>67</v>
      </c>
      <c r="F786" t="s">
        <v>71</v>
      </c>
      <c r="G786">
        <v>1</v>
      </c>
      <c r="H786">
        <v>61.64</v>
      </c>
      <c r="I786">
        <v>0</v>
      </c>
      <c r="J786" t="s">
        <v>76</v>
      </c>
      <c r="K786" t="s">
        <v>77</v>
      </c>
      <c r="L786">
        <v>61.64</v>
      </c>
      <c r="M786">
        <v>0</v>
      </c>
      <c r="N786">
        <v>61.64</v>
      </c>
      <c r="O7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6" s="9" t="str">
        <f ca="1">IF(OR(ISNUMBER(Table1[[#This Row],[Order_Date]])=FALSE,Table1[[#This Row],[Order_Date]]&lt;DATE(2000,1,1),Table1[[#This Row],[Order_Date]]&gt;TODAY()),"YES","NO")</f>
        <v>NO</v>
      </c>
    </row>
    <row r="787" spans="1:16" x14ac:dyDescent="0.3">
      <c r="A787">
        <v>100782</v>
      </c>
      <c r="B787" s="8">
        <v>45324.541666666657</v>
      </c>
      <c r="C787" t="s">
        <v>14</v>
      </c>
      <c r="D787" t="s">
        <v>40</v>
      </c>
      <c r="E787" t="s">
        <v>69</v>
      </c>
      <c r="F787" t="s">
        <v>72</v>
      </c>
      <c r="G787">
        <v>4</v>
      </c>
      <c r="H787">
        <v>55.84</v>
      </c>
      <c r="I787">
        <v>15</v>
      </c>
      <c r="J787" t="s">
        <v>76</v>
      </c>
      <c r="K787" t="s">
        <v>77</v>
      </c>
      <c r="L787">
        <v>223.36</v>
      </c>
      <c r="M787">
        <v>33.503999999999998</v>
      </c>
      <c r="N787">
        <v>189.85599999999999</v>
      </c>
      <c r="O7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7" s="9" t="str">
        <f ca="1">IF(OR(ISNUMBER(Table1[[#This Row],[Order_Date]])=FALSE,Table1[[#This Row],[Order_Date]]&lt;DATE(2000,1,1),Table1[[#This Row],[Order_Date]]&gt;TODAY()),"YES","NO")</f>
        <v>NO</v>
      </c>
    </row>
    <row r="788" spans="1:16" x14ac:dyDescent="0.3">
      <c r="A788">
        <v>100783</v>
      </c>
      <c r="B788" s="8">
        <v>45324.583333333343</v>
      </c>
      <c r="C788" t="s">
        <v>15</v>
      </c>
      <c r="D788" t="s">
        <v>16</v>
      </c>
      <c r="E788" t="s">
        <v>68</v>
      </c>
      <c r="F788" t="s">
        <v>71</v>
      </c>
      <c r="G788">
        <v>3</v>
      </c>
      <c r="H788">
        <v>43.46</v>
      </c>
      <c r="I788">
        <v>10</v>
      </c>
      <c r="J788" t="s">
        <v>73</v>
      </c>
      <c r="K788" t="s">
        <v>77</v>
      </c>
      <c r="L788">
        <v>130.38</v>
      </c>
      <c r="M788">
        <v>13.038</v>
      </c>
      <c r="N788">
        <v>117.342</v>
      </c>
      <c r="O7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8" s="9" t="str">
        <f ca="1">IF(OR(ISNUMBER(Table1[[#This Row],[Order_Date]])=FALSE,Table1[[#This Row],[Order_Date]]&lt;DATE(2000,1,1),Table1[[#This Row],[Order_Date]]&gt;TODAY()),"YES","NO")</f>
        <v>NO</v>
      </c>
    </row>
    <row r="789" spans="1:16" x14ac:dyDescent="0.3">
      <c r="A789">
        <v>100784</v>
      </c>
      <c r="B789" s="8">
        <v>45324.625</v>
      </c>
      <c r="C789" t="s">
        <v>15</v>
      </c>
      <c r="D789" t="s">
        <v>49</v>
      </c>
      <c r="E789" t="s">
        <v>66</v>
      </c>
      <c r="F789" t="s">
        <v>72</v>
      </c>
      <c r="G789">
        <v>3</v>
      </c>
      <c r="H789">
        <v>50.38</v>
      </c>
      <c r="I789">
        <v>10</v>
      </c>
      <c r="J789" t="s">
        <v>75</v>
      </c>
      <c r="K789" t="s">
        <v>77</v>
      </c>
      <c r="L789">
        <v>151.13999999999999</v>
      </c>
      <c r="M789">
        <v>15.114000000000001</v>
      </c>
      <c r="N789">
        <v>136.02600000000001</v>
      </c>
      <c r="O7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89" s="9" t="str">
        <f ca="1">IF(OR(ISNUMBER(Table1[[#This Row],[Order_Date]])=FALSE,Table1[[#This Row],[Order_Date]]&lt;DATE(2000,1,1),Table1[[#This Row],[Order_Date]]&gt;TODAY()),"YES","NO")</f>
        <v>NO</v>
      </c>
    </row>
    <row r="790" spans="1:16" x14ac:dyDescent="0.3">
      <c r="A790">
        <v>100785</v>
      </c>
      <c r="B790" s="8">
        <v>45324.666666666657</v>
      </c>
      <c r="C790" t="s">
        <v>15</v>
      </c>
      <c r="D790" t="s">
        <v>50</v>
      </c>
      <c r="E790" t="s">
        <v>69</v>
      </c>
      <c r="F790" t="s">
        <v>71</v>
      </c>
      <c r="G790">
        <v>2</v>
      </c>
      <c r="H790">
        <v>65.94</v>
      </c>
      <c r="I790">
        <v>10</v>
      </c>
      <c r="J790" t="s">
        <v>76</v>
      </c>
      <c r="K790" t="s">
        <v>77</v>
      </c>
      <c r="L790">
        <v>131.88</v>
      </c>
      <c r="M790">
        <v>13.188000000000001</v>
      </c>
      <c r="N790">
        <v>118.69199999999999</v>
      </c>
      <c r="O7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0" s="9" t="str">
        <f ca="1">IF(OR(ISNUMBER(Table1[[#This Row],[Order_Date]])=FALSE,Table1[[#This Row],[Order_Date]]&lt;DATE(2000,1,1),Table1[[#This Row],[Order_Date]]&gt;TODAY()),"YES","NO")</f>
        <v>NO</v>
      </c>
    </row>
    <row r="791" spans="1:16" x14ac:dyDescent="0.3">
      <c r="A791">
        <v>100786</v>
      </c>
      <c r="B791" s="8">
        <v>45324.708333333343</v>
      </c>
      <c r="C791" t="s">
        <v>14</v>
      </c>
      <c r="D791" t="s">
        <v>63</v>
      </c>
      <c r="E791" t="s">
        <v>66</v>
      </c>
      <c r="F791" t="s">
        <v>71</v>
      </c>
      <c r="G791">
        <v>2</v>
      </c>
      <c r="H791">
        <v>23.56</v>
      </c>
      <c r="I791">
        <v>5</v>
      </c>
      <c r="J791" t="s">
        <v>73</v>
      </c>
      <c r="K791" t="s">
        <v>77</v>
      </c>
      <c r="L791">
        <v>47.12</v>
      </c>
      <c r="M791">
        <v>2.3559999999999999</v>
      </c>
      <c r="N791">
        <v>44.764000000000003</v>
      </c>
      <c r="O7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1" s="9" t="str">
        <f ca="1">IF(OR(ISNUMBER(Table1[[#This Row],[Order_Date]])=FALSE,Table1[[#This Row],[Order_Date]]&lt;DATE(2000,1,1),Table1[[#This Row],[Order_Date]]&gt;TODAY()),"YES","NO")</f>
        <v>NO</v>
      </c>
    </row>
    <row r="792" spans="1:16" x14ac:dyDescent="0.3">
      <c r="A792">
        <v>100787</v>
      </c>
      <c r="B792" s="8">
        <v>45324.75</v>
      </c>
      <c r="C792" t="s">
        <v>14</v>
      </c>
      <c r="D792" t="s">
        <v>26</v>
      </c>
      <c r="E792" t="s">
        <v>70</v>
      </c>
      <c r="F792" t="s">
        <v>71</v>
      </c>
      <c r="G792">
        <v>1</v>
      </c>
      <c r="H792">
        <v>70.78</v>
      </c>
      <c r="I792">
        <v>0</v>
      </c>
      <c r="J792" t="s">
        <v>75</v>
      </c>
      <c r="K792" t="s">
        <v>77</v>
      </c>
      <c r="L792">
        <v>70.78</v>
      </c>
      <c r="M792">
        <v>0</v>
      </c>
      <c r="N792">
        <v>70.78</v>
      </c>
      <c r="O7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2" s="9" t="str">
        <f ca="1">IF(OR(ISNUMBER(Table1[[#This Row],[Order_Date]])=FALSE,Table1[[#This Row],[Order_Date]]&lt;DATE(2000,1,1),Table1[[#This Row],[Order_Date]]&gt;TODAY()),"YES","NO")</f>
        <v>NO</v>
      </c>
    </row>
    <row r="793" spans="1:16" x14ac:dyDescent="0.3">
      <c r="A793">
        <v>100788</v>
      </c>
      <c r="B793" s="8">
        <v>45324.791666666657</v>
      </c>
      <c r="C793" t="s">
        <v>15</v>
      </c>
      <c r="D793" t="s">
        <v>55</v>
      </c>
      <c r="E793" t="s">
        <v>69</v>
      </c>
      <c r="F793" t="s">
        <v>71</v>
      </c>
      <c r="G793">
        <v>3</v>
      </c>
      <c r="H793">
        <v>97.62</v>
      </c>
      <c r="I793">
        <v>10</v>
      </c>
      <c r="J793" t="s">
        <v>74</v>
      </c>
      <c r="K793" t="s">
        <v>77</v>
      </c>
      <c r="L793">
        <v>292.86</v>
      </c>
      <c r="M793">
        <v>29.286000000000001</v>
      </c>
      <c r="N793">
        <v>263.57400000000001</v>
      </c>
      <c r="O7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3" s="9" t="str">
        <f ca="1">IF(OR(ISNUMBER(Table1[[#This Row],[Order_Date]])=FALSE,Table1[[#This Row],[Order_Date]]&lt;DATE(2000,1,1),Table1[[#This Row],[Order_Date]]&gt;TODAY()),"YES","NO")</f>
        <v>NO</v>
      </c>
    </row>
    <row r="794" spans="1:16" x14ac:dyDescent="0.3">
      <c r="A794">
        <v>100789</v>
      </c>
      <c r="B794" s="8">
        <v>45324.833333333343</v>
      </c>
      <c r="C794" t="s">
        <v>15</v>
      </c>
      <c r="D794" t="s">
        <v>30</v>
      </c>
      <c r="E794" t="s">
        <v>70</v>
      </c>
      <c r="F794" t="s">
        <v>71</v>
      </c>
      <c r="G794">
        <v>2</v>
      </c>
      <c r="H794">
        <v>92.42</v>
      </c>
      <c r="I794">
        <v>5</v>
      </c>
      <c r="J794" t="s">
        <v>76</v>
      </c>
      <c r="K794" t="s">
        <v>78</v>
      </c>
      <c r="L794">
        <v>184.84</v>
      </c>
      <c r="M794">
        <v>9.2420000000000009</v>
      </c>
      <c r="N794">
        <v>175.59800000000001</v>
      </c>
      <c r="O7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94" s="9" t="str">
        <f ca="1">IF(OR(ISNUMBER(Table1[[#This Row],[Order_Date]])=FALSE,Table1[[#This Row],[Order_Date]]&lt;DATE(2000,1,1),Table1[[#This Row],[Order_Date]]&gt;TODAY()),"YES","NO")</f>
        <v>NO</v>
      </c>
    </row>
    <row r="795" spans="1:16" x14ac:dyDescent="0.3">
      <c r="A795">
        <v>100790</v>
      </c>
      <c r="B795" s="8">
        <v>45324.875</v>
      </c>
      <c r="C795" t="s">
        <v>14</v>
      </c>
      <c r="D795" t="s">
        <v>27</v>
      </c>
      <c r="E795" t="s">
        <v>69</v>
      </c>
      <c r="F795" t="s">
        <v>72</v>
      </c>
      <c r="G795">
        <v>4</v>
      </c>
      <c r="H795">
        <v>22.7</v>
      </c>
      <c r="I795">
        <v>15</v>
      </c>
      <c r="J795" t="s">
        <v>73</v>
      </c>
      <c r="K795" t="s">
        <v>77</v>
      </c>
      <c r="L795">
        <v>90.8</v>
      </c>
      <c r="M795">
        <v>13.62</v>
      </c>
      <c r="N795">
        <v>77.179999999999993</v>
      </c>
      <c r="O7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5" s="9" t="str">
        <f ca="1">IF(OR(ISNUMBER(Table1[[#This Row],[Order_Date]])=FALSE,Table1[[#This Row],[Order_Date]]&lt;DATE(2000,1,1),Table1[[#This Row],[Order_Date]]&gt;TODAY()),"YES","NO")</f>
        <v>NO</v>
      </c>
    </row>
    <row r="796" spans="1:16" x14ac:dyDescent="0.3">
      <c r="A796">
        <v>100791</v>
      </c>
      <c r="B796" s="8">
        <v>45324.916666666657</v>
      </c>
      <c r="C796" t="s">
        <v>15</v>
      </c>
      <c r="D796" t="s">
        <v>30</v>
      </c>
      <c r="E796" t="s">
        <v>69</v>
      </c>
      <c r="F796" t="s">
        <v>72</v>
      </c>
      <c r="G796">
        <v>2</v>
      </c>
      <c r="H796">
        <v>22.16</v>
      </c>
      <c r="I796">
        <v>10</v>
      </c>
      <c r="J796" t="s">
        <v>74</v>
      </c>
      <c r="K796" t="s">
        <v>77</v>
      </c>
      <c r="L796">
        <v>44.32</v>
      </c>
      <c r="M796">
        <v>4.4320000000000004</v>
      </c>
      <c r="N796">
        <v>39.887999999999998</v>
      </c>
      <c r="O7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6" s="9" t="str">
        <f ca="1">IF(OR(ISNUMBER(Table1[[#This Row],[Order_Date]])=FALSE,Table1[[#This Row],[Order_Date]]&lt;DATE(2000,1,1),Table1[[#This Row],[Order_Date]]&gt;TODAY()),"YES","NO")</f>
        <v>NO</v>
      </c>
    </row>
    <row r="797" spans="1:16" x14ac:dyDescent="0.3">
      <c r="A797">
        <v>100792</v>
      </c>
      <c r="B797" s="8">
        <v>45324.958333333343</v>
      </c>
      <c r="C797" t="s">
        <v>15</v>
      </c>
      <c r="D797" t="s">
        <v>57</v>
      </c>
      <c r="E797" t="s">
        <v>70</v>
      </c>
      <c r="F797" t="s">
        <v>72</v>
      </c>
      <c r="G797">
        <v>2</v>
      </c>
      <c r="H797">
        <v>35.840000000000003</v>
      </c>
      <c r="I797">
        <v>5</v>
      </c>
      <c r="J797" t="s">
        <v>75</v>
      </c>
      <c r="K797" t="s">
        <v>79</v>
      </c>
      <c r="L797">
        <v>71.680000000000007</v>
      </c>
      <c r="M797">
        <v>3.584000000000001</v>
      </c>
      <c r="N797">
        <v>68.096000000000004</v>
      </c>
      <c r="O7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797" s="9" t="str">
        <f ca="1">IF(OR(ISNUMBER(Table1[[#This Row],[Order_Date]])=FALSE,Table1[[#This Row],[Order_Date]]&lt;DATE(2000,1,1),Table1[[#This Row],[Order_Date]]&gt;TODAY()),"YES","NO")</f>
        <v>NO</v>
      </c>
    </row>
    <row r="798" spans="1:16" x14ac:dyDescent="0.3">
      <c r="A798">
        <v>100793</v>
      </c>
      <c r="B798" s="8">
        <v>45325</v>
      </c>
      <c r="C798" t="s">
        <v>14</v>
      </c>
      <c r="D798" t="s">
        <v>59</v>
      </c>
      <c r="E798" t="s">
        <v>68</v>
      </c>
      <c r="F798" t="s">
        <v>72</v>
      </c>
      <c r="G798">
        <v>3</v>
      </c>
      <c r="H798">
        <v>46.52</v>
      </c>
      <c r="I798">
        <v>10</v>
      </c>
      <c r="J798" t="s">
        <v>75</v>
      </c>
      <c r="K798" t="s">
        <v>77</v>
      </c>
      <c r="L798">
        <v>139.56</v>
      </c>
      <c r="M798">
        <v>13.956</v>
      </c>
      <c r="N798">
        <v>125.604</v>
      </c>
      <c r="O7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8" s="9" t="str">
        <f ca="1">IF(OR(ISNUMBER(Table1[[#This Row],[Order_Date]])=FALSE,Table1[[#This Row],[Order_Date]]&lt;DATE(2000,1,1),Table1[[#This Row],[Order_Date]]&gt;TODAY()),"YES","NO")</f>
        <v>NO</v>
      </c>
    </row>
    <row r="799" spans="1:16" x14ac:dyDescent="0.3">
      <c r="A799">
        <v>100794</v>
      </c>
      <c r="B799" s="8">
        <v>45325.041666666657</v>
      </c>
      <c r="C799" t="s">
        <v>15</v>
      </c>
      <c r="D799" t="s">
        <v>41</v>
      </c>
      <c r="E799" t="s">
        <v>67</v>
      </c>
      <c r="F799" t="s">
        <v>72</v>
      </c>
      <c r="G799">
        <v>3</v>
      </c>
      <c r="H799">
        <v>51.97</v>
      </c>
      <c r="I799">
        <v>0</v>
      </c>
      <c r="J799" t="s">
        <v>75</v>
      </c>
      <c r="K799" t="s">
        <v>77</v>
      </c>
      <c r="L799">
        <v>155.91</v>
      </c>
      <c r="M799">
        <v>0</v>
      </c>
      <c r="N799">
        <v>155.91</v>
      </c>
      <c r="O7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799" s="9" t="str">
        <f ca="1">IF(OR(ISNUMBER(Table1[[#This Row],[Order_Date]])=FALSE,Table1[[#This Row],[Order_Date]]&lt;DATE(2000,1,1),Table1[[#This Row],[Order_Date]]&gt;TODAY()),"YES","NO")</f>
        <v>NO</v>
      </c>
    </row>
    <row r="800" spans="1:16" x14ac:dyDescent="0.3">
      <c r="A800">
        <v>100795</v>
      </c>
      <c r="B800" s="8">
        <v>45325.083333333343</v>
      </c>
      <c r="C800" t="s">
        <v>14</v>
      </c>
      <c r="D800" t="s">
        <v>45</v>
      </c>
      <c r="E800" t="s">
        <v>66</v>
      </c>
      <c r="F800" t="s">
        <v>72</v>
      </c>
      <c r="G800">
        <v>5</v>
      </c>
      <c r="H800">
        <v>83.17</v>
      </c>
      <c r="I800">
        <v>0</v>
      </c>
      <c r="J800" t="s">
        <v>76</v>
      </c>
      <c r="K800" t="s">
        <v>77</v>
      </c>
      <c r="L800">
        <v>415.85</v>
      </c>
      <c r="M800">
        <v>0</v>
      </c>
      <c r="N800">
        <v>415.85</v>
      </c>
      <c r="O8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0" s="9" t="str">
        <f ca="1">IF(OR(ISNUMBER(Table1[[#This Row],[Order_Date]])=FALSE,Table1[[#This Row],[Order_Date]]&lt;DATE(2000,1,1),Table1[[#This Row],[Order_Date]]&gt;TODAY()),"YES","NO")</f>
        <v>NO</v>
      </c>
    </row>
    <row r="801" spans="1:16" x14ac:dyDescent="0.3">
      <c r="A801">
        <v>100796</v>
      </c>
      <c r="B801" s="8">
        <v>45325.125</v>
      </c>
      <c r="C801" t="s">
        <v>14</v>
      </c>
      <c r="D801" t="s">
        <v>35</v>
      </c>
      <c r="E801" t="s">
        <v>69</v>
      </c>
      <c r="F801" t="s">
        <v>71</v>
      </c>
      <c r="G801">
        <v>4</v>
      </c>
      <c r="H801">
        <v>11.52</v>
      </c>
      <c r="I801">
        <v>15</v>
      </c>
      <c r="J801" t="s">
        <v>73</v>
      </c>
      <c r="K801" t="s">
        <v>77</v>
      </c>
      <c r="L801">
        <v>46.08</v>
      </c>
      <c r="M801">
        <v>6.9119999999999999</v>
      </c>
      <c r="N801">
        <v>39.167999999999999</v>
      </c>
      <c r="O8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1" s="9" t="str">
        <f ca="1">IF(OR(ISNUMBER(Table1[[#This Row],[Order_Date]])=FALSE,Table1[[#This Row],[Order_Date]]&lt;DATE(2000,1,1),Table1[[#This Row],[Order_Date]]&gt;TODAY()),"YES","NO")</f>
        <v>NO</v>
      </c>
    </row>
    <row r="802" spans="1:16" x14ac:dyDescent="0.3">
      <c r="A802">
        <v>100797</v>
      </c>
      <c r="B802" s="8">
        <v>45325.166666666657</v>
      </c>
      <c r="C802" t="s">
        <v>14</v>
      </c>
      <c r="D802" t="s">
        <v>41</v>
      </c>
      <c r="E802" t="s">
        <v>66</v>
      </c>
      <c r="F802" t="s">
        <v>71</v>
      </c>
      <c r="G802">
        <v>3</v>
      </c>
      <c r="H802">
        <v>8.99</v>
      </c>
      <c r="I802">
        <v>10</v>
      </c>
      <c r="J802" t="s">
        <v>74</v>
      </c>
      <c r="K802" t="s">
        <v>77</v>
      </c>
      <c r="L802">
        <v>26.97</v>
      </c>
      <c r="M802">
        <v>2.6970000000000001</v>
      </c>
      <c r="N802">
        <v>24.273</v>
      </c>
      <c r="O8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2" s="9" t="str">
        <f ca="1">IF(OR(ISNUMBER(Table1[[#This Row],[Order_Date]])=FALSE,Table1[[#This Row],[Order_Date]]&lt;DATE(2000,1,1),Table1[[#This Row],[Order_Date]]&gt;TODAY()),"YES","NO")</f>
        <v>NO</v>
      </c>
    </row>
    <row r="803" spans="1:16" x14ac:dyDescent="0.3">
      <c r="A803">
        <v>100798</v>
      </c>
      <c r="B803" s="8">
        <v>45325.208333333343</v>
      </c>
      <c r="C803" t="s">
        <v>14</v>
      </c>
      <c r="D803" t="s">
        <v>29</v>
      </c>
      <c r="E803" t="s">
        <v>70</v>
      </c>
      <c r="F803" t="s">
        <v>72</v>
      </c>
      <c r="G803">
        <v>1</v>
      </c>
      <c r="H803">
        <v>50.07</v>
      </c>
      <c r="I803">
        <v>5</v>
      </c>
      <c r="J803" t="s">
        <v>73</v>
      </c>
      <c r="K803" t="s">
        <v>77</v>
      </c>
      <c r="L803">
        <v>50.07</v>
      </c>
      <c r="M803">
        <v>2.5034999999999998</v>
      </c>
      <c r="N803">
        <v>47.566499999999998</v>
      </c>
      <c r="O8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3" s="9" t="str">
        <f ca="1">IF(OR(ISNUMBER(Table1[[#This Row],[Order_Date]])=FALSE,Table1[[#This Row],[Order_Date]]&lt;DATE(2000,1,1),Table1[[#This Row],[Order_Date]]&gt;TODAY()),"YES","NO")</f>
        <v>NO</v>
      </c>
    </row>
    <row r="804" spans="1:16" x14ac:dyDescent="0.3">
      <c r="A804">
        <v>100799</v>
      </c>
      <c r="B804" s="8">
        <v>45325.25</v>
      </c>
      <c r="C804" t="s">
        <v>14</v>
      </c>
      <c r="D804" t="s">
        <v>37</v>
      </c>
      <c r="E804" t="s">
        <v>66</v>
      </c>
      <c r="F804" t="s">
        <v>72</v>
      </c>
      <c r="G804">
        <v>4</v>
      </c>
      <c r="H804">
        <v>85.17</v>
      </c>
      <c r="I804">
        <v>15</v>
      </c>
      <c r="J804" t="s">
        <v>76</v>
      </c>
      <c r="K804" t="s">
        <v>79</v>
      </c>
      <c r="L804">
        <v>340.68</v>
      </c>
      <c r="M804">
        <v>51.101999999999997</v>
      </c>
      <c r="N804">
        <v>289.57799999999997</v>
      </c>
      <c r="O8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04" s="9" t="str">
        <f ca="1">IF(OR(ISNUMBER(Table1[[#This Row],[Order_Date]])=FALSE,Table1[[#This Row],[Order_Date]]&lt;DATE(2000,1,1),Table1[[#This Row],[Order_Date]]&gt;TODAY()),"YES","NO")</f>
        <v>NO</v>
      </c>
    </row>
    <row r="805" spans="1:16" x14ac:dyDescent="0.3">
      <c r="A805">
        <v>100800</v>
      </c>
      <c r="B805" s="8">
        <v>45325.291666666657</v>
      </c>
      <c r="C805" t="s">
        <v>14</v>
      </c>
      <c r="D805" t="s">
        <v>32</v>
      </c>
      <c r="E805" t="s">
        <v>70</v>
      </c>
      <c r="F805" t="s">
        <v>71</v>
      </c>
      <c r="G805">
        <v>4</v>
      </c>
      <c r="H805">
        <v>27.25</v>
      </c>
      <c r="I805">
        <v>10</v>
      </c>
      <c r="J805" t="s">
        <v>73</v>
      </c>
      <c r="K805" t="s">
        <v>77</v>
      </c>
      <c r="L805">
        <v>109</v>
      </c>
      <c r="M805">
        <v>10.9</v>
      </c>
      <c r="N805">
        <v>98.1</v>
      </c>
      <c r="O8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5" s="9" t="str">
        <f ca="1">IF(OR(ISNUMBER(Table1[[#This Row],[Order_Date]])=FALSE,Table1[[#This Row],[Order_Date]]&lt;DATE(2000,1,1),Table1[[#This Row],[Order_Date]]&gt;TODAY()),"YES","NO")</f>
        <v>NO</v>
      </c>
    </row>
    <row r="806" spans="1:16" x14ac:dyDescent="0.3">
      <c r="A806">
        <v>100801</v>
      </c>
      <c r="B806" s="8">
        <v>45325.333333333343</v>
      </c>
      <c r="C806" t="s">
        <v>14</v>
      </c>
      <c r="D806" t="s">
        <v>63</v>
      </c>
      <c r="E806" t="s">
        <v>66</v>
      </c>
      <c r="F806" t="s">
        <v>71</v>
      </c>
      <c r="G806">
        <v>3</v>
      </c>
      <c r="H806">
        <v>78.77</v>
      </c>
      <c r="I806">
        <v>15</v>
      </c>
      <c r="J806" t="s">
        <v>76</v>
      </c>
      <c r="K806" t="s">
        <v>77</v>
      </c>
      <c r="L806">
        <v>236.31</v>
      </c>
      <c r="M806">
        <v>35.4465</v>
      </c>
      <c r="N806">
        <v>200.86349999999999</v>
      </c>
      <c r="O8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6" s="9" t="str">
        <f ca="1">IF(OR(ISNUMBER(Table1[[#This Row],[Order_Date]])=FALSE,Table1[[#This Row],[Order_Date]]&lt;DATE(2000,1,1),Table1[[#This Row],[Order_Date]]&gt;TODAY()),"YES","NO")</f>
        <v>NO</v>
      </c>
    </row>
    <row r="807" spans="1:16" x14ac:dyDescent="0.3">
      <c r="A807">
        <v>100802</v>
      </c>
      <c r="B807" s="8">
        <v>45325.375</v>
      </c>
      <c r="C807" t="s">
        <v>15</v>
      </c>
      <c r="D807" t="s">
        <v>65</v>
      </c>
      <c r="E807" t="s">
        <v>67</v>
      </c>
      <c r="F807" t="s">
        <v>71</v>
      </c>
      <c r="G807">
        <v>4</v>
      </c>
      <c r="H807">
        <v>34.880000000000003</v>
      </c>
      <c r="I807">
        <v>5</v>
      </c>
      <c r="J807" t="s">
        <v>75</v>
      </c>
      <c r="K807" t="s">
        <v>77</v>
      </c>
      <c r="L807">
        <v>139.52000000000001</v>
      </c>
      <c r="M807">
        <v>6.9760000000000009</v>
      </c>
      <c r="N807">
        <v>132.54400000000001</v>
      </c>
      <c r="O8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7" s="9" t="str">
        <f ca="1">IF(OR(ISNUMBER(Table1[[#This Row],[Order_Date]])=FALSE,Table1[[#This Row],[Order_Date]]&lt;DATE(2000,1,1),Table1[[#This Row],[Order_Date]]&gt;TODAY()),"YES","NO")</f>
        <v>NO</v>
      </c>
    </row>
    <row r="808" spans="1:16" x14ac:dyDescent="0.3">
      <c r="A808">
        <v>100803</v>
      </c>
      <c r="B808" s="8">
        <v>45325.416666666657</v>
      </c>
      <c r="C808" t="s">
        <v>14</v>
      </c>
      <c r="D808" t="s">
        <v>16</v>
      </c>
      <c r="E808" t="s">
        <v>67</v>
      </c>
      <c r="F808" t="s">
        <v>72</v>
      </c>
      <c r="G808">
        <v>3</v>
      </c>
      <c r="H808">
        <v>106.9</v>
      </c>
      <c r="I808">
        <v>15</v>
      </c>
      <c r="J808" t="s">
        <v>74</v>
      </c>
      <c r="K808" t="s">
        <v>77</v>
      </c>
      <c r="L808">
        <v>320.7</v>
      </c>
      <c r="M808">
        <v>48.104999999999997</v>
      </c>
      <c r="N808">
        <v>272.59500000000003</v>
      </c>
      <c r="O8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8" s="9" t="str">
        <f ca="1">IF(OR(ISNUMBER(Table1[[#This Row],[Order_Date]])=FALSE,Table1[[#This Row],[Order_Date]]&lt;DATE(2000,1,1),Table1[[#This Row],[Order_Date]]&gt;TODAY()),"YES","NO")</f>
        <v>NO</v>
      </c>
    </row>
    <row r="809" spans="1:16" x14ac:dyDescent="0.3">
      <c r="A809">
        <v>100804</v>
      </c>
      <c r="B809" s="8">
        <v>45325.458333333343</v>
      </c>
      <c r="C809" t="s">
        <v>14</v>
      </c>
      <c r="D809" t="s">
        <v>49</v>
      </c>
      <c r="E809" t="s">
        <v>67</v>
      </c>
      <c r="F809" t="s">
        <v>72</v>
      </c>
      <c r="G809">
        <v>2</v>
      </c>
      <c r="H809">
        <v>108</v>
      </c>
      <c r="I809">
        <v>15</v>
      </c>
      <c r="J809" t="s">
        <v>75</v>
      </c>
      <c r="K809" t="s">
        <v>77</v>
      </c>
      <c r="L809">
        <v>216</v>
      </c>
      <c r="M809">
        <v>32.4</v>
      </c>
      <c r="N809">
        <v>183.6</v>
      </c>
      <c r="O8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09" s="9" t="str">
        <f ca="1">IF(OR(ISNUMBER(Table1[[#This Row],[Order_Date]])=FALSE,Table1[[#This Row],[Order_Date]]&lt;DATE(2000,1,1),Table1[[#This Row],[Order_Date]]&gt;TODAY()),"YES","NO")</f>
        <v>NO</v>
      </c>
    </row>
    <row r="810" spans="1:16" x14ac:dyDescent="0.3">
      <c r="A810">
        <v>100805</v>
      </c>
      <c r="B810" s="8">
        <v>45325.5</v>
      </c>
      <c r="C810" t="s">
        <v>15</v>
      </c>
      <c r="D810" t="s">
        <v>41</v>
      </c>
      <c r="E810" t="s">
        <v>67</v>
      </c>
      <c r="F810" t="s">
        <v>72</v>
      </c>
      <c r="G810">
        <v>5</v>
      </c>
      <c r="H810">
        <v>39.19</v>
      </c>
      <c r="I810">
        <v>15</v>
      </c>
      <c r="J810" t="s">
        <v>73</v>
      </c>
      <c r="K810" t="s">
        <v>77</v>
      </c>
      <c r="L810">
        <v>195.95</v>
      </c>
      <c r="M810">
        <v>29.392499999999998</v>
      </c>
      <c r="N810">
        <v>166.5575</v>
      </c>
      <c r="O8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0" s="9" t="str">
        <f ca="1">IF(OR(ISNUMBER(Table1[[#This Row],[Order_Date]])=FALSE,Table1[[#This Row],[Order_Date]]&lt;DATE(2000,1,1),Table1[[#This Row],[Order_Date]]&gt;TODAY()),"YES","NO")</f>
        <v>NO</v>
      </c>
    </row>
    <row r="811" spans="1:16" x14ac:dyDescent="0.3">
      <c r="A811">
        <v>100806</v>
      </c>
      <c r="B811" s="8">
        <v>45325.541666666657</v>
      </c>
      <c r="C811" t="s">
        <v>15</v>
      </c>
      <c r="D811" t="s">
        <v>40</v>
      </c>
      <c r="E811" t="s">
        <v>67</v>
      </c>
      <c r="F811" t="s">
        <v>71</v>
      </c>
      <c r="G811">
        <v>2</v>
      </c>
      <c r="H811">
        <v>31.45</v>
      </c>
      <c r="I811">
        <v>10</v>
      </c>
      <c r="J811" t="s">
        <v>75</v>
      </c>
      <c r="K811" t="s">
        <v>77</v>
      </c>
      <c r="L811">
        <v>62.9</v>
      </c>
      <c r="M811">
        <v>6.29</v>
      </c>
      <c r="N811">
        <v>56.61</v>
      </c>
      <c r="O8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1" s="9" t="str">
        <f ca="1">IF(OR(ISNUMBER(Table1[[#This Row],[Order_Date]])=FALSE,Table1[[#This Row],[Order_Date]]&lt;DATE(2000,1,1),Table1[[#This Row],[Order_Date]]&gt;TODAY()),"YES","NO")</f>
        <v>NO</v>
      </c>
    </row>
    <row r="812" spans="1:16" x14ac:dyDescent="0.3">
      <c r="A812">
        <v>100807</v>
      </c>
      <c r="B812" s="8">
        <v>45325.583333333343</v>
      </c>
      <c r="C812" t="s">
        <v>15</v>
      </c>
      <c r="D812" t="s">
        <v>42</v>
      </c>
      <c r="E812" t="s">
        <v>67</v>
      </c>
      <c r="F812" t="s">
        <v>71</v>
      </c>
      <c r="G812">
        <v>3</v>
      </c>
      <c r="H812">
        <v>52.3</v>
      </c>
      <c r="I812">
        <v>5</v>
      </c>
      <c r="J812" t="s">
        <v>74</v>
      </c>
      <c r="K812" t="s">
        <v>77</v>
      </c>
      <c r="L812">
        <v>156.9</v>
      </c>
      <c r="M812">
        <v>7.8449999999999989</v>
      </c>
      <c r="N812">
        <v>149.05500000000001</v>
      </c>
      <c r="O8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2" s="9" t="str">
        <f ca="1">IF(OR(ISNUMBER(Table1[[#This Row],[Order_Date]])=FALSE,Table1[[#This Row],[Order_Date]]&lt;DATE(2000,1,1),Table1[[#This Row],[Order_Date]]&gt;TODAY()),"YES","NO")</f>
        <v>NO</v>
      </c>
    </row>
    <row r="813" spans="1:16" x14ac:dyDescent="0.3">
      <c r="A813">
        <v>100808</v>
      </c>
      <c r="B813" s="8">
        <v>45325.625</v>
      </c>
      <c r="C813" t="s">
        <v>14</v>
      </c>
      <c r="D813" t="s">
        <v>65</v>
      </c>
      <c r="E813" t="s">
        <v>70</v>
      </c>
      <c r="F813" t="s">
        <v>72</v>
      </c>
      <c r="G813">
        <v>3</v>
      </c>
      <c r="H813">
        <v>32.659999999999997</v>
      </c>
      <c r="I813">
        <v>0</v>
      </c>
      <c r="J813" t="s">
        <v>75</v>
      </c>
      <c r="K813" t="s">
        <v>78</v>
      </c>
      <c r="L813">
        <v>97.97999999999999</v>
      </c>
      <c r="M813">
        <v>0</v>
      </c>
      <c r="N813">
        <v>97.97999999999999</v>
      </c>
      <c r="O8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13" s="9" t="str">
        <f ca="1">IF(OR(ISNUMBER(Table1[[#This Row],[Order_Date]])=FALSE,Table1[[#This Row],[Order_Date]]&lt;DATE(2000,1,1),Table1[[#This Row],[Order_Date]]&gt;TODAY()),"YES","NO")</f>
        <v>NO</v>
      </c>
    </row>
    <row r="814" spans="1:16" x14ac:dyDescent="0.3">
      <c r="A814">
        <v>100809</v>
      </c>
      <c r="B814" s="8">
        <v>45325.666666666657</v>
      </c>
      <c r="C814" t="s">
        <v>15</v>
      </c>
      <c r="D814" t="s">
        <v>52</v>
      </c>
      <c r="E814" t="s">
        <v>69</v>
      </c>
      <c r="F814" t="s">
        <v>72</v>
      </c>
      <c r="G814">
        <v>2</v>
      </c>
      <c r="H814">
        <v>82.32</v>
      </c>
      <c r="I814">
        <v>10</v>
      </c>
      <c r="J814" t="s">
        <v>74</v>
      </c>
      <c r="K814" t="s">
        <v>78</v>
      </c>
      <c r="L814">
        <v>164.64</v>
      </c>
      <c r="M814">
        <v>16.463999999999999</v>
      </c>
      <c r="N814">
        <v>148.17599999999999</v>
      </c>
      <c r="O8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14" s="9" t="str">
        <f ca="1">IF(OR(ISNUMBER(Table1[[#This Row],[Order_Date]])=FALSE,Table1[[#This Row],[Order_Date]]&lt;DATE(2000,1,1),Table1[[#This Row],[Order_Date]]&gt;TODAY()),"YES","NO")</f>
        <v>NO</v>
      </c>
    </row>
    <row r="815" spans="1:16" x14ac:dyDescent="0.3">
      <c r="A815">
        <v>100810</v>
      </c>
      <c r="B815" s="8">
        <v>45325.708333333343</v>
      </c>
      <c r="C815" t="s">
        <v>14</v>
      </c>
      <c r="D815" t="s">
        <v>59</v>
      </c>
      <c r="E815" t="s">
        <v>66</v>
      </c>
      <c r="F815" t="s">
        <v>71</v>
      </c>
      <c r="G815">
        <v>1</v>
      </c>
      <c r="H815">
        <v>100</v>
      </c>
      <c r="I815">
        <v>0</v>
      </c>
      <c r="J815" t="s">
        <v>74</v>
      </c>
      <c r="K815" t="s">
        <v>77</v>
      </c>
      <c r="L815">
        <v>100</v>
      </c>
      <c r="M815">
        <v>0</v>
      </c>
      <c r="N815">
        <v>100</v>
      </c>
      <c r="O8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5" s="9" t="str">
        <f ca="1">IF(OR(ISNUMBER(Table1[[#This Row],[Order_Date]])=FALSE,Table1[[#This Row],[Order_Date]]&lt;DATE(2000,1,1),Table1[[#This Row],[Order_Date]]&gt;TODAY()),"YES","NO")</f>
        <v>NO</v>
      </c>
    </row>
    <row r="816" spans="1:16" x14ac:dyDescent="0.3">
      <c r="A816">
        <v>100811</v>
      </c>
      <c r="B816" s="8">
        <v>45325.75</v>
      </c>
      <c r="C816" t="s">
        <v>14</v>
      </c>
      <c r="D816" t="s">
        <v>65</v>
      </c>
      <c r="E816" t="s">
        <v>67</v>
      </c>
      <c r="F816" t="s">
        <v>71</v>
      </c>
      <c r="G816">
        <v>1</v>
      </c>
      <c r="H816">
        <v>82.41</v>
      </c>
      <c r="I816">
        <v>0</v>
      </c>
      <c r="J816" t="s">
        <v>75</v>
      </c>
      <c r="K816" t="s">
        <v>77</v>
      </c>
      <c r="L816">
        <v>82.41</v>
      </c>
      <c r="M816">
        <v>0</v>
      </c>
      <c r="N816">
        <v>82.41</v>
      </c>
      <c r="O8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6" s="9" t="str">
        <f ca="1">IF(OR(ISNUMBER(Table1[[#This Row],[Order_Date]])=FALSE,Table1[[#This Row],[Order_Date]]&lt;DATE(2000,1,1),Table1[[#This Row],[Order_Date]]&gt;TODAY()),"YES","NO")</f>
        <v>NO</v>
      </c>
    </row>
    <row r="817" spans="1:16" x14ac:dyDescent="0.3">
      <c r="A817">
        <v>100812</v>
      </c>
      <c r="B817" s="8">
        <v>45325.791666666657</v>
      </c>
      <c r="C817" t="s">
        <v>14</v>
      </c>
      <c r="D817" t="s">
        <v>17</v>
      </c>
      <c r="E817" t="s">
        <v>70</v>
      </c>
      <c r="F817" t="s">
        <v>71</v>
      </c>
      <c r="G817">
        <v>1</v>
      </c>
      <c r="H817">
        <v>99.8</v>
      </c>
      <c r="I817">
        <v>10</v>
      </c>
      <c r="J817" t="s">
        <v>76</v>
      </c>
      <c r="K817" t="s">
        <v>77</v>
      </c>
      <c r="L817">
        <v>99.8</v>
      </c>
      <c r="M817">
        <v>9.98</v>
      </c>
      <c r="N817">
        <v>89.82</v>
      </c>
      <c r="O8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7" s="9" t="str">
        <f ca="1">IF(OR(ISNUMBER(Table1[[#This Row],[Order_Date]])=FALSE,Table1[[#This Row],[Order_Date]]&lt;DATE(2000,1,1),Table1[[#This Row],[Order_Date]]&gt;TODAY()),"YES","NO")</f>
        <v>NO</v>
      </c>
    </row>
    <row r="818" spans="1:16" x14ac:dyDescent="0.3">
      <c r="A818">
        <v>100813</v>
      </c>
      <c r="B818" s="8">
        <v>45325.833333333343</v>
      </c>
      <c r="C818" t="s">
        <v>14</v>
      </c>
      <c r="D818" t="s">
        <v>22</v>
      </c>
      <c r="E818" t="s">
        <v>70</v>
      </c>
      <c r="F818" t="s">
        <v>71</v>
      </c>
      <c r="G818">
        <v>3</v>
      </c>
      <c r="H818">
        <v>50.65</v>
      </c>
      <c r="I818">
        <v>10</v>
      </c>
      <c r="J818" t="s">
        <v>73</v>
      </c>
      <c r="K818" t="s">
        <v>78</v>
      </c>
      <c r="L818">
        <v>151.94999999999999</v>
      </c>
      <c r="M818">
        <v>15.195</v>
      </c>
      <c r="N818">
        <v>136.755</v>
      </c>
      <c r="O8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18" s="9" t="str">
        <f ca="1">IF(OR(ISNUMBER(Table1[[#This Row],[Order_Date]])=FALSE,Table1[[#This Row],[Order_Date]]&lt;DATE(2000,1,1),Table1[[#This Row],[Order_Date]]&gt;TODAY()),"YES","NO")</f>
        <v>NO</v>
      </c>
    </row>
    <row r="819" spans="1:16" x14ac:dyDescent="0.3">
      <c r="A819">
        <v>100814</v>
      </c>
      <c r="B819" s="8">
        <v>45325.875</v>
      </c>
      <c r="C819" t="s">
        <v>15</v>
      </c>
      <c r="D819" t="s">
        <v>55</v>
      </c>
      <c r="E819" t="s">
        <v>70</v>
      </c>
      <c r="F819" t="s">
        <v>72</v>
      </c>
      <c r="G819">
        <v>4</v>
      </c>
      <c r="H819">
        <v>22.98</v>
      </c>
      <c r="I819">
        <v>5</v>
      </c>
      <c r="J819" t="s">
        <v>76</v>
      </c>
      <c r="K819" t="s">
        <v>77</v>
      </c>
      <c r="L819">
        <v>91.92</v>
      </c>
      <c r="M819">
        <v>4.5960000000000001</v>
      </c>
      <c r="N819">
        <v>87.323999999999998</v>
      </c>
      <c r="O8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19" s="9" t="str">
        <f ca="1">IF(OR(ISNUMBER(Table1[[#This Row],[Order_Date]])=FALSE,Table1[[#This Row],[Order_Date]]&lt;DATE(2000,1,1),Table1[[#This Row],[Order_Date]]&gt;TODAY()),"YES","NO")</f>
        <v>NO</v>
      </c>
    </row>
    <row r="820" spans="1:16" x14ac:dyDescent="0.3">
      <c r="A820">
        <v>100815</v>
      </c>
      <c r="B820" s="8">
        <v>45325.916666666657</v>
      </c>
      <c r="C820" t="s">
        <v>15</v>
      </c>
      <c r="D820" t="s">
        <v>34</v>
      </c>
      <c r="E820" t="s">
        <v>69</v>
      </c>
      <c r="F820" t="s">
        <v>71</v>
      </c>
      <c r="G820">
        <v>3</v>
      </c>
      <c r="H820">
        <v>89.86</v>
      </c>
      <c r="I820">
        <v>5</v>
      </c>
      <c r="J820" t="s">
        <v>76</v>
      </c>
      <c r="K820" t="s">
        <v>77</v>
      </c>
      <c r="L820">
        <v>269.58</v>
      </c>
      <c r="M820">
        <v>13.478999999999999</v>
      </c>
      <c r="N820">
        <v>256.101</v>
      </c>
      <c r="O8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0" s="9" t="str">
        <f ca="1">IF(OR(ISNUMBER(Table1[[#This Row],[Order_Date]])=FALSE,Table1[[#This Row],[Order_Date]]&lt;DATE(2000,1,1),Table1[[#This Row],[Order_Date]]&gt;TODAY()),"YES","NO")</f>
        <v>NO</v>
      </c>
    </row>
    <row r="821" spans="1:16" x14ac:dyDescent="0.3">
      <c r="A821">
        <v>100816</v>
      </c>
      <c r="B821" s="8">
        <v>45325.958333333343</v>
      </c>
      <c r="C821" t="s">
        <v>14</v>
      </c>
      <c r="D821" t="s">
        <v>49</v>
      </c>
      <c r="E821" t="s">
        <v>66</v>
      </c>
      <c r="F821" t="s">
        <v>71</v>
      </c>
      <c r="G821">
        <v>4</v>
      </c>
      <c r="H821">
        <v>46.45</v>
      </c>
      <c r="I821">
        <v>15</v>
      </c>
      <c r="J821" t="s">
        <v>75</v>
      </c>
      <c r="K821" t="s">
        <v>77</v>
      </c>
      <c r="L821">
        <v>185.8</v>
      </c>
      <c r="M821">
        <v>27.87</v>
      </c>
      <c r="N821">
        <v>157.93</v>
      </c>
      <c r="O8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1" s="9" t="str">
        <f ca="1">IF(OR(ISNUMBER(Table1[[#This Row],[Order_Date]])=FALSE,Table1[[#This Row],[Order_Date]]&lt;DATE(2000,1,1),Table1[[#This Row],[Order_Date]]&gt;TODAY()),"YES","NO")</f>
        <v>NO</v>
      </c>
    </row>
    <row r="822" spans="1:16" x14ac:dyDescent="0.3">
      <c r="A822">
        <v>100817</v>
      </c>
      <c r="B822" s="8">
        <v>45326</v>
      </c>
      <c r="C822" t="s">
        <v>14</v>
      </c>
      <c r="D822" t="s">
        <v>23</v>
      </c>
      <c r="E822" t="s">
        <v>69</v>
      </c>
      <c r="F822" t="s">
        <v>71</v>
      </c>
      <c r="G822">
        <v>2</v>
      </c>
      <c r="H822">
        <v>82.2</v>
      </c>
      <c r="I822">
        <v>0</v>
      </c>
      <c r="J822" t="s">
        <v>73</v>
      </c>
      <c r="K822" t="s">
        <v>77</v>
      </c>
      <c r="L822">
        <v>164.4</v>
      </c>
      <c r="M822">
        <v>0</v>
      </c>
      <c r="N822">
        <v>164.4</v>
      </c>
      <c r="O8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2" s="9" t="str">
        <f ca="1">IF(OR(ISNUMBER(Table1[[#This Row],[Order_Date]])=FALSE,Table1[[#This Row],[Order_Date]]&lt;DATE(2000,1,1),Table1[[#This Row],[Order_Date]]&gt;TODAY()),"YES","NO")</f>
        <v>NO</v>
      </c>
    </row>
    <row r="823" spans="1:16" x14ac:dyDescent="0.3">
      <c r="A823">
        <v>100818</v>
      </c>
      <c r="B823" s="8">
        <v>45326.041666666657</v>
      </c>
      <c r="C823" t="s">
        <v>14</v>
      </c>
      <c r="D823" t="s">
        <v>27</v>
      </c>
      <c r="E823" t="s">
        <v>68</v>
      </c>
      <c r="F823" t="s">
        <v>72</v>
      </c>
      <c r="G823">
        <v>5</v>
      </c>
      <c r="H823">
        <v>36.119999999999997</v>
      </c>
      <c r="I823">
        <v>5</v>
      </c>
      <c r="J823" t="s">
        <v>73</v>
      </c>
      <c r="K823" t="s">
        <v>77</v>
      </c>
      <c r="L823">
        <v>180.6</v>
      </c>
      <c r="M823">
        <v>9.0299999999999994</v>
      </c>
      <c r="N823">
        <v>171.57</v>
      </c>
      <c r="O8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3" s="9" t="str">
        <f ca="1">IF(OR(ISNUMBER(Table1[[#This Row],[Order_Date]])=FALSE,Table1[[#This Row],[Order_Date]]&lt;DATE(2000,1,1),Table1[[#This Row],[Order_Date]]&gt;TODAY()),"YES","NO")</f>
        <v>NO</v>
      </c>
    </row>
    <row r="824" spans="1:16" x14ac:dyDescent="0.3">
      <c r="A824">
        <v>100819</v>
      </c>
      <c r="B824" s="8">
        <v>45326.083333333343</v>
      </c>
      <c r="C824" t="s">
        <v>15</v>
      </c>
      <c r="D824" t="s">
        <v>46</v>
      </c>
      <c r="E824" t="s">
        <v>70</v>
      </c>
      <c r="F824" t="s">
        <v>72</v>
      </c>
      <c r="G824">
        <v>4</v>
      </c>
      <c r="H824">
        <v>14.34</v>
      </c>
      <c r="I824">
        <v>15</v>
      </c>
      <c r="J824" t="s">
        <v>76</v>
      </c>
      <c r="K824" t="s">
        <v>77</v>
      </c>
      <c r="L824">
        <v>57.36</v>
      </c>
      <c r="M824">
        <v>8.6039999999999992</v>
      </c>
      <c r="N824">
        <v>48.756</v>
      </c>
      <c r="O8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4" s="9" t="str">
        <f ca="1">IF(OR(ISNUMBER(Table1[[#This Row],[Order_Date]])=FALSE,Table1[[#This Row],[Order_Date]]&lt;DATE(2000,1,1),Table1[[#This Row],[Order_Date]]&gt;TODAY()),"YES","NO")</f>
        <v>NO</v>
      </c>
    </row>
    <row r="825" spans="1:16" x14ac:dyDescent="0.3">
      <c r="A825">
        <v>100820</v>
      </c>
      <c r="B825" s="8">
        <v>45326.125</v>
      </c>
      <c r="C825" t="s">
        <v>14</v>
      </c>
      <c r="D825" t="s">
        <v>33</v>
      </c>
      <c r="E825" t="s">
        <v>68</v>
      </c>
      <c r="F825" t="s">
        <v>71</v>
      </c>
      <c r="G825">
        <v>1</v>
      </c>
      <c r="H825">
        <v>119.15</v>
      </c>
      <c r="I825">
        <v>5</v>
      </c>
      <c r="J825" t="s">
        <v>75</v>
      </c>
      <c r="K825" t="s">
        <v>77</v>
      </c>
      <c r="L825">
        <v>119.15</v>
      </c>
      <c r="M825">
        <v>5.9574999999999996</v>
      </c>
      <c r="N825">
        <v>113.1925</v>
      </c>
      <c r="O8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5" s="9" t="str">
        <f ca="1">IF(OR(ISNUMBER(Table1[[#This Row],[Order_Date]])=FALSE,Table1[[#This Row],[Order_Date]]&lt;DATE(2000,1,1),Table1[[#This Row],[Order_Date]]&gt;TODAY()),"YES","NO")</f>
        <v>NO</v>
      </c>
    </row>
    <row r="826" spans="1:16" x14ac:dyDescent="0.3">
      <c r="A826">
        <v>100821</v>
      </c>
      <c r="B826" s="8">
        <v>45326.166666666657</v>
      </c>
      <c r="C826" t="s">
        <v>14</v>
      </c>
      <c r="D826" t="s">
        <v>56</v>
      </c>
      <c r="E826" t="s">
        <v>67</v>
      </c>
      <c r="F826" t="s">
        <v>71</v>
      </c>
      <c r="G826">
        <v>3</v>
      </c>
      <c r="H826">
        <v>22.96</v>
      </c>
      <c r="I826">
        <v>10</v>
      </c>
      <c r="J826" t="s">
        <v>73</v>
      </c>
      <c r="K826" t="s">
        <v>77</v>
      </c>
      <c r="L826">
        <v>68.88</v>
      </c>
      <c r="M826">
        <v>6.8879999999999999</v>
      </c>
      <c r="N826">
        <v>61.991999999999997</v>
      </c>
      <c r="O8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6" s="9" t="str">
        <f ca="1">IF(OR(ISNUMBER(Table1[[#This Row],[Order_Date]])=FALSE,Table1[[#This Row],[Order_Date]]&lt;DATE(2000,1,1),Table1[[#This Row],[Order_Date]]&gt;TODAY()),"YES","NO")</f>
        <v>NO</v>
      </c>
    </row>
    <row r="827" spans="1:16" x14ac:dyDescent="0.3">
      <c r="A827">
        <v>100822</v>
      </c>
      <c r="B827" s="8">
        <v>45326.208333333343</v>
      </c>
      <c r="C827" t="s">
        <v>15</v>
      </c>
      <c r="D827" t="s">
        <v>25</v>
      </c>
      <c r="E827" t="s">
        <v>67</v>
      </c>
      <c r="F827" t="s">
        <v>71</v>
      </c>
      <c r="G827">
        <v>2</v>
      </c>
      <c r="H827">
        <v>118.67</v>
      </c>
      <c r="I827">
        <v>5</v>
      </c>
      <c r="J827" t="s">
        <v>76</v>
      </c>
      <c r="K827" t="s">
        <v>77</v>
      </c>
      <c r="L827">
        <v>237.34</v>
      </c>
      <c r="M827">
        <v>11.867000000000001</v>
      </c>
      <c r="N827">
        <v>225.47300000000001</v>
      </c>
      <c r="O8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7" s="9" t="str">
        <f ca="1">IF(OR(ISNUMBER(Table1[[#This Row],[Order_Date]])=FALSE,Table1[[#This Row],[Order_Date]]&lt;DATE(2000,1,1),Table1[[#This Row],[Order_Date]]&gt;TODAY()),"YES","NO")</f>
        <v>NO</v>
      </c>
    </row>
    <row r="828" spans="1:16" x14ac:dyDescent="0.3">
      <c r="A828">
        <v>100823</v>
      </c>
      <c r="B828" s="8">
        <v>45326.25</v>
      </c>
      <c r="C828" t="s">
        <v>15</v>
      </c>
      <c r="D828" t="s">
        <v>27</v>
      </c>
      <c r="E828" t="s">
        <v>69</v>
      </c>
      <c r="F828" t="s">
        <v>72</v>
      </c>
      <c r="G828">
        <v>1</v>
      </c>
      <c r="H828">
        <v>117.39</v>
      </c>
      <c r="I828">
        <v>0</v>
      </c>
      <c r="J828" t="s">
        <v>73</v>
      </c>
      <c r="K828" t="s">
        <v>77</v>
      </c>
      <c r="L828">
        <v>117.39</v>
      </c>
      <c r="M828">
        <v>0</v>
      </c>
      <c r="N828">
        <v>117.39</v>
      </c>
      <c r="O8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28" s="9" t="str">
        <f ca="1">IF(OR(ISNUMBER(Table1[[#This Row],[Order_Date]])=FALSE,Table1[[#This Row],[Order_Date]]&lt;DATE(2000,1,1),Table1[[#This Row],[Order_Date]]&gt;TODAY()),"YES","NO")</f>
        <v>NO</v>
      </c>
    </row>
    <row r="829" spans="1:16" x14ac:dyDescent="0.3">
      <c r="A829">
        <v>100824</v>
      </c>
      <c r="B829" s="8">
        <v>45326.291666666657</v>
      </c>
      <c r="C829" t="s">
        <v>14</v>
      </c>
      <c r="D829" t="s">
        <v>61</v>
      </c>
      <c r="E829" t="s">
        <v>66</v>
      </c>
      <c r="F829" t="s">
        <v>72</v>
      </c>
      <c r="G829">
        <v>2</v>
      </c>
      <c r="H829">
        <v>96.29</v>
      </c>
      <c r="I829">
        <v>5</v>
      </c>
      <c r="J829" t="s">
        <v>75</v>
      </c>
      <c r="K829" t="s">
        <v>78</v>
      </c>
      <c r="L829">
        <v>192.58</v>
      </c>
      <c r="M829">
        <v>9.6290000000000013</v>
      </c>
      <c r="N829">
        <v>182.95099999999999</v>
      </c>
      <c r="O8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29" s="9" t="str">
        <f ca="1">IF(OR(ISNUMBER(Table1[[#This Row],[Order_Date]])=FALSE,Table1[[#This Row],[Order_Date]]&lt;DATE(2000,1,1),Table1[[#This Row],[Order_Date]]&gt;TODAY()),"YES","NO")</f>
        <v>NO</v>
      </c>
    </row>
    <row r="830" spans="1:16" x14ac:dyDescent="0.3">
      <c r="A830">
        <v>100825</v>
      </c>
      <c r="B830" s="8">
        <v>45326.333333333343</v>
      </c>
      <c r="C830" t="s">
        <v>15</v>
      </c>
      <c r="D830" t="s">
        <v>56</v>
      </c>
      <c r="E830" t="s">
        <v>68</v>
      </c>
      <c r="F830" t="s">
        <v>72</v>
      </c>
      <c r="G830">
        <v>5</v>
      </c>
      <c r="H830">
        <v>80.83</v>
      </c>
      <c r="I830">
        <v>0</v>
      </c>
      <c r="J830" t="s">
        <v>75</v>
      </c>
      <c r="K830" t="s">
        <v>77</v>
      </c>
      <c r="L830">
        <v>404.15</v>
      </c>
      <c r="M830">
        <v>0</v>
      </c>
      <c r="N830">
        <v>404.15</v>
      </c>
      <c r="O8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0" s="9" t="str">
        <f ca="1">IF(OR(ISNUMBER(Table1[[#This Row],[Order_Date]])=FALSE,Table1[[#This Row],[Order_Date]]&lt;DATE(2000,1,1),Table1[[#This Row],[Order_Date]]&gt;TODAY()),"YES","NO")</f>
        <v>NO</v>
      </c>
    </row>
    <row r="831" spans="1:16" x14ac:dyDescent="0.3">
      <c r="A831">
        <v>100826</v>
      </c>
      <c r="B831" s="8">
        <v>45326.375</v>
      </c>
      <c r="C831" t="s">
        <v>15</v>
      </c>
      <c r="D831" t="s">
        <v>16</v>
      </c>
      <c r="E831" t="s">
        <v>66</v>
      </c>
      <c r="F831" t="s">
        <v>71</v>
      </c>
      <c r="G831">
        <v>3</v>
      </c>
      <c r="H831">
        <v>71.45</v>
      </c>
      <c r="I831">
        <v>10</v>
      </c>
      <c r="J831" t="s">
        <v>75</v>
      </c>
      <c r="K831" t="s">
        <v>78</v>
      </c>
      <c r="L831">
        <v>214.35</v>
      </c>
      <c r="M831">
        <v>21.434999999999999</v>
      </c>
      <c r="N831">
        <v>192.91499999999999</v>
      </c>
      <c r="O8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31" s="9" t="str">
        <f ca="1">IF(OR(ISNUMBER(Table1[[#This Row],[Order_Date]])=FALSE,Table1[[#This Row],[Order_Date]]&lt;DATE(2000,1,1),Table1[[#This Row],[Order_Date]]&gt;TODAY()),"YES","NO")</f>
        <v>NO</v>
      </c>
    </row>
    <row r="832" spans="1:16" x14ac:dyDescent="0.3">
      <c r="A832">
        <v>100827</v>
      </c>
      <c r="B832" s="8">
        <v>45326.416666666657</v>
      </c>
      <c r="C832" t="s">
        <v>14</v>
      </c>
      <c r="D832" t="s">
        <v>52</v>
      </c>
      <c r="E832" t="s">
        <v>69</v>
      </c>
      <c r="F832" t="s">
        <v>72</v>
      </c>
      <c r="G832">
        <v>3</v>
      </c>
      <c r="H832">
        <v>104.6</v>
      </c>
      <c r="I832">
        <v>0</v>
      </c>
      <c r="J832" t="s">
        <v>73</v>
      </c>
      <c r="K832" t="s">
        <v>77</v>
      </c>
      <c r="L832">
        <v>313.8</v>
      </c>
      <c r="M832">
        <v>0</v>
      </c>
      <c r="N832">
        <v>313.8</v>
      </c>
      <c r="O8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2" s="9" t="str">
        <f ca="1">IF(OR(ISNUMBER(Table1[[#This Row],[Order_Date]])=FALSE,Table1[[#This Row],[Order_Date]]&lt;DATE(2000,1,1),Table1[[#This Row],[Order_Date]]&gt;TODAY()),"YES","NO")</f>
        <v>NO</v>
      </c>
    </row>
    <row r="833" spans="1:16" x14ac:dyDescent="0.3">
      <c r="A833">
        <v>100828</v>
      </c>
      <c r="B833" s="8">
        <v>45326.458333333343</v>
      </c>
      <c r="C833" t="s">
        <v>15</v>
      </c>
      <c r="D833" t="s">
        <v>46</v>
      </c>
      <c r="E833" t="s">
        <v>67</v>
      </c>
      <c r="F833" t="s">
        <v>71</v>
      </c>
      <c r="G833">
        <v>5</v>
      </c>
      <c r="H833">
        <v>38.29</v>
      </c>
      <c r="I833">
        <v>5</v>
      </c>
      <c r="J833" t="s">
        <v>74</v>
      </c>
      <c r="K833" t="s">
        <v>77</v>
      </c>
      <c r="L833">
        <v>191.45</v>
      </c>
      <c r="M833">
        <v>9.5724999999999998</v>
      </c>
      <c r="N833">
        <v>181.8775</v>
      </c>
      <c r="O8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3" s="9" t="str">
        <f ca="1">IF(OR(ISNUMBER(Table1[[#This Row],[Order_Date]])=FALSE,Table1[[#This Row],[Order_Date]]&lt;DATE(2000,1,1),Table1[[#This Row],[Order_Date]]&gt;TODAY()),"YES","NO")</f>
        <v>NO</v>
      </c>
    </row>
    <row r="834" spans="1:16" x14ac:dyDescent="0.3">
      <c r="A834">
        <v>100829</v>
      </c>
      <c r="B834" s="8">
        <v>45326.5</v>
      </c>
      <c r="C834" t="s">
        <v>14</v>
      </c>
      <c r="D834" t="s">
        <v>60</v>
      </c>
      <c r="E834" t="s">
        <v>66</v>
      </c>
      <c r="F834" t="s">
        <v>71</v>
      </c>
      <c r="G834">
        <v>3</v>
      </c>
      <c r="H834">
        <v>58.78</v>
      </c>
      <c r="I834">
        <v>15</v>
      </c>
      <c r="J834" t="s">
        <v>73</v>
      </c>
      <c r="K834" t="s">
        <v>77</v>
      </c>
      <c r="L834">
        <v>176.34</v>
      </c>
      <c r="M834">
        <v>26.451000000000001</v>
      </c>
      <c r="N834">
        <v>149.88900000000001</v>
      </c>
      <c r="O8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4" s="9" t="str">
        <f ca="1">IF(OR(ISNUMBER(Table1[[#This Row],[Order_Date]])=FALSE,Table1[[#This Row],[Order_Date]]&lt;DATE(2000,1,1),Table1[[#This Row],[Order_Date]]&gt;TODAY()),"YES","NO")</f>
        <v>NO</v>
      </c>
    </row>
    <row r="835" spans="1:16" x14ac:dyDescent="0.3">
      <c r="A835">
        <v>100830</v>
      </c>
      <c r="B835" s="8">
        <v>45326.541666666657</v>
      </c>
      <c r="C835" t="s">
        <v>15</v>
      </c>
      <c r="D835" t="s">
        <v>25</v>
      </c>
      <c r="E835" t="s">
        <v>66</v>
      </c>
      <c r="F835" t="s">
        <v>71</v>
      </c>
      <c r="G835">
        <v>4</v>
      </c>
      <c r="H835">
        <v>76.23</v>
      </c>
      <c r="I835">
        <v>10</v>
      </c>
      <c r="J835" t="s">
        <v>74</v>
      </c>
      <c r="K835" t="s">
        <v>77</v>
      </c>
      <c r="L835">
        <v>304.92</v>
      </c>
      <c r="M835">
        <v>30.492000000000001</v>
      </c>
      <c r="N835">
        <v>274.428</v>
      </c>
      <c r="O8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5" s="9" t="str">
        <f ca="1">IF(OR(ISNUMBER(Table1[[#This Row],[Order_Date]])=FALSE,Table1[[#This Row],[Order_Date]]&lt;DATE(2000,1,1),Table1[[#This Row],[Order_Date]]&gt;TODAY()),"YES","NO")</f>
        <v>NO</v>
      </c>
    </row>
    <row r="836" spans="1:16" x14ac:dyDescent="0.3">
      <c r="A836">
        <v>100831</v>
      </c>
      <c r="B836" s="8">
        <v>45326.583333333343</v>
      </c>
      <c r="C836" t="s">
        <v>14</v>
      </c>
      <c r="D836" t="s">
        <v>58</v>
      </c>
      <c r="E836" t="s">
        <v>67</v>
      </c>
      <c r="F836" t="s">
        <v>72</v>
      </c>
      <c r="G836">
        <v>2</v>
      </c>
      <c r="H836">
        <v>52.29</v>
      </c>
      <c r="I836">
        <v>5</v>
      </c>
      <c r="J836" t="s">
        <v>75</v>
      </c>
      <c r="K836" t="s">
        <v>77</v>
      </c>
      <c r="L836">
        <v>104.58</v>
      </c>
      <c r="M836">
        <v>5.2290000000000001</v>
      </c>
      <c r="N836">
        <v>99.350999999999999</v>
      </c>
      <c r="O8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6" s="9" t="str">
        <f ca="1">IF(OR(ISNUMBER(Table1[[#This Row],[Order_Date]])=FALSE,Table1[[#This Row],[Order_Date]]&lt;DATE(2000,1,1),Table1[[#This Row],[Order_Date]]&gt;TODAY()),"YES","NO")</f>
        <v>NO</v>
      </c>
    </row>
    <row r="837" spans="1:16" x14ac:dyDescent="0.3">
      <c r="A837">
        <v>100832</v>
      </c>
      <c r="B837" s="8">
        <v>45326.625</v>
      </c>
      <c r="C837" t="s">
        <v>14</v>
      </c>
      <c r="D837" t="s">
        <v>35</v>
      </c>
      <c r="E837" t="s">
        <v>68</v>
      </c>
      <c r="F837" t="s">
        <v>71</v>
      </c>
      <c r="G837">
        <v>1</v>
      </c>
      <c r="H837">
        <v>54.16</v>
      </c>
      <c r="I837">
        <v>10</v>
      </c>
      <c r="J837" t="s">
        <v>76</v>
      </c>
      <c r="K837" t="s">
        <v>77</v>
      </c>
      <c r="L837">
        <v>54.16</v>
      </c>
      <c r="M837">
        <v>5.4160000000000004</v>
      </c>
      <c r="N837">
        <v>48.744</v>
      </c>
      <c r="O8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7" s="9" t="str">
        <f ca="1">IF(OR(ISNUMBER(Table1[[#This Row],[Order_Date]])=FALSE,Table1[[#This Row],[Order_Date]]&lt;DATE(2000,1,1),Table1[[#This Row],[Order_Date]]&gt;TODAY()),"YES","NO")</f>
        <v>NO</v>
      </c>
    </row>
    <row r="838" spans="1:16" x14ac:dyDescent="0.3">
      <c r="A838">
        <v>100833</v>
      </c>
      <c r="B838" s="8">
        <v>45326.666666666657</v>
      </c>
      <c r="C838" t="s">
        <v>14</v>
      </c>
      <c r="D838" t="s">
        <v>44</v>
      </c>
      <c r="E838" t="s">
        <v>67</v>
      </c>
      <c r="F838" t="s">
        <v>72</v>
      </c>
      <c r="G838">
        <v>5</v>
      </c>
      <c r="H838">
        <v>42.98</v>
      </c>
      <c r="I838">
        <v>10</v>
      </c>
      <c r="J838" t="s">
        <v>74</v>
      </c>
      <c r="K838" t="s">
        <v>77</v>
      </c>
      <c r="L838">
        <v>214.9</v>
      </c>
      <c r="M838">
        <v>21.49</v>
      </c>
      <c r="N838">
        <v>193.41</v>
      </c>
      <c r="O8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8" s="9" t="str">
        <f ca="1">IF(OR(ISNUMBER(Table1[[#This Row],[Order_Date]])=FALSE,Table1[[#This Row],[Order_Date]]&lt;DATE(2000,1,1),Table1[[#This Row],[Order_Date]]&gt;TODAY()),"YES","NO")</f>
        <v>NO</v>
      </c>
    </row>
    <row r="839" spans="1:16" x14ac:dyDescent="0.3">
      <c r="A839">
        <v>100834</v>
      </c>
      <c r="B839" s="8">
        <v>45326.708333333343</v>
      </c>
      <c r="C839" t="s">
        <v>15</v>
      </c>
      <c r="D839" t="s">
        <v>48</v>
      </c>
      <c r="E839" t="s">
        <v>66</v>
      </c>
      <c r="F839" t="s">
        <v>72</v>
      </c>
      <c r="G839">
        <v>4</v>
      </c>
      <c r="H839">
        <v>69.89</v>
      </c>
      <c r="I839">
        <v>5</v>
      </c>
      <c r="J839" t="s">
        <v>75</v>
      </c>
      <c r="K839" t="s">
        <v>77</v>
      </c>
      <c r="L839">
        <v>279.56</v>
      </c>
      <c r="M839">
        <v>13.978</v>
      </c>
      <c r="N839">
        <v>265.58199999999999</v>
      </c>
      <c r="O8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39" s="9" t="str">
        <f ca="1">IF(OR(ISNUMBER(Table1[[#This Row],[Order_Date]])=FALSE,Table1[[#This Row],[Order_Date]]&lt;DATE(2000,1,1),Table1[[#This Row],[Order_Date]]&gt;TODAY()),"YES","NO")</f>
        <v>NO</v>
      </c>
    </row>
    <row r="840" spans="1:16" x14ac:dyDescent="0.3">
      <c r="A840">
        <v>100835</v>
      </c>
      <c r="B840" s="8">
        <v>45326.75</v>
      </c>
      <c r="C840" t="s">
        <v>14</v>
      </c>
      <c r="D840" t="s">
        <v>50</v>
      </c>
      <c r="E840" t="s">
        <v>68</v>
      </c>
      <c r="F840" t="s">
        <v>71</v>
      </c>
      <c r="G840">
        <v>1</v>
      </c>
      <c r="H840">
        <v>102.82</v>
      </c>
      <c r="I840">
        <v>5</v>
      </c>
      <c r="J840" t="s">
        <v>75</v>
      </c>
      <c r="K840" t="s">
        <v>77</v>
      </c>
      <c r="L840">
        <v>102.82</v>
      </c>
      <c r="M840">
        <v>5.141</v>
      </c>
      <c r="N840">
        <v>97.678999999999988</v>
      </c>
      <c r="O8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0" s="9" t="str">
        <f ca="1">IF(OR(ISNUMBER(Table1[[#This Row],[Order_Date]])=FALSE,Table1[[#This Row],[Order_Date]]&lt;DATE(2000,1,1),Table1[[#This Row],[Order_Date]]&gt;TODAY()),"YES","NO")</f>
        <v>NO</v>
      </c>
    </row>
    <row r="841" spans="1:16" x14ac:dyDescent="0.3">
      <c r="A841">
        <v>100836</v>
      </c>
      <c r="B841" s="8">
        <v>45326.791666666657</v>
      </c>
      <c r="C841" t="s">
        <v>15</v>
      </c>
      <c r="D841" t="s">
        <v>62</v>
      </c>
      <c r="E841" t="s">
        <v>68</v>
      </c>
      <c r="F841" t="s">
        <v>71</v>
      </c>
      <c r="G841">
        <v>1</v>
      </c>
      <c r="H841">
        <v>28.18</v>
      </c>
      <c r="I841">
        <v>15</v>
      </c>
      <c r="J841" t="s">
        <v>74</v>
      </c>
      <c r="K841" t="s">
        <v>78</v>
      </c>
      <c r="L841">
        <v>28.18</v>
      </c>
      <c r="M841">
        <v>4.2269999999999994</v>
      </c>
      <c r="N841">
        <v>23.952999999999999</v>
      </c>
      <c r="O8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41" s="9" t="str">
        <f ca="1">IF(OR(ISNUMBER(Table1[[#This Row],[Order_Date]])=FALSE,Table1[[#This Row],[Order_Date]]&lt;DATE(2000,1,1),Table1[[#This Row],[Order_Date]]&gt;TODAY()),"YES","NO")</f>
        <v>NO</v>
      </c>
    </row>
    <row r="842" spans="1:16" x14ac:dyDescent="0.3">
      <c r="A842">
        <v>100837</v>
      </c>
      <c r="B842" s="8">
        <v>45326.833333333343</v>
      </c>
      <c r="C842" t="s">
        <v>14</v>
      </c>
      <c r="D842" t="s">
        <v>54</v>
      </c>
      <c r="E842" t="s">
        <v>67</v>
      </c>
      <c r="F842" t="s">
        <v>72</v>
      </c>
      <c r="G842">
        <v>5</v>
      </c>
      <c r="H842">
        <v>112.46</v>
      </c>
      <c r="I842">
        <v>10</v>
      </c>
      <c r="J842" t="s">
        <v>76</v>
      </c>
      <c r="K842" t="s">
        <v>77</v>
      </c>
      <c r="L842">
        <v>562.29999999999995</v>
      </c>
      <c r="M842">
        <v>56.23</v>
      </c>
      <c r="N842">
        <v>506.06999999999988</v>
      </c>
      <c r="O8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2" s="9" t="str">
        <f ca="1">IF(OR(ISNUMBER(Table1[[#This Row],[Order_Date]])=FALSE,Table1[[#This Row],[Order_Date]]&lt;DATE(2000,1,1),Table1[[#This Row],[Order_Date]]&gt;TODAY()),"YES","NO")</f>
        <v>NO</v>
      </c>
    </row>
    <row r="843" spans="1:16" x14ac:dyDescent="0.3">
      <c r="A843">
        <v>100838</v>
      </c>
      <c r="B843" s="8">
        <v>45326.875</v>
      </c>
      <c r="C843" t="s">
        <v>14</v>
      </c>
      <c r="D843" t="s">
        <v>41</v>
      </c>
      <c r="E843" t="s">
        <v>66</v>
      </c>
      <c r="F843" t="s">
        <v>71</v>
      </c>
      <c r="G843">
        <v>4</v>
      </c>
      <c r="H843">
        <v>84.25</v>
      </c>
      <c r="I843">
        <v>10</v>
      </c>
      <c r="J843" t="s">
        <v>75</v>
      </c>
      <c r="K843" t="s">
        <v>79</v>
      </c>
      <c r="L843">
        <v>337</v>
      </c>
      <c r="M843">
        <v>33.700000000000003</v>
      </c>
      <c r="N843">
        <v>303.3</v>
      </c>
      <c r="O8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43" s="9" t="str">
        <f ca="1">IF(OR(ISNUMBER(Table1[[#This Row],[Order_Date]])=FALSE,Table1[[#This Row],[Order_Date]]&lt;DATE(2000,1,1),Table1[[#This Row],[Order_Date]]&gt;TODAY()),"YES","NO")</f>
        <v>NO</v>
      </c>
    </row>
    <row r="844" spans="1:16" x14ac:dyDescent="0.3">
      <c r="A844">
        <v>100839</v>
      </c>
      <c r="B844" s="8">
        <v>45326.916666666657</v>
      </c>
      <c r="C844" t="s">
        <v>15</v>
      </c>
      <c r="D844" t="s">
        <v>49</v>
      </c>
      <c r="E844" t="s">
        <v>69</v>
      </c>
      <c r="F844" t="s">
        <v>72</v>
      </c>
      <c r="G844">
        <v>1</v>
      </c>
      <c r="H844">
        <v>99.68</v>
      </c>
      <c r="I844">
        <v>5</v>
      </c>
      <c r="J844" t="s">
        <v>74</v>
      </c>
      <c r="K844" t="s">
        <v>77</v>
      </c>
      <c r="L844">
        <v>99.68</v>
      </c>
      <c r="M844">
        <v>4.9840000000000009</v>
      </c>
      <c r="N844">
        <v>94.696000000000012</v>
      </c>
      <c r="O8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4" s="9" t="str">
        <f ca="1">IF(OR(ISNUMBER(Table1[[#This Row],[Order_Date]])=FALSE,Table1[[#This Row],[Order_Date]]&lt;DATE(2000,1,1),Table1[[#This Row],[Order_Date]]&gt;TODAY()),"YES","NO")</f>
        <v>NO</v>
      </c>
    </row>
    <row r="845" spans="1:16" x14ac:dyDescent="0.3">
      <c r="A845">
        <v>100840</v>
      </c>
      <c r="B845" s="8">
        <v>45326.958333333343</v>
      </c>
      <c r="C845" t="s">
        <v>14</v>
      </c>
      <c r="D845" t="s">
        <v>58</v>
      </c>
      <c r="E845" t="s">
        <v>66</v>
      </c>
      <c r="F845" t="s">
        <v>71</v>
      </c>
      <c r="G845">
        <v>1</v>
      </c>
      <c r="H845">
        <v>68.959999999999994</v>
      </c>
      <c r="I845">
        <v>0</v>
      </c>
      <c r="J845" t="s">
        <v>76</v>
      </c>
      <c r="K845" t="s">
        <v>77</v>
      </c>
      <c r="L845">
        <v>68.959999999999994</v>
      </c>
      <c r="M845">
        <v>0</v>
      </c>
      <c r="N845">
        <v>68.959999999999994</v>
      </c>
      <c r="O8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5" s="9" t="str">
        <f ca="1">IF(OR(ISNUMBER(Table1[[#This Row],[Order_Date]])=FALSE,Table1[[#This Row],[Order_Date]]&lt;DATE(2000,1,1),Table1[[#This Row],[Order_Date]]&gt;TODAY()),"YES","NO")</f>
        <v>NO</v>
      </c>
    </row>
    <row r="846" spans="1:16" x14ac:dyDescent="0.3">
      <c r="A846">
        <v>100841</v>
      </c>
      <c r="B846" s="8">
        <v>45327</v>
      </c>
      <c r="C846" t="s">
        <v>14</v>
      </c>
      <c r="D846" t="s">
        <v>56</v>
      </c>
      <c r="E846" t="s">
        <v>70</v>
      </c>
      <c r="F846" t="s">
        <v>72</v>
      </c>
      <c r="G846">
        <v>4</v>
      </c>
      <c r="H846">
        <v>94.64</v>
      </c>
      <c r="I846">
        <v>5</v>
      </c>
      <c r="J846" t="s">
        <v>76</v>
      </c>
      <c r="K846" t="s">
        <v>77</v>
      </c>
      <c r="L846">
        <v>378.56</v>
      </c>
      <c r="M846">
        <v>18.928000000000001</v>
      </c>
      <c r="N846">
        <v>359.63200000000001</v>
      </c>
      <c r="O8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6" s="9" t="str">
        <f ca="1">IF(OR(ISNUMBER(Table1[[#This Row],[Order_Date]])=FALSE,Table1[[#This Row],[Order_Date]]&lt;DATE(2000,1,1),Table1[[#This Row],[Order_Date]]&gt;TODAY()),"YES","NO")</f>
        <v>NO</v>
      </c>
    </row>
    <row r="847" spans="1:16" x14ac:dyDescent="0.3">
      <c r="A847">
        <v>100842</v>
      </c>
      <c r="B847" s="8">
        <v>45327.041666666657</v>
      </c>
      <c r="C847" t="s">
        <v>15</v>
      </c>
      <c r="D847" t="s">
        <v>59</v>
      </c>
      <c r="E847" t="s">
        <v>69</v>
      </c>
      <c r="F847" t="s">
        <v>72</v>
      </c>
      <c r="G847">
        <v>3</v>
      </c>
      <c r="H847">
        <v>6.86</v>
      </c>
      <c r="I847">
        <v>10</v>
      </c>
      <c r="J847" t="s">
        <v>75</v>
      </c>
      <c r="K847" t="s">
        <v>77</v>
      </c>
      <c r="L847">
        <v>20.58</v>
      </c>
      <c r="M847">
        <v>2.0579999999999998</v>
      </c>
      <c r="N847">
        <v>18.521999999999998</v>
      </c>
      <c r="O8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7" s="9" t="str">
        <f ca="1">IF(OR(ISNUMBER(Table1[[#This Row],[Order_Date]])=FALSE,Table1[[#This Row],[Order_Date]]&lt;DATE(2000,1,1),Table1[[#This Row],[Order_Date]]&gt;TODAY()),"YES","NO")</f>
        <v>NO</v>
      </c>
    </row>
    <row r="848" spans="1:16" x14ac:dyDescent="0.3">
      <c r="A848">
        <v>100843</v>
      </c>
      <c r="B848" s="8">
        <v>45327.083333333343</v>
      </c>
      <c r="C848" t="s">
        <v>14</v>
      </c>
      <c r="D848" t="s">
        <v>38</v>
      </c>
      <c r="E848" t="s">
        <v>68</v>
      </c>
      <c r="F848" t="s">
        <v>72</v>
      </c>
      <c r="G848">
        <v>1</v>
      </c>
      <c r="H848">
        <v>99.11</v>
      </c>
      <c r="I848">
        <v>5</v>
      </c>
      <c r="J848" t="s">
        <v>73</v>
      </c>
      <c r="K848" t="s">
        <v>77</v>
      </c>
      <c r="L848">
        <v>99.11</v>
      </c>
      <c r="M848">
        <v>4.9555000000000007</v>
      </c>
      <c r="N848">
        <v>94.154499999999999</v>
      </c>
      <c r="O8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8" s="9" t="str">
        <f ca="1">IF(OR(ISNUMBER(Table1[[#This Row],[Order_Date]])=FALSE,Table1[[#This Row],[Order_Date]]&lt;DATE(2000,1,1),Table1[[#This Row],[Order_Date]]&gt;TODAY()),"YES","NO")</f>
        <v>NO</v>
      </c>
    </row>
    <row r="849" spans="1:16" x14ac:dyDescent="0.3">
      <c r="A849">
        <v>100844</v>
      </c>
      <c r="B849" s="8">
        <v>45327.125</v>
      </c>
      <c r="C849" t="s">
        <v>14</v>
      </c>
      <c r="D849" t="s">
        <v>53</v>
      </c>
      <c r="E849" t="s">
        <v>69</v>
      </c>
      <c r="F849" t="s">
        <v>72</v>
      </c>
      <c r="G849">
        <v>2</v>
      </c>
      <c r="H849">
        <v>9.6199999999999992</v>
      </c>
      <c r="I849">
        <v>15</v>
      </c>
      <c r="J849" t="s">
        <v>73</v>
      </c>
      <c r="K849" t="s">
        <v>77</v>
      </c>
      <c r="L849">
        <v>19.239999999999998</v>
      </c>
      <c r="M849">
        <v>2.8860000000000001</v>
      </c>
      <c r="N849">
        <v>16.353999999999999</v>
      </c>
      <c r="O8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49" s="9" t="str">
        <f ca="1">IF(OR(ISNUMBER(Table1[[#This Row],[Order_Date]])=FALSE,Table1[[#This Row],[Order_Date]]&lt;DATE(2000,1,1),Table1[[#This Row],[Order_Date]]&gt;TODAY()),"YES","NO")</f>
        <v>NO</v>
      </c>
    </row>
    <row r="850" spans="1:16" x14ac:dyDescent="0.3">
      <c r="A850">
        <v>100845</v>
      </c>
      <c r="B850" s="8">
        <v>45327.166666666657</v>
      </c>
      <c r="C850" t="s">
        <v>14</v>
      </c>
      <c r="D850" t="s">
        <v>23</v>
      </c>
      <c r="E850" t="s">
        <v>68</v>
      </c>
      <c r="F850" t="s">
        <v>71</v>
      </c>
      <c r="G850">
        <v>4</v>
      </c>
      <c r="H850">
        <v>107.34</v>
      </c>
      <c r="I850">
        <v>0</v>
      </c>
      <c r="J850" t="s">
        <v>75</v>
      </c>
      <c r="K850" t="s">
        <v>77</v>
      </c>
      <c r="L850">
        <v>429.36</v>
      </c>
      <c r="M850">
        <v>0</v>
      </c>
      <c r="N850">
        <v>429.36</v>
      </c>
      <c r="O8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0" s="9" t="str">
        <f ca="1">IF(OR(ISNUMBER(Table1[[#This Row],[Order_Date]])=FALSE,Table1[[#This Row],[Order_Date]]&lt;DATE(2000,1,1),Table1[[#This Row],[Order_Date]]&gt;TODAY()),"YES","NO")</f>
        <v>NO</v>
      </c>
    </row>
    <row r="851" spans="1:16" x14ac:dyDescent="0.3">
      <c r="A851">
        <v>100846</v>
      </c>
      <c r="B851" s="8">
        <v>45327.208333333343</v>
      </c>
      <c r="C851" t="s">
        <v>14</v>
      </c>
      <c r="D851" t="s">
        <v>42</v>
      </c>
      <c r="E851" t="s">
        <v>68</v>
      </c>
      <c r="F851" t="s">
        <v>71</v>
      </c>
      <c r="G851">
        <v>1</v>
      </c>
      <c r="H851">
        <v>119.08</v>
      </c>
      <c r="I851">
        <v>5</v>
      </c>
      <c r="J851" t="s">
        <v>76</v>
      </c>
      <c r="K851" t="s">
        <v>77</v>
      </c>
      <c r="L851">
        <v>119.08</v>
      </c>
      <c r="M851">
        <v>5.9540000000000006</v>
      </c>
      <c r="N851">
        <v>113.126</v>
      </c>
      <c r="O8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1" s="9" t="str">
        <f ca="1">IF(OR(ISNUMBER(Table1[[#This Row],[Order_Date]])=FALSE,Table1[[#This Row],[Order_Date]]&lt;DATE(2000,1,1),Table1[[#This Row],[Order_Date]]&gt;TODAY()),"YES","NO")</f>
        <v>NO</v>
      </c>
    </row>
    <row r="852" spans="1:16" x14ac:dyDescent="0.3">
      <c r="A852">
        <v>100847</v>
      </c>
      <c r="B852" s="8">
        <v>45327.25</v>
      </c>
      <c r="C852" t="s">
        <v>15</v>
      </c>
      <c r="D852" t="s">
        <v>30</v>
      </c>
      <c r="E852" t="s">
        <v>69</v>
      </c>
      <c r="F852" t="s">
        <v>72</v>
      </c>
      <c r="G852">
        <v>5</v>
      </c>
      <c r="H852">
        <v>38.82</v>
      </c>
      <c r="I852">
        <v>15</v>
      </c>
      <c r="J852" t="s">
        <v>75</v>
      </c>
      <c r="K852" t="s">
        <v>77</v>
      </c>
      <c r="L852">
        <v>194.1</v>
      </c>
      <c r="M852">
        <v>29.114999999999998</v>
      </c>
      <c r="N852">
        <v>164.98500000000001</v>
      </c>
      <c r="O8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2" s="9" t="str">
        <f ca="1">IF(OR(ISNUMBER(Table1[[#This Row],[Order_Date]])=FALSE,Table1[[#This Row],[Order_Date]]&lt;DATE(2000,1,1),Table1[[#This Row],[Order_Date]]&gt;TODAY()),"YES","NO")</f>
        <v>NO</v>
      </c>
    </row>
    <row r="853" spans="1:16" x14ac:dyDescent="0.3">
      <c r="A853">
        <v>100848</v>
      </c>
      <c r="B853" s="8">
        <v>45327.291666666657</v>
      </c>
      <c r="C853" t="s">
        <v>15</v>
      </c>
      <c r="D853" t="s">
        <v>20</v>
      </c>
      <c r="E853" t="s">
        <v>68</v>
      </c>
      <c r="F853" t="s">
        <v>72</v>
      </c>
      <c r="G853">
        <v>2</v>
      </c>
      <c r="H853">
        <v>29.19</v>
      </c>
      <c r="I853">
        <v>10</v>
      </c>
      <c r="J853" t="s">
        <v>74</v>
      </c>
      <c r="K853" t="s">
        <v>77</v>
      </c>
      <c r="L853">
        <v>58.38</v>
      </c>
      <c r="M853">
        <v>5.838000000000001</v>
      </c>
      <c r="N853">
        <v>52.542000000000002</v>
      </c>
      <c r="O8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3" s="9" t="str">
        <f ca="1">IF(OR(ISNUMBER(Table1[[#This Row],[Order_Date]])=FALSE,Table1[[#This Row],[Order_Date]]&lt;DATE(2000,1,1),Table1[[#This Row],[Order_Date]]&gt;TODAY()),"YES","NO")</f>
        <v>NO</v>
      </c>
    </row>
    <row r="854" spans="1:16" x14ac:dyDescent="0.3">
      <c r="A854">
        <v>100849</v>
      </c>
      <c r="B854" s="8">
        <v>45327.333333333343</v>
      </c>
      <c r="C854" t="s">
        <v>14</v>
      </c>
      <c r="D854" t="s">
        <v>27</v>
      </c>
      <c r="E854" t="s">
        <v>68</v>
      </c>
      <c r="F854" t="s">
        <v>71</v>
      </c>
      <c r="G854">
        <v>1</v>
      </c>
      <c r="H854">
        <v>93.02</v>
      </c>
      <c r="I854">
        <v>5</v>
      </c>
      <c r="J854" t="s">
        <v>73</v>
      </c>
      <c r="K854" t="s">
        <v>77</v>
      </c>
      <c r="L854">
        <v>93.02</v>
      </c>
      <c r="M854">
        <v>4.6509999999999998</v>
      </c>
      <c r="N854">
        <v>88.369</v>
      </c>
      <c r="O8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4" s="9" t="str">
        <f ca="1">IF(OR(ISNUMBER(Table1[[#This Row],[Order_Date]])=FALSE,Table1[[#This Row],[Order_Date]]&lt;DATE(2000,1,1),Table1[[#This Row],[Order_Date]]&gt;TODAY()),"YES","NO")</f>
        <v>NO</v>
      </c>
    </row>
    <row r="855" spans="1:16" x14ac:dyDescent="0.3">
      <c r="A855">
        <v>100850</v>
      </c>
      <c r="B855" s="8">
        <v>45327.375</v>
      </c>
      <c r="C855" t="s">
        <v>15</v>
      </c>
      <c r="D855" t="s">
        <v>18</v>
      </c>
      <c r="E855" t="s">
        <v>70</v>
      </c>
      <c r="F855" t="s">
        <v>71</v>
      </c>
      <c r="G855">
        <v>2</v>
      </c>
      <c r="H855">
        <v>34.1</v>
      </c>
      <c r="I855">
        <v>10</v>
      </c>
      <c r="J855" t="s">
        <v>74</v>
      </c>
      <c r="K855" t="s">
        <v>77</v>
      </c>
      <c r="L855">
        <v>68.2</v>
      </c>
      <c r="M855">
        <v>6.82</v>
      </c>
      <c r="N855">
        <v>61.38</v>
      </c>
      <c r="O8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5" s="9" t="str">
        <f ca="1">IF(OR(ISNUMBER(Table1[[#This Row],[Order_Date]])=FALSE,Table1[[#This Row],[Order_Date]]&lt;DATE(2000,1,1),Table1[[#This Row],[Order_Date]]&gt;TODAY()),"YES","NO")</f>
        <v>NO</v>
      </c>
    </row>
    <row r="856" spans="1:16" x14ac:dyDescent="0.3">
      <c r="A856">
        <v>100851</v>
      </c>
      <c r="B856" s="8">
        <v>45327.416666666657</v>
      </c>
      <c r="C856" t="s">
        <v>14</v>
      </c>
      <c r="D856" t="s">
        <v>63</v>
      </c>
      <c r="E856" t="s">
        <v>66</v>
      </c>
      <c r="F856" t="s">
        <v>71</v>
      </c>
      <c r="G856">
        <v>2</v>
      </c>
      <c r="H856">
        <v>104.54</v>
      </c>
      <c r="I856">
        <v>15</v>
      </c>
      <c r="J856" t="s">
        <v>75</v>
      </c>
      <c r="K856" t="s">
        <v>77</v>
      </c>
      <c r="L856">
        <v>209.08</v>
      </c>
      <c r="M856">
        <v>31.361999999999998</v>
      </c>
      <c r="N856">
        <v>177.71799999999999</v>
      </c>
      <c r="O8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6" s="9" t="str">
        <f ca="1">IF(OR(ISNUMBER(Table1[[#This Row],[Order_Date]])=FALSE,Table1[[#This Row],[Order_Date]]&lt;DATE(2000,1,1),Table1[[#This Row],[Order_Date]]&gt;TODAY()),"YES","NO")</f>
        <v>NO</v>
      </c>
    </row>
    <row r="857" spans="1:16" x14ac:dyDescent="0.3">
      <c r="A857">
        <v>100852</v>
      </c>
      <c r="B857" s="8">
        <v>45327.458333333343</v>
      </c>
      <c r="C857" t="s">
        <v>15</v>
      </c>
      <c r="D857" t="s">
        <v>35</v>
      </c>
      <c r="E857" t="s">
        <v>66</v>
      </c>
      <c r="F857" t="s">
        <v>71</v>
      </c>
      <c r="G857">
        <v>3</v>
      </c>
      <c r="H857">
        <v>16.829999999999998</v>
      </c>
      <c r="I857">
        <v>10</v>
      </c>
      <c r="J857" t="s">
        <v>75</v>
      </c>
      <c r="K857" t="s">
        <v>77</v>
      </c>
      <c r="L857">
        <v>50.489999999999988</v>
      </c>
      <c r="M857">
        <v>5.0489999999999986</v>
      </c>
      <c r="N857">
        <v>45.441000000000003</v>
      </c>
      <c r="O8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7" s="9" t="str">
        <f ca="1">IF(OR(ISNUMBER(Table1[[#This Row],[Order_Date]])=FALSE,Table1[[#This Row],[Order_Date]]&lt;DATE(2000,1,1),Table1[[#This Row],[Order_Date]]&gt;TODAY()),"YES","NO")</f>
        <v>NO</v>
      </c>
    </row>
    <row r="858" spans="1:16" x14ac:dyDescent="0.3">
      <c r="A858">
        <v>100853</v>
      </c>
      <c r="B858" s="8">
        <v>45327.5</v>
      </c>
      <c r="C858" t="s">
        <v>14</v>
      </c>
      <c r="D858" t="s">
        <v>61</v>
      </c>
      <c r="E858" t="s">
        <v>70</v>
      </c>
      <c r="F858" t="s">
        <v>71</v>
      </c>
      <c r="G858">
        <v>2</v>
      </c>
      <c r="H858">
        <v>19.48</v>
      </c>
      <c r="I858">
        <v>15</v>
      </c>
      <c r="J858" t="s">
        <v>76</v>
      </c>
      <c r="K858" t="s">
        <v>77</v>
      </c>
      <c r="L858">
        <v>38.96</v>
      </c>
      <c r="M858">
        <v>5.8440000000000003</v>
      </c>
      <c r="N858">
        <v>33.116</v>
      </c>
      <c r="O8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8" s="9" t="str">
        <f ca="1">IF(OR(ISNUMBER(Table1[[#This Row],[Order_Date]])=FALSE,Table1[[#This Row],[Order_Date]]&lt;DATE(2000,1,1),Table1[[#This Row],[Order_Date]]&gt;TODAY()),"YES","NO")</f>
        <v>NO</v>
      </c>
    </row>
    <row r="859" spans="1:16" x14ac:dyDescent="0.3">
      <c r="A859">
        <v>100854</v>
      </c>
      <c r="B859" s="8">
        <v>45327.541666666657</v>
      </c>
      <c r="C859" t="s">
        <v>14</v>
      </c>
      <c r="D859" t="s">
        <v>58</v>
      </c>
      <c r="E859" t="s">
        <v>69</v>
      </c>
      <c r="F859" t="s">
        <v>71</v>
      </c>
      <c r="G859">
        <v>3</v>
      </c>
      <c r="H859">
        <v>117.6</v>
      </c>
      <c r="I859">
        <v>15</v>
      </c>
      <c r="J859" t="s">
        <v>76</v>
      </c>
      <c r="K859" t="s">
        <v>77</v>
      </c>
      <c r="L859">
        <v>352.8</v>
      </c>
      <c r="M859">
        <v>52.919999999999987</v>
      </c>
      <c r="N859">
        <v>299.87999999999988</v>
      </c>
      <c r="O8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59" s="9" t="str">
        <f ca="1">IF(OR(ISNUMBER(Table1[[#This Row],[Order_Date]])=FALSE,Table1[[#This Row],[Order_Date]]&lt;DATE(2000,1,1),Table1[[#This Row],[Order_Date]]&gt;TODAY()),"YES","NO")</f>
        <v>NO</v>
      </c>
    </row>
    <row r="860" spans="1:16" x14ac:dyDescent="0.3">
      <c r="A860">
        <v>100855</v>
      </c>
      <c r="B860" s="8">
        <v>45327.583333333343</v>
      </c>
      <c r="C860" t="s">
        <v>14</v>
      </c>
      <c r="D860" t="s">
        <v>31</v>
      </c>
      <c r="E860" t="s">
        <v>67</v>
      </c>
      <c r="F860" t="s">
        <v>72</v>
      </c>
      <c r="G860">
        <v>4</v>
      </c>
      <c r="H860">
        <v>82.49</v>
      </c>
      <c r="I860">
        <v>15</v>
      </c>
      <c r="J860" t="s">
        <v>76</v>
      </c>
      <c r="K860" t="s">
        <v>77</v>
      </c>
      <c r="L860">
        <v>329.96</v>
      </c>
      <c r="M860">
        <v>49.493999999999993</v>
      </c>
      <c r="N860">
        <v>280.46600000000001</v>
      </c>
      <c r="O8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0" s="9" t="str">
        <f ca="1">IF(OR(ISNUMBER(Table1[[#This Row],[Order_Date]])=FALSE,Table1[[#This Row],[Order_Date]]&lt;DATE(2000,1,1),Table1[[#This Row],[Order_Date]]&gt;TODAY()),"YES","NO")</f>
        <v>NO</v>
      </c>
    </row>
    <row r="861" spans="1:16" x14ac:dyDescent="0.3">
      <c r="A861">
        <v>100856</v>
      </c>
      <c r="B861" s="8">
        <v>45327.625</v>
      </c>
      <c r="C861" t="s">
        <v>14</v>
      </c>
      <c r="D861" t="s">
        <v>25</v>
      </c>
      <c r="E861" t="s">
        <v>67</v>
      </c>
      <c r="F861" t="s">
        <v>71</v>
      </c>
      <c r="G861">
        <v>3</v>
      </c>
      <c r="H861">
        <v>102.39</v>
      </c>
      <c r="I861">
        <v>5</v>
      </c>
      <c r="J861" t="s">
        <v>74</v>
      </c>
      <c r="K861" t="s">
        <v>77</v>
      </c>
      <c r="L861">
        <v>307.17</v>
      </c>
      <c r="M861">
        <v>15.358499999999999</v>
      </c>
      <c r="N861">
        <v>291.81150000000002</v>
      </c>
      <c r="O8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1" s="9" t="str">
        <f ca="1">IF(OR(ISNUMBER(Table1[[#This Row],[Order_Date]])=FALSE,Table1[[#This Row],[Order_Date]]&lt;DATE(2000,1,1),Table1[[#This Row],[Order_Date]]&gt;TODAY()),"YES","NO")</f>
        <v>NO</v>
      </c>
    </row>
    <row r="862" spans="1:16" x14ac:dyDescent="0.3">
      <c r="A862">
        <v>100857</v>
      </c>
      <c r="B862" s="8">
        <v>45327.666666666657</v>
      </c>
      <c r="C862" t="s">
        <v>14</v>
      </c>
      <c r="D862" t="s">
        <v>61</v>
      </c>
      <c r="E862" t="s">
        <v>67</v>
      </c>
      <c r="F862" t="s">
        <v>71</v>
      </c>
      <c r="G862">
        <v>5</v>
      </c>
      <c r="H862">
        <v>42.3</v>
      </c>
      <c r="I862">
        <v>10</v>
      </c>
      <c r="J862" t="s">
        <v>76</v>
      </c>
      <c r="K862" t="s">
        <v>78</v>
      </c>
      <c r="L862">
        <v>211.5</v>
      </c>
      <c r="M862">
        <v>21.15</v>
      </c>
      <c r="N862">
        <v>190.35</v>
      </c>
      <c r="O8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62" s="9" t="str">
        <f ca="1">IF(OR(ISNUMBER(Table1[[#This Row],[Order_Date]])=FALSE,Table1[[#This Row],[Order_Date]]&lt;DATE(2000,1,1),Table1[[#This Row],[Order_Date]]&gt;TODAY()),"YES","NO")</f>
        <v>NO</v>
      </c>
    </row>
    <row r="863" spans="1:16" x14ac:dyDescent="0.3">
      <c r="A863">
        <v>100858</v>
      </c>
      <c r="B863" s="8">
        <v>45327.708333333343</v>
      </c>
      <c r="C863" t="s">
        <v>14</v>
      </c>
      <c r="D863" t="s">
        <v>44</v>
      </c>
      <c r="E863" t="s">
        <v>70</v>
      </c>
      <c r="F863" t="s">
        <v>72</v>
      </c>
      <c r="G863">
        <v>1</v>
      </c>
      <c r="H863">
        <v>82.8</v>
      </c>
      <c r="I863">
        <v>10</v>
      </c>
      <c r="J863" t="s">
        <v>75</v>
      </c>
      <c r="K863" t="s">
        <v>77</v>
      </c>
      <c r="L863">
        <v>82.8</v>
      </c>
      <c r="M863">
        <v>8.2799999999999994</v>
      </c>
      <c r="N863">
        <v>74.52</v>
      </c>
      <c r="O8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3" s="9" t="str">
        <f ca="1">IF(OR(ISNUMBER(Table1[[#This Row],[Order_Date]])=FALSE,Table1[[#This Row],[Order_Date]]&lt;DATE(2000,1,1),Table1[[#This Row],[Order_Date]]&gt;TODAY()),"YES","NO")</f>
        <v>NO</v>
      </c>
    </row>
    <row r="864" spans="1:16" x14ac:dyDescent="0.3">
      <c r="A864">
        <v>100859</v>
      </c>
      <c r="B864" s="8">
        <v>45327.75</v>
      </c>
      <c r="C864" t="s">
        <v>15</v>
      </c>
      <c r="D864" t="s">
        <v>33</v>
      </c>
      <c r="E864" t="s">
        <v>70</v>
      </c>
      <c r="F864" t="s">
        <v>71</v>
      </c>
      <c r="G864">
        <v>4</v>
      </c>
      <c r="H864">
        <v>73.34</v>
      </c>
      <c r="I864">
        <v>0</v>
      </c>
      <c r="J864" t="s">
        <v>76</v>
      </c>
      <c r="K864" t="s">
        <v>77</v>
      </c>
      <c r="L864">
        <v>293.36</v>
      </c>
      <c r="M864">
        <v>0</v>
      </c>
      <c r="N864">
        <v>293.36</v>
      </c>
      <c r="O8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4" s="9" t="str">
        <f ca="1">IF(OR(ISNUMBER(Table1[[#This Row],[Order_Date]])=FALSE,Table1[[#This Row],[Order_Date]]&lt;DATE(2000,1,1),Table1[[#This Row],[Order_Date]]&gt;TODAY()),"YES","NO")</f>
        <v>NO</v>
      </c>
    </row>
    <row r="865" spans="1:16" x14ac:dyDescent="0.3">
      <c r="A865">
        <v>100860</v>
      </c>
      <c r="B865" s="8">
        <v>45327.791666666657</v>
      </c>
      <c r="C865" t="s">
        <v>14</v>
      </c>
      <c r="D865" t="s">
        <v>20</v>
      </c>
      <c r="E865" t="s">
        <v>68</v>
      </c>
      <c r="F865" t="s">
        <v>71</v>
      </c>
      <c r="G865">
        <v>4</v>
      </c>
      <c r="H865">
        <v>74.36</v>
      </c>
      <c r="I865">
        <v>0</v>
      </c>
      <c r="J865" t="s">
        <v>73</v>
      </c>
      <c r="K865" t="s">
        <v>77</v>
      </c>
      <c r="L865">
        <v>297.44</v>
      </c>
      <c r="M865">
        <v>0</v>
      </c>
      <c r="N865">
        <v>297.44</v>
      </c>
      <c r="O8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5" s="9" t="str">
        <f ca="1">IF(OR(ISNUMBER(Table1[[#This Row],[Order_Date]])=FALSE,Table1[[#This Row],[Order_Date]]&lt;DATE(2000,1,1),Table1[[#This Row],[Order_Date]]&gt;TODAY()),"YES","NO")</f>
        <v>NO</v>
      </c>
    </row>
    <row r="866" spans="1:16" x14ac:dyDescent="0.3">
      <c r="A866">
        <v>100861</v>
      </c>
      <c r="B866" s="8">
        <v>45327.833333333343</v>
      </c>
      <c r="C866" t="s">
        <v>15</v>
      </c>
      <c r="D866" t="s">
        <v>20</v>
      </c>
      <c r="E866" t="s">
        <v>67</v>
      </c>
      <c r="F866" t="s">
        <v>71</v>
      </c>
      <c r="G866">
        <v>5</v>
      </c>
      <c r="H866">
        <v>83.49</v>
      </c>
      <c r="I866">
        <v>0</v>
      </c>
      <c r="J866" t="s">
        <v>76</v>
      </c>
      <c r="K866" t="s">
        <v>77</v>
      </c>
      <c r="L866">
        <v>417.45</v>
      </c>
      <c r="M866">
        <v>0</v>
      </c>
      <c r="N866">
        <v>417.45</v>
      </c>
      <c r="O8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6" s="9" t="str">
        <f ca="1">IF(OR(ISNUMBER(Table1[[#This Row],[Order_Date]])=FALSE,Table1[[#This Row],[Order_Date]]&lt;DATE(2000,1,1),Table1[[#This Row],[Order_Date]]&gt;TODAY()),"YES","NO")</f>
        <v>NO</v>
      </c>
    </row>
    <row r="867" spans="1:16" x14ac:dyDescent="0.3">
      <c r="A867">
        <v>100862</v>
      </c>
      <c r="B867" s="8">
        <v>45327.875</v>
      </c>
      <c r="C867" t="s">
        <v>14</v>
      </c>
      <c r="D867" t="s">
        <v>27</v>
      </c>
      <c r="E867" t="s">
        <v>69</v>
      </c>
      <c r="F867" t="s">
        <v>71</v>
      </c>
      <c r="G867">
        <v>3</v>
      </c>
      <c r="H867">
        <v>71.17</v>
      </c>
      <c r="I867">
        <v>0</v>
      </c>
      <c r="J867" t="s">
        <v>74</v>
      </c>
      <c r="K867" t="s">
        <v>77</v>
      </c>
      <c r="L867">
        <v>213.51</v>
      </c>
      <c r="M867">
        <v>0</v>
      </c>
      <c r="N867">
        <v>213.51</v>
      </c>
      <c r="O8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7" s="9" t="str">
        <f ca="1">IF(OR(ISNUMBER(Table1[[#This Row],[Order_Date]])=FALSE,Table1[[#This Row],[Order_Date]]&lt;DATE(2000,1,1),Table1[[#This Row],[Order_Date]]&gt;TODAY()),"YES","NO")</f>
        <v>NO</v>
      </c>
    </row>
    <row r="868" spans="1:16" x14ac:dyDescent="0.3">
      <c r="A868">
        <v>100863</v>
      </c>
      <c r="B868" s="8">
        <v>45327.916666666657</v>
      </c>
      <c r="C868" t="s">
        <v>15</v>
      </c>
      <c r="D868" t="s">
        <v>37</v>
      </c>
      <c r="E868" t="s">
        <v>69</v>
      </c>
      <c r="F868" t="s">
        <v>71</v>
      </c>
      <c r="G868">
        <v>1</v>
      </c>
      <c r="H868">
        <v>54.34</v>
      </c>
      <c r="I868">
        <v>10</v>
      </c>
      <c r="J868" t="s">
        <v>73</v>
      </c>
      <c r="K868" t="s">
        <v>77</v>
      </c>
      <c r="L868">
        <v>54.34</v>
      </c>
      <c r="M868">
        <v>5.4340000000000011</v>
      </c>
      <c r="N868">
        <v>48.906000000000013</v>
      </c>
      <c r="O8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8" s="9" t="str">
        <f ca="1">IF(OR(ISNUMBER(Table1[[#This Row],[Order_Date]])=FALSE,Table1[[#This Row],[Order_Date]]&lt;DATE(2000,1,1),Table1[[#This Row],[Order_Date]]&gt;TODAY()),"YES","NO")</f>
        <v>NO</v>
      </c>
    </row>
    <row r="869" spans="1:16" x14ac:dyDescent="0.3">
      <c r="A869">
        <v>100864</v>
      </c>
      <c r="B869" s="8">
        <v>45327.958333333343</v>
      </c>
      <c r="C869" t="s">
        <v>15</v>
      </c>
      <c r="D869" t="s">
        <v>37</v>
      </c>
      <c r="E869" t="s">
        <v>67</v>
      </c>
      <c r="F869" t="s">
        <v>72</v>
      </c>
      <c r="G869">
        <v>3</v>
      </c>
      <c r="H869">
        <v>36.729999999999997</v>
      </c>
      <c r="I869">
        <v>15</v>
      </c>
      <c r="J869" t="s">
        <v>73</v>
      </c>
      <c r="K869" t="s">
        <v>77</v>
      </c>
      <c r="L869">
        <v>110.19</v>
      </c>
      <c r="M869">
        <v>16.528500000000001</v>
      </c>
      <c r="N869">
        <v>93.661500000000004</v>
      </c>
      <c r="O8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69" s="9" t="str">
        <f ca="1">IF(OR(ISNUMBER(Table1[[#This Row],[Order_Date]])=FALSE,Table1[[#This Row],[Order_Date]]&lt;DATE(2000,1,1),Table1[[#This Row],[Order_Date]]&gt;TODAY()),"YES","NO")</f>
        <v>NO</v>
      </c>
    </row>
    <row r="870" spans="1:16" x14ac:dyDescent="0.3">
      <c r="A870">
        <v>100865</v>
      </c>
      <c r="B870" s="8">
        <v>45328</v>
      </c>
      <c r="C870" t="s">
        <v>15</v>
      </c>
      <c r="D870" t="s">
        <v>25</v>
      </c>
      <c r="E870" t="s">
        <v>67</v>
      </c>
      <c r="F870" t="s">
        <v>71</v>
      </c>
      <c r="G870">
        <v>2</v>
      </c>
      <c r="H870">
        <v>93.39</v>
      </c>
      <c r="I870">
        <v>15</v>
      </c>
      <c r="J870" t="s">
        <v>73</v>
      </c>
      <c r="K870" t="s">
        <v>77</v>
      </c>
      <c r="L870">
        <v>186.78</v>
      </c>
      <c r="M870">
        <v>28.016999999999999</v>
      </c>
      <c r="N870">
        <v>158.76300000000001</v>
      </c>
      <c r="O8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0" s="9" t="str">
        <f ca="1">IF(OR(ISNUMBER(Table1[[#This Row],[Order_Date]])=FALSE,Table1[[#This Row],[Order_Date]]&lt;DATE(2000,1,1),Table1[[#This Row],[Order_Date]]&gt;TODAY()),"YES","NO")</f>
        <v>NO</v>
      </c>
    </row>
    <row r="871" spans="1:16" x14ac:dyDescent="0.3">
      <c r="A871">
        <v>100866</v>
      </c>
      <c r="B871" s="8">
        <v>45328.041666666657</v>
      </c>
      <c r="C871" t="s">
        <v>14</v>
      </c>
      <c r="D871" t="s">
        <v>56</v>
      </c>
      <c r="E871" t="s">
        <v>67</v>
      </c>
      <c r="F871" t="s">
        <v>72</v>
      </c>
      <c r="G871">
        <v>3</v>
      </c>
      <c r="H871">
        <v>31.02</v>
      </c>
      <c r="I871">
        <v>5</v>
      </c>
      <c r="J871" t="s">
        <v>74</v>
      </c>
      <c r="K871" t="s">
        <v>77</v>
      </c>
      <c r="L871">
        <v>93.06</v>
      </c>
      <c r="M871">
        <v>4.6529999999999996</v>
      </c>
      <c r="N871">
        <v>88.406999999999996</v>
      </c>
      <c r="O8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1" s="9" t="str">
        <f ca="1">IF(OR(ISNUMBER(Table1[[#This Row],[Order_Date]])=FALSE,Table1[[#This Row],[Order_Date]]&lt;DATE(2000,1,1),Table1[[#This Row],[Order_Date]]&gt;TODAY()),"YES","NO")</f>
        <v>NO</v>
      </c>
    </row>
    <row r="872" spans="1:16" x14ac:dyDescent="0.3">
      <c r="A872">
        <v>100867</v>
      </c>
      <c r="B872" s="8">
        <v>45328.083333333343</v>
      </c>
      <c r="C872" t="s">
        <v>14</v>
      </c>
      <c r="D872" t="s">
        <v>24</v>
      </c>
      <c r="E872" t="s">
        <v>70</v>
      </c>
      <c r="F872" t="s">
        <v>72</v>
      </c>
      <c r="G872">
        <v>4</v>
      </c>
      <c r="H872">
        <v>84.62</v>
      </c>
      <c r="I872">
        <v>15</v>
      </c>
      <c r="J872" t="s">
        <v>75</v>
      </c>
      <c r="K872" t="s">
        <v>77</v>
      </c>
      <c r="L872">
        <v>338.48</v>
      </c>
      <c r="M872">
        <v>50.771999999999998</v>
      </c>
      <c r="N872">
        <v>287.70800000000003</v>
      </c>
      <c r="O8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2" s="9" t="str">
        <f ca="1">IF(OR(ISNUMBER(Table1[[#This Row],[Order_Date]])=FALSE,Table1[[#This Row],[Order_Date]]&lt;DATE(2000,1,1),Table1[[#This Row],[Order_Date]]&gt;TODAY()),"YES","NO")</f>
        <v>NO</v>
      </c>
    </row>
    <row r="873" spans="1:16" x14ac:dyDescent="0.3">
      <c r="A873">
        <v>100868</v>
      </c>
      <c r="B873" s="8">
        <v>45328.125</v>
      </c>
      <c r="C873" t="s">
        <v>15</v>
      </c>
      <c r="D873" t="s">
        <v>23</v>
      </c>
      <c r="E873" t="s">
        <v>70</v>
      </c>
      <c r="F873" t="s">
        <v>71</v>
      </c>
      <c r="G873">
        <v>1</v>
      </c>
      <c r="H873">
        <v>31.83</v>
      </c>
      <c r="I873">
        <v>10</v>
      </c>
      <c r="J873" t="s">
        <v>76</v>
      </c>
      <c r="K873" t="s">
        <v>79</v>
      </c>
      <c r="L873">
        <v>31.83</v>
      </c>
      <c r="M873">
        <v>3.1829999999999998</v>
      </c>
      <c r="N873">
        <v>28.646999999999998</v>
      </c>
      <c r="O8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73" s="9" t="str">
        <f ca="1">IF(OR(ISNUMBER(Table1[[#This Row],[Order_Date]])=FALSE,Table1[[#This Row],[Order_Date]]&lt;DATE(2000,1,1),Table1[[#This Row],[Order_Date]]&gt;TODAY()),"YES","NO")</f>
        <v>NO</v>
      </c>
    </row>
    <row r="874" spans="1:16" x14ac:dyDescent="0.3">
      <c r="A874">
        <v>100869</v>
      </c>
      <c r="B874" s="8">
        <v>45328.166666666657</v>
      </c>
      <c r="C874" t="s">
        <v>14</v>
      </c>
      <c r="D874" t="s">
        <v>38</v>
      </c>
      <c r="E874" t="s">
        <v>70</v>
      </c>
      <c r="F874" t="s">
        <v>72</v>
      </c>
      <c r="G874">
        <v>3</v>
      </c>
      <c r="H874">
        <v>76.91</v>
      </c>
      <c r="I874">
        <v>10</v>
      </c>
      <c r="J874" t="s">
        <v>73</v>
      </c>
      <c r="K874" t="s">
        <v>77</v>
      </c>
      <c r="L874">
        <v>230.73</v>
      </c>
      <c r="M874">
        <v>23.073</v>
      </c>
      <c r="N874">
        <v>207.65700000000001</v>
      </c>
      <c r="O8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4" s="9" t="str">
        <f ca="1">IF(OR(ISNUMBER(Table1[[#This Row],[Order_Date]])=FALSE,Table1[[#This Row],[Order_Date]]&lt;DATE(2000,1,1),Table1[[#This Row],[Order_Date]]&gt;TODAY()),"YES","NO")</f>
        <v>NO</v>
      </c>
    </row>
    <row r="875" spans="1:16" x14ac:dyDescent="0.3">
      <c r="A875">
        <v>100870</v>
      </c>
      <c r="B875" s="8">
        <v>45328.208333333343</v>
      </c>
      <c r="C875" t="s">
        <v>15</v>
      </c>
      <c r="D875" t="s">
        <v>23</v>
      </c>
      <c r="E875" t="s">
        <v>66</v>
      </c>
      <c r="F875" t="s">
        <v>71</v>
      </c>
      <c r="G875">
        <v>1</v>
      </c>
      <c r="H875">
        <v>90.91</v>
      </c>
      <c r="I875">
        <v>10</v>
      </c>
      <c r="J875" t="s">
        <v>73</v>
      </c>
      <c r="K875" t="s">
        <v>77</v>
      </c>
      <c r="L875">
        <v>90.91</v>
      </c>
      <c r="M875">
        <v>9.0909999999999993</v>
      </c>
      <c r="N875">
        <v>81.819000000000003</v>
      </c>
      <c r="O8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5" s="9" t="str">
        <f ca="1">IF(OR(ISNUMBER(Table1[[#This Row],[Order_Date]])=FALSE,Table1[[#This Row],[Order_Date]]&lt;DATE(2000,1,1),Table1[[#This Row],[Order_Date]]&gt;TODAY()),"YES","NO")</f>
        <v>NO</v>
      </c>
    </row>
    <row r="876" spans="1:16" x14ac:dyDescent="0.3">
      <c r="A876">
        <v>100871</v>
      </c>
      <c r="B876" s="8">
        <v>45328.25</v>
      </c>
      <c r="C876" t="s">
        <v>14</v>
      </c>
      <c r="D876" t="s">
        <v>58</v>
      </c>
      <c r="E876" t="s">
        <v>69</v>
      </c>
      <c r="F876" t="s">
        <v>72</v>
      </c>
      <c r="G876">
        <v>1</v>
      </c>
      <c r="H876">
        <v>30.15</v>
      </c>
      <c r="I876">
        <v>5</v>
      </c>
      <c r="J876" t="s">
        <v>73</v>
      </c>
      <c r="K876" t="s">
        <v>77</v>
      </c>
      <c r="L876">
        <v>30.15</v>
      </c>
      <c r="M876">
        <v>1.5075000000000001</v>
      </c>
      <c r="N876">
        <v>28.642499999999998</v>
      </c>
      <c r="O8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6" s="9" t="str">
        <f ca="1">IF(OR(ISNUMBER(Table1[[#This Row],[Order_Date]])=FALSE,Table1[[#This Row],[Order_Date]]&lt;DATE(2000,1,1),Table1[[#This Row],[Order_Date]]&gt;TODAY()),"YES","NO")</f>
        <v>NO</v>
      </c>
    </row>
    <row r="877" spans="1:16" x14ac:dyDescent="0.3">
      <c r="A877">
        <v>100872</v>
      </c>
      <c r="B877" s="8">
        <v>45328.291666666657</v>
      </c>
      <c r="C877" t="s">
        <v>15</v>
      </c>
      <c r="D877" t="s">
        <v>63</v>
      </c>
      <c r="E877" t="s">
        <v>69</v>
      </c>
      <c r="F877" t="s">
        <v>72</v>
      </c>
      <c r="G877">
        <v>2</v>
      </c>
      <c r="H877">
        <v>11.89</v>
      </c>
      <c r="I877">
        <v>0</v>
      </c>
      <c r="J877" t="s">
        <v>75</v>
      </c>
      <c r="K877" t="s">
        <v>77</v>
      </c>
      <c r="L877">
        <v>23.78</v>
      </c>
      <c r="M877">
        <v>0</v>
      </c>
      <c r="N877">
        <v>23.78</v>
      </c>
      <c r="O8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7" s="9" t="str">
        <f ca="1">IF(OR(ISNUMBER(Table1[[#This Row],[Order_Date]])=FALSE,Table1[[#This Row],[Order_Date]]&lt;DATE(2000,1,1),Table1[[#This Row],[Order_Date]]&gt;TODAY()),"YES","NO")</f>
        <v>NO</v>
      </c>
    </row>
    <row r="878" spans="1:16" x14ac:dyDescent="0.3">
      <c r="A878">
        <v>100873</v>
      </c>
      <c r="B878" s="8">
        <v>45328.333333333343</v>
      </c>
      <c r="C878" t="s">
        <v>15</v>
      </c>
      <c r="D878" t="s">
        <v>58</v>
      </c>
      <c r="E878" t="s">
        <v>68</v>
      </c>
      <c r="F878" t="s">
        <v>71</v>
      </c>
      <c r="G878">
        <v>2</v>
      </c>
      <c r="H878">
        <v>20.059999999999999</v>
      </c>
      <c r="I878">
        <v>15</v>
      </c>
      <c r="J878" t="s">
        <v>75</v>
      </c>
      <c r="K878" t="s">
        <v>77</v>
      </c>
      <c r="L878">
        <v>40.119999999999997</v>
      </c>
      <c r="M878">
        <v>6.0179999999999998</v>
      </c>
      <c r="N878">
        <v>34.101999999999997</v>
      </c>
      <c r="O8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8" s="9" t="str">
        <f ca="1">IF(OR(ISNUMBER(Table1[[#This Row],[Order_Date]])=FALSE,Table1[[#This Row],[Order_Date]]&lt;DATE(2000,1,1),Table1[[#This Row],[Order_Date]]&gt;TODAY()),"YES","NO")</f>
        <v>NO</v>
      </c>
    </row>
    <row r="879" spans="1:16" x14ac:dyDescent="0.3">
      <c r="A879">
        <v>100874</v>
      </c>
      <c r="B879" s="8">
        <v>45328.375</v>
      </c>
      <c r="C879" t="s">
        <v>14</v>
      </c>
      <c r="D879" t="s">
        <v>29</v>
      </c>
      <c r="E879" t="s">
        <v>70</v>
      </c>
      <c r="F879" t="s">
        <v>71</v>
      </c>
      <c r="G879">
        <v>4</v>
      </c>
      <c r="H879">
        <v>74.69</v>
      </c>
      <c r="I879">
        <v>10</v>
      </c>
      <c r="J879" t="s">
        <v>74</v>
      </c>
      <c r="K879" t="s">
        <v>77</v>
      </c>
      <c r="L879">
        <v>298.76</v>
      </c>
      <c r="M879">
        <v>29.876000000000001</v>
      </c>
      <c r="N879">
        <v>268.88400000000001</v>
      </c>
      <c r="O8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79" s="9" t="str">
        <f ca="1">IF(OR(ISNUMBER(Table1[[#This Row],[Order_Date]])=FALSE,Table1[[#This Row],[Order_Date]]&lt;DATE(2000,1,1),Table1[[#This Row],[Order_Date]]&gt;TODAY()),"YES","NO")</f>
        <v>NO</v>
      </c>
    </row>
    <row r="880" spans="1:16" x14ac:dyDescent="0.3">
      <c r="A880">
        <v>100875</v>
      </c>
      <c r="B880" s="8">
        <v>45328.416666666657</v>
      </c>
      <c r="C880" t="s">
        <v>15</v>
      </c>
      <c r="D880" t="s">
        <v>32</v>
      </c>
      <c r="E880" t="s">
        <v>66</v>
      </c>
      <c r="F880" t="s">
        <v>71</v>
      </c>
      <c r="G880">
        <v>5</v>
      </c>
      <c r="H880">
        <v>102.69</v>
      </c>
      <c r="I880">
        <v>10</v>
      </c>
      <c r="J880" t="s">
        <v>75</v>
      </c>
      <c r="K880" t="s">
        <v>77</v>
      </c>
      <c r="L880">
        <v>513.45000000000005</v>
      </c>
      <c r="M880">
        <v>51.345000000000013</v>
      </c>
      <c r="N880">
        <v>462.10500000000002</v>
      </c>
      <c r="O8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0" s="9" t="str">
        <f ca="1">IF(OR(ISNUMBER(Table1[[#This Row],[Order_Date]])=FALSE,Table1[[#This Row],[Order_Date]]&lt;DATE(2000,1,1),Table1[[#This Row],[Order_Date]]&gt;TODAY()),"YES","NO")</f>
        <v>NO</v>
      </c>
    </row>
    <row r="881" spans="1:16" x14ac:dyDescent="0.3">
      <c r="A881">
        <v>100876</v>
      </c>
      <c r="B881" s="8">
        <v>45328.458333333343</v>
      </c>
      <c r="C881" t="s">
        <v>14</v>
      </c>
      <c r="D881" t="s">
        <v>33</v>
      </c>
      <c r="E881" t="s">
        <v>66</v>
      </c>
      <c r="F881" t="s">
        <v>71</v>
      </c>
      <c r="G881">
        <v>1</v>
      </c>
      <c r="H881">
        <v>10.17</v>
      </c>
      <c r="I881">
        <v>0</v>
      </c>
      <c r="J881" t="s">
        <v>76</v>
      </c>
      <c r="K881" t="s">
        <v>77</v>
      </c>
      <c r="L881">
        <v>10.17</v>
      </c>
      <c r="M881">
        <v>0</v>
      </c>
      <c r="N881">
        <v>10.17</v>
      </c>
      <c r="O8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1" s="9" t="str">
        <f ca="1">IF(OR(ISNUMBER(Table1[[#This Row],[Order_Date]])=FALSE,Table1[[#This Row],[Order_Date]]&lt;DATE(2000,1,1),Table1[[#This Row],[Order_Date]]&gt;TODAY()),"YES","NO")</f>
        <v>NO</v>
      </c>
    </row>
    <row r="882" spans="1:16" x14ac:dyDescent="0.3">
      <c r="A882">
        <v>100877</v>
      </c>
      <c r="B882" s="8">
        <v>45328.5</v>
      </c>
      <c r="C882" t="s">
        <v>15</v>
      </c>
      <c r="D882" t="s">
        <v>30</v>
      </c>
      <c r="E882" t="s">
        <v>69</v>
      </c>
      <c r="F882" t="s">
        <v>71</v>
      </c>
      <c r="G882">
        <v>5</v>
      </c>
      <c r="H882">
        <v>89.43</v>
      </c>
      <c r="I882">
        <v>10</v>
      </c>
      <c r="J882" t="s">
        <v>74</v>
      </c>
      <c r="K882" t="s">
        <v>77</v>
      </c>
      <c r="L882">
        <v>447.15</v>
      </c>
      <c r="M882">
        <v>44.715000000000003</v>
      </c>
      <c r="N882">
        <v>402.43500000000012</v>
      </c>
      <c r="O8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2" s="9" t="str">
        <f ca="1">IF(OR(ISNUMBER(Table1[[#This Row],[Order_Date]])=FALSE,Table1[[#This Row],[Order_Date]]&lt;DATE(2000,1,1),Table1[[#This Row],[Order_Date]]&gt;TODAY()),"YES","NO")</f>
        <v>NO</v>
      </c>
    </row>
    <row r="883" spans="1:16" x14ac:dyDescent="0.3">
      <c r="A883">
        <v>100878</v>
      </c>
      <c r="B883" s="8">
        <v>45328.541666666657</v>
      </c>
      <c r="C883" t="s">
        <v>15</v>
      </c>
      <c r="D883" t="s">
        <v>56</v>
      </c>
      <c r="E883" t="s">
        <v>70</v>
      </c>
      <c r="F883" t="s">
        <v>72</v>
      </c>
      <c r="G883">
        <v>4</v>
      </c>
      <c r="H883">
        <v>44.25</v>
      </c>
      <c r="I883">
        <v>15</v>
      </c>
      <c r="J883" t="s">
        <v>74</v>
      </c>
      <c r="K883" t="s">
        <v>77</v>
      </c>
      <c r="L883">
        <v>177</v>
      </c>
      <c r="M883">
        <v>26.55</v>
      </c>
      <c r="N883">
        <v>150.44999999999999</v>
      </c>
      <c r="O8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3" s="9" t="str">
        <f ca="1">IF(OR(ISNUMBER(Table1[[#This Row],[Order_Date]])=FALSE,Table1[[#This Row],[Order_Date]]&lt;DATE(2000,1,1),Table1[[#This Row],[Order_Date]]&gt;TODAY()),"YES","NO")</f>
        <v>NO</v>
      </c>
    </row>
    <row r="884" spans="1:16" x14ac:dyDescent="0.3">
      <c r="A884">
        <v>100879</v>
      </c>
      <c r="B884" s="8">
        <v>45328.583333333343</v>
      </c>
      <c r="C884" t="s">
        <v>14</v>
      </c>
      <c r="D884" t="s">
        <v>19</v>
      </c>
      <c r="E884" t="s">
        <v>68</v>
      </c>
      <c r="F884" t="s">
        <v>72</v>
      </c>
      <c r="G884">
        <v>1</v>
      </c>
      <c r="H884">
        <v>60.03</v>
      </c>
      <c r="I884">
        <v>5</v>
      </c>
      <c r="J884" t="s">
        <v>76</v>
      </c>
      <c r="K884" t="s">
        <v>77</v>
      </c>
      <c r="L884">
        <v>60.03</v>
      </c>
      <c r="M884">
        <v>3.0015000000000001</v>
      </c>
      <c r="N884">
        <v>57.028500000000001</v>
      </c>
      <c r="O8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4" s="9" t="str">
        <f ca="1">IF(OR(ISNUMBER(Table1[[#This Row],[Order_Date]])=FALSE,Table1[[#This Row],[Order_Date]]&lt;DATE(2000,1,1),Table1[[#This Row],[Order_Date]]&gt;TODAY()),"YES","NO")</f>
        <v>NO</v>
      </c>
    </row>
    <row r="885" spans="1:16" x14ac:dyDescent="0.3">
      <c r="A885">
        <v>100880</v>
      </c>
      <c r="B885" s="8">
        <v>45328.625</v>
      </c>
      <c r="C885" t="s">
        <v>14</v>
      </c>
      <c r="D885" t="s">
        <v>28</v>
      </c>
      <c r="E885" t="s">
        <v>70</v>
      </c>
      <c r="F885" t="s">
        <v>72</v>
      </c>
      <c r="G885">
        <v>1</v>
      </c>
      <c r="H885">
        <v>111.82</v>
      </c>
      <c r="I885">
        <v>10</v>
      </c>
      <c r="J885" t="s">
        <v>76</v>
      </c>
      <c r="K885" t="s">
        <v>77</v>
      </c>
      <c r="L885">
        <v>111.82</v>
      </c>
      <c r="M885">
        <v>11.182</v>
      </c>
      <c r="N885">
        <v>100.63800000000001</v>
      </c>
      <c r="O8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5" s="9" t="str">
        <f ca="1">IF(OR(ISNUMBER(Table1[[#This Row],[Order_Date]])=FALSE,Table1[[#This Row],[Order_Date]]&lt;DATE(2000,1,1),Table1[[#This Row],[Order_Date]]&gt;TODAY()),"YES","NO")</f>
        <v>NO</v>
      </c>
    </row>
    <row r="886" spans="1:16" x14ac:dyDescent="0.3">
      <c r="A886">
        <v>100881</v>
      </c>
      <c r="B886" s="8">
        <v>45328.666666666657</v>
      </c>
      <c r="C886" t="s">
        <v>14</v>
      </c>
      <c r="D886" t="s">
        <v>36</v>
      </c>
      <c r="E886" t="s">
        <v>67</v>
      </c>
      <c r="F886" t="s">
        <v>72</v>
      </c>
      <c r="G886">
        <v>5</v>
      </c>
      <c r="H886">
        <v>43.18</v>
      </c>
      <c r="I886">
        <v>15</v>
      </c>
      <c r="J886" t="s">
        <v>76</v>
      </c>
      <c r="K886" t="s">
        <v>77</v>
      </c>
      <c r="L886">
        <v>215.9</v>
      </c>
      <c r="M886">
        <v>32.384999999999998</v>
      </c>
      <c r="N886">
        <v>183.51499999999999</v>
      </c>
      <c r="O8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6" s="9" t="str">
        <f ca="1">IF(OR(ISNUMBER(Table1[[#This Row],[Order_Date]])=FALSE,Table1[[#This Row],[Order_Date]]&lt;DATE(2000,1,1),Table1[[#This Row],[Order_Date]]&gt;TODAY()),"YES","NO")</f>
        <v>NO</v>
      </c>
    </row>
    <row r="887" spans="1:16" x14ac:dyDescent="0.3">
      <c r="A887">
        <v>100882</v>
      </c>
      <c r="B887" s="8">
        <v>45328.708333333343</v>
      </c>
      <c r="C887" t="s">
        <v>15</v>
      </c>
      <c r="D887" t="s">
        <v>33</v>
      </c>
      <c r="E887" t="s">
        <v>70</v>
      </c>
      <c r="F887" t="s">
        <v>72</v>
      </c>
      <c r="G887">
        <v>3</v>
      </c>
      <c r="H887">
        <v>58.51</v>
      </c>
      <c r="I887">
        <v>10</v>
      </c>
      <c r="J887" t="s">
        <v>74</v>
      </c>
      <c r="K887" t="s">
        <v>77</v>
      </c>
      <c r="L887">
        <v>175.53</v>
      </c>
      <c r="M887">
        <v>17.553000000000001</v>
      </c>
      <c r="N887">
        <v>157.977</v>
      </c>
      <c r="O8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7" s="9" t="str">
        <f ca="1">IF(OR(ISNUMBER(Table1[[#This Row],[Order_Date]])=FALSE,Table1[[#This Row],[Order_Date]]&lt;DATE(2000,1,1),Table1[[#This Row],[Order_Date]]&gt;TODAY()),"YES","NO")</f>
        <v>NO</v>
      </c>
    </row>
    <row r="888" spans="1:16" x14ac:dyDescent="0.3">
      <c r="A888">
        <v>100883</v>
      </c>
      <c r="B888" s="8">
        <v>45328.75</v>
      </c>
      <c r="C888" t="s">
        <v>14</v>
      </c>
      <c r="D888" t="s">
        <v>38</v>
      </c>
      <c r="E888" t="s">
        <v>67</v>
      </c>
      <c r="F888" t="s">
        <v>72</v>
      </c>
      <c r="G888">
        <v>2</v>
      </c>
      <c r="H888">
        <v>6.57</v>
      </c>
      <c r="I888">
        <v>0</v>
      </c>
      <c r="J888" t="s">
        <v>74</v>
      </c>
      <c r="K888" t="s">
        <v>77</v>
      </c>
      <c r="L888">
        <v>13.14</v>
      </c>
      <c r="M888">
        <v>0</v>
      </c>
      <c r="N888">
        <v>13.14</v>
      </c>
      <c r="O8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88" s="9" t="str">
        <f ca="1">IF(OR(ISNUMBER(Table1[[#This Row],[Order_Date]])=FALSE,Table1[[#This Row],[Order_Date]]&lt;DATE(2000,1,1),Table1[[#This Row],[Order_Date]]&gt;TODAY()),"YES","NO")</f>
        <v>NO</v>
      </c>
    </row>
    <row r="889" spans="1:16" x14ac:dyDescent="0.3">
      <c r="A889">
        <v>100884</v>
      </c>
      <c r="B889" s="8">
        <v>45328.791666666657</v>
      </c>
      <c r="C889" t="s">
        <v>15</v>
      </c>
      <c r="D889" t="s">
        <v>48</v>
      </c>
      <c r="E889" t="s">
        <v>67</v>
      </c>
      <c r="F889" t="s">
        <v>72</v>
      </c>
      <c r="G889">
        <v>3</v>
      </c>
      <c r="H889">
        <v>14.38</v>
      </c>
      <c r="I889">
        <v>10</v>
      </c>
      <c r="J889" t="s">
        <v>74</v>
      </c>
      <c r="K889" t="s">
        <v>78</v>
      </c>
      <c r="L889">
        <v>43.14</v>
      </c>
      <c r="M889">
        <v>4.3140000000000001</v>
      </c>
      <c r="N889">
        <v>38.826000000000001</v>
      </c>
      <c r="O8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89" s="9" t="str">
        <f ca="1">IF(OR(ISNUMBER(Table1[[#This Row],[Order_Date]])=FALSE,Table1[[#This Row],[Order_Date]]&lt;DATE(2000,1,1),Table1[[#This Row],[Order_Date]]&gt;TODAY()),"YES","NO")</f>
        <v>NO</v>
      </c>
    </row>
    <row r="890" spans="1:16" x14ac:dyDescent="0.3">
      <c r="A890">
        <v>100885</v>
      </c>
      <c r="B890" s="8">
        <v>45328.833333333343</v>
      </c>
      <c r="C890" t="s">
        <v>15</v>
      </c>
      <c r="D890" t="s">
        <v>35</v>
      </c>
      <c r="E890" t="s">
        <v>68</v>
      </c>
      <c r="F890" t="s">
        <v>71</v>
      </c>
      <c r="G890">
        <v>5</v>
      </c>
      <c r="H890">
        <v>34.74</v>
      </c>
      <c r="I890">
        <v>10</v>
      </c>
      <c r="J890" t="s">
        <v>76</v>
      </c>
      <c r="K890" t="s">
        <v>77</v>
      </c>
      <c r="L890">
        <v>173.7</v>
      </c>
      <c r="M890">
        <v>17.37</v>
      </c>
      <c r="N890">
        <v>156.33000000000001</v>
      </c>
      <c r="O8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0" s="9" t="str">
        <f ca="1">IF(OR(ISNUMBER(Table1[[#This Row],[Order_Date]])=FALSE,Table1[[#This Row],[Order_Date]]&lt;DATE(2000,1,1),Table1[[#This Row],[Order_Date]]&gt;TODAY()),"YES","NO")</f>
        <v>NO</v>
      </c>
    </row>
    <row r="891" spans="1:16" x14ac:dyDescent="0.3">
      <c r="A891">
        <v>100886</v>
      </c>
      <c r="B891" s="8">
        <v>45328.875</v>
      </c>
      <c r="C891" t="s">
        <v>14</v>
      </c>
      <c r="D891" t="s">
        <v>52</v>
      </c>
      <c r="E891" t="s">
        <v>69</v>
      </c>
      <c r="F891" t="s">
        <v>71</v>
      </c>
      <c r="G891">
        <v>2</v>
      </c>
      <c r="H891">
        <v>8.1999999999999993</v>
      </c>
      <c r="I891">
        <v>5</v>
      </c>
      <c r="J891" t="s">
        <v>76</v>
      </c>
      <c r="K891" t="s">
        <v>78</v>
      </c>
      <c r="L891">
        <v>16.399999999999999</v>
      </c>
      <c r="M891">
        <v>0.82</v>
      </c>
      <c r="N891">
        <v>15.58</v>
      </c>
      <c r="O8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91" s="9" t="str">
        <f ca="1">IF(OR(ISNUMBER(Table1[[#This Row],[Order_Date]])=FALSE,Table1[[#This Row],[Order_Date]]&lt;DATE(2000,1,1),Table1[[#This Row],[Order_Date]]&gt;TODAY()),"YES","NO")</f>
        <v>NO</v>
      </c>
    </row>
    <row r="892" spans="1:16" x14ac:dyDescent="0.3">
      <c r="A892">
        <v>100887</v>
      </c>
      <c r="B892" s="8">
        <v>45328.916666666657</v>
      </c>
      <c r="C892" t="s">
        <v>14</v>
      </c>
      <c r="D892" t="s">
        <v>33</v>
      </c>
      <c r="E892" t="s">
        <v>70</v>
      </c>
      <c r="F892" t="s">
        <v>72</v>
      </c>
      <c r="G892">
        <v>3</v>
      </c>
      <c r="H892">
        <v>77.61</v>
      </c>
      <c r="I892">
        <v>0</v>
      </c>
      <c r="J892" t="s">
        <v>73</v>
      </c>
      <c r="K892" t="s">
        <v>77</v>
      </c>
      <c r="L892">
        <v>232.83</v>
      </c>
      <c r="M892">
        <v>0</v>
      </c>
      <c r="N892">
        <v>232.83</v>
      </c>
      <c r="O8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2" s="9" t="str">
        <f ca="1">IF(OR(ISNUMBER(Table1[[#This Row],[Order_Date]])=FALSE,Table1[[#This Row],[Order_Date]]&lt;DATE(2000,1,1),Table1[[#This Row],[Order_Date]]&gt;TODAY()),"YES","NO")</f>
        <v>NO</v>
      </c>
    </row>
    <row r="893" spans="1:16" x14ac:dyDescent="0.3">
      <c r="A893">
        <v>100888</v>
      </c>
      <c r="B893" s="8">
        <v>45328.958333333343</v>
      </c>
      <c r="C893" t="s">
        <v>15</v>
      </c>
      <c r="D893" t="s">
        <v>34</v>
      </c>
      <c r="E893" t="s">
        <v>67</v>
      </c>
      <c r="F893" t="s">
        <v>72</v>
      </c>
      <c r="G893">
        <v>2</v>
      </c>
      <c r="H893">
        <v>54.04</v>
      </c>
      <c r="I893">
        <v>0</v>
      </c>
      <c r="J893" t="s">
        <v>75</v>
      </c>
      <c r="K893" t="s">
        <v>77</v>
      </c>
      <c r="L893">
        <v>108.08</v>
      </c>
      <c r="M893">
        <v>0</v>
      </c>
      <c r="N893">
        <v>108.08</v>
      </c>
      <c r="O8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3" s="9" t="str">
        <f ca="1">IF(OR(ISNUMBER(Table1[[#This Row],[Order_Date]])=FALSE,Table1[[#This Row],[Order_Date]]&lt;DATE(2000,1,1),Table1[[#This Row],[Order_Date]]&gt;TODAY()),"YES","NO")</f>
        <v>NO</v>
      </c>
    </row>
    <row r="894" spans="1:16" x14ac:dyDescent="0.3">
      <c r="A894">
        <v>100889</v>
      </c>
      <c r="B894" s="8">
        <v>45329</v>
      </c>
      <c r="C894" t="s">
        <v>15</v>
      </c>
      <c r="D894" t="s">
        <v>53</v>
      </c>
      <c r="E894" t="s">
        <v>70</v>
      </c>
      <c r="F894" t="s">
        <v>71</v>
      </c>
      <c r="G894">
        <v>1</v>
      </c>
      <c r="H894">
        <v>68.040000000000006</v>
      </c>
      <c r="I894">
        <v>5</v>
      </c>
      <c r="J894" t="s">
        <v>73</v>
      </c>
      <c r="K894" t="s">
        <v>77</v>
      </c>
      <c r="L894">
        <v>68.040000000000006</v>
      </c>
      <c r="M894">
        <v>3.402000000000001</v>
      </c>
      <c r="N894">
        <v>64.638000000000005</v>
      </c>
      <c r="O8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4" s="9" t="str">
        <f ca="1">IF(OR(ISNUMBER(Table1[[#This Row],[Order_Date]])=FALSE,Table1[[#This Row],[Order_Date]]&lt;DATE(2000,1,1),Table1[[#This Row],[Order_Date]]&gt;TODAY()),"YES","NO")</f>
        <v>NO</v>
      </c>
    </row>
    <row r="895" spans="1:16" x14ac:dyDescent="0.3">
      <c r="A895">
        <v>100890</v>
      </c>
      <c r="B895" s="8">
        <v>45329.041666666657</v>
      </c>
      <c r="C895" t="s">
        <v>14</v>
      </c>
      <c r="D895" t="s">
        <v>27</v>
      </c>
      <c r="E895" t="s">
        <v>69</v>
      </c>
      <c r="F895" t="s">
        <v>71</v>
      </c>
      <c r="G895">
        <v>3</v>
      </c>
      <c r="H895">
        <v>25.08</v>
      </c>
      <c r="I895">
        <v>10</v>
      </c>
      <c r="J895" t="s">
        <v>76</v>
      </c>
      <c r="K895" t="s">
        <v>78</v>
      </c>
      <c r="L895">
        <v>75.239999999999995</v>
      </c>
      <c r="M895">
        <v>7.524</v>
      </c>
      <c r="N895">
        <v>67.715999999999994</v>
      </c>
      <c r="O8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895" s="9" t="str">
        <f ca="1">IF(OR(ISNUMBER(Table1[[#This Row],[Order_Date]])=FALSE,Table1[[#This Row],[Order_Date]]&lt;DATE(2000,1,1),Table1[[#This Row],[Order_Date]]&gt;TODAY()),"YES","NO")</f>
        <v>NO</v>
      </c>
    </row>
    <row r="896" spans="1:16" x14ac:dyDescent="0.3">
      <c r="A896">
        <v>100891</v>
      </c>
      <c r="B896" s="8">
        <v>45329.083333333343</v>
      </c>
      <c r="C896" t="s">
        <v>14</v>
      </c>
      <c r="D896" t="s">
        <v>50</v>
      </c>
      <c r="E896" t="s">
        <v>69</v>
      </c>
      <c r="F896" t="s">
        <v>71</v>
      </c>
      <c r="G896">
        <v>2</v>
      </c>
      <c r="H896">
        <v>39.03</v>
      </c>
      <c r="I896">
        <v>15</v>
      </c>
      <c r="J896" t="s">
        <v>74</v>
      </c>
      <c r="K896" t="s">
        <v>77</v>
      </c>
      <c r="L896">
        <v>78.06</v>
      </c>
      <c r="M896">
        <v>11.709</v>
      </c>
      <c r="N896">
        <v>66.350999999999999</v>
      </c>
      <c r="O8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6" s="9" t="str">
        <f ca="1">IF(OR(ISNUMBER(Table1[[#This Row],[Order_Date]])=FALSE,Table1[[#This Row],[Order_Date]]&lt;DATE(2000,1,1),Table1[[#This Row],[Order_Date]]&gt;TODAY()),"YES","NO")</f>
        <v>NO</v>
      </c>
    </row>
    <row r="897" spans="1:16" x14ac:dyDescent="0.3">
      <c r="A897">
        <v>100892</v>
      </c>
      <c r="B897" s="8">
        <v>45329.125</v>
      </c>
      <c r="C897" t="s">
        <v>14</v>
      </c>
      <c r="D897" t="s">
        <v>30</v>
      </c>
      <c r="E897" t="s">
        <v>66</v>
      </c>
      <c r="F897" t="s">
        <v>71</v>
      </c>
      <c r="G897">
        <v>2</v>
      </c>
      <c r="H897">
        <v>81.34</v>
      </c>
      <c r="I897">
        <v>0</v>
      </c>
      <c r="J897" t="s">
        <v>76</v>
      </c>
      <c r="K897" t="s">
        <v>77</v>
      </c>
      <c r="L897">
        <v>162.68</v>
      </c>
      <c r="M897">
        <v>0</v>
      </c>
      <c r="N897">
        <v>162.68</v>
      </c>
      <c r="O8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7" s="9" t="str">
        <f ca="1">IF(OR(ISNUMBER(Table1[[#This Row],[Order_Date]])=FALSE,Table1[[#This Row],[Order_Date]]&lt;DATE(2000,1,1),Table1[[#This Row],[Order_Date]]&gt;TODAY()),"YES","NO")</f>
        <v>NO</v>
      </c>
    </row>
    <row r="898" spans="1:16" x14ac:dyDescent="0.3">
      <c r="A898">
        <v>100893</v>
      </c>
      <c r="B898" s="8">
        <v>45329.166666666657</v>
      </c>
      <c r="C898" t="s">
        <v>14</v>
      </c>
      <c r="D898" t="s">
        <v>22</v>
      </c>
      <c r="E898" t="s">
        <v>69</v>
      </c>
      <c r="F898" t="s">
        <v>72</v>
      </c>
      <c r="G898">
        <v>2</v>
      </c>
      <c r="H898">
        <v>116.01</v>
      </c>
      <c r="I898">
        <v>0</v>
      </c>
      <c r="J898" t="s">
        <v>75</v>
      </c>
      <c r="K898" t="s">
        <v>77</v>
      </c>
      <c r="L898">
        <v>232.02</v>
      </c>
      <c r="M898">
        <v>0</v>
      </c>
      <c r="N898">
        <v>232.02</v>
      </c>
      <c r="O8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8" s="9" t="str">
        <f ca="1">IF(OR(ISNUMBER(Table1[[#This Row],[Order_Date]])=FALSE,Table1[[#This Row],[Order_Date]]&lt;DATE(2000,1,1),Table1[[#This Row],[Order_Date]]&gt;TODAY()),"YES","NO")</f>
        <v>NO</v>
      </c>
    </row>
    <row r="899" spans="1:16" x14ac:dyDescent="0.3">
      <c r="A899">
        <v>100894</v>
      </c>
      <c r="B899" s="8">
        <v>45329.208333333343</v>
      </c>
      <c r="C899" t="s">
        <v>14</v>
      </c>
      <c r="D899" t="s">
        <v>36</v>
      </c>
      <c r="E899" t="s">
        <v>68</v>
      </c>
      <c r="F899" t="s">
        <v>71</v>
      </c>
      <c r="G899">
        <v>3</v>
      </c>
      <c r="H899">
        <v>10.8</v>
      </c>
      <c r="I899">
        <v>10</v>
      </c>
      <c r="J899" t="s">
        <v>73</v>
      </c>
      <c r="K899" t="s">
        <v>77</v>
      </c>
      <c r="L899">
        <v>32.400000000000013</v>
      </c>
      <c r="M899">
        <v>3.2400000000000011</v>
      </c>
      <c r="N899">
        <v>29.16</v>
      </c>
      <c r="O8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899" s="9" t="str">
        <f ca="1">IF(OR(ISNUMBER(Table1[[#This Row],[Order_Date]])=FALSE,Table1[[#This Row],[Order_Date]]&lt;DATE(2000,1,1),Table1[[#This Row],[Order_Date]]&gt;TODAY()),"YES","NO")</f>
        <v>NO</v>
      </c>
    </row>
    <row r="900" spans="1:16" x14ac:dyDescent="0.3">
      <c r="A900">
        <v>100895</v>
      </c>
      <c r="B900" s="8">
        <v>45329.25</v>
      </c>
      <c r="C900" t="s">
        <v>15</v>
      </c>
      <c r="D900" t="s">
        <v>24</v>
      </c>
      <c r="E900" t="s">
        <v>67</v>
      </c>
      <c r="F900" t="s">
        <v>72</v>
      </c>
      <c r="G900">
        <v>4</v>
      </c>
      <c r="H900">
        <v>107.39</v>
      </c>
      <c r="I900">
        <v>10</v>
      </c>
      <c r="J900" t="s">
        <v>73</v>
      </c>
      <c r="K900" t="s">
        <v>77</v>
      </c>
      <c r="L900">
        <v>429.56</v>
      </c>
      <c r="M900">
        <v>42.956000000000003</v>
      </c>
      <c r="N900">
        <v>386.60399999999998</v>
      </c>
      <c r="O9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0" s="9" t="str">
        <f ca="1">IF(OR(ISNUMBER(Table1[[#This Row],[Order_Date]])=FALSE,Table1[[#This Row],[Order_Date]]&lt;DATE(2000,1,1),Table1[[#This Row],[Order_Date]]&gt;TODAY()),"YES","NO")</f>
        <v>NO</v>
      </c>
    </row>
    <row r="901" spans="1:16" x14ac:dyDescent="0.3">
      <c r="A901">
        <v>100896</v>
      </c>
      <c r="B901" s="8">
        <v>45329.291666666657</v>
      </c>
      <c r="C901" t="s">
        <v>15</v>
      </c>
      <c r="D901" t="s">
        <v>59</v>
      </c>
      <c r="E901" t="s">
        <v>66</v>
      </c>
      <c r="F901" t="s">
        <v>72</v>
      </c>
      <c r="G901">
        <v>3</v>
      </c>
      <c r="H901">
        <v>71.34</v>
      </c>
      <c r="I901">
        <v>0</v>
      </c>
      <c r="J901" t="s">
        <v>74</v>
      </c>
      <c r="K901" t="s">
        <v>78</v>
      </c>
      <c r="L901">
        <v>214.02</v>
      </c>
      <c r="M901">
        <v>0</v>
      </c>
      <c r="N901">
        <v>214.02</v>
      </c>
      <c r="O9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01" s="9" t="str">
        <f ca="1">IF(OR(ISNUMBER(Table1[[#This Row],[Order_Date]])=FALSE,Table1[[#This Row],[Order_Date]]&lt;DATE(2000,1,1),Table1[[#This Row],[Order_Date]]&gt;TODAY()),"YES","NO")</f>
        <v>NO</v>
      </c>
    </row>
    <row r="902" spans="1:16" x14ac:dyDescent="0.3">
      <c r="A902">
        <v>100897</v>
      </c>
      <c r="B902" s="8">
        <v>45329.333333333343</v>
      </c>
      <c r="C902" t="s">
        <v>15</v>
      </c>
      <c r="D902" t="s">
        <v>17</v>
      </c>
      <c r="E902" t="s">
        <v>68</v>
      </c>
      <c r="F902" t="s">
        <v>72</v>
      </c>
      <c r="G902">
        <v>5</v>
      </c>
      <c r="H902">
        <v>69.849999999999994</v>
      </c>
      <c r="I902">
        <v>10</v>
      </c>
      <c r="J902" t="s">
        <v>73</v>
      </c>
      <c r="K902" t="s">
        <v>79</v>
      </c>
      <c r="L902">
        <v>349.25</v>
      </c>
      <c r="M902">
        <v>34.924999999999997</v>
      </c>
      <c r="N902">
        <v>314.32499999999999</v>
      </c>
      <c r="O9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02" s="9" t="str">
        <f ca="1">IF(OR(ISNUMBER(Table1[[#This Row],[Order_Date]])=FALSE,Table1[[#This Row],[Order_Date]]&lt;DATE(2000,1,1),Table1[[#This Row],[Order_Date]]&gt;TODAY()),"YES","NO")</f>
        <v>NO</v>
      </c>
    </row>
    <row r="903" spans="1:16" x14ac:dyDescent="0.3">
      <c r="A903">
        <v>100898</v>
      </c>
      <c r="B903" s="8">
        <v>45329.375</v>
      </c>
      <c r="C903" t="s">
        <v>15</v>
      </c>
      <c r="D903" t="s">
        <v>59</v>
      </c>
      <c r="E903" t="s">
        <v>70</v>
      </c>
      <c r="F903" t="s">
        <v>71</v>
      </c>
      <c r="G903">
        <v>3</v>
      </c>
      <c r="H903">
        <v>62.53</v>
      </c>
      <c r="I903">
        <v>15</v>
      </c>
      <c r="J903" t="s">
        <v>73</v>
      </c>
      <c r="K903" t="s">
        <v>77</v>
      </c>
      <c r="L903">
        <v>187.59</v>
      </c>
      <c r="M903">
        <v>28.138500000000001</v>
      </c>
      <c r="N903">
        <v>159.45150000000001</v>
      </c>
      <c r="O9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3" s="9" t="str">
        <f ca="1">IF(OR(ISNUMBER(Table1[[#This Row],[Order_Date]])=FALSE,Table1[[#This Row],[Order_Date]]&lt;DATE(2000,1,1),Table1[[#This Row],[Order_Date]]&gt;TODAY()),"YES","NO")</f>
        <v>NO</v>
      </c>
    </row>
    <row r="904" spans="1:16" x14ac:dyDescent="0.3">
      <c r="A904">
        <v>100899</v>
      </c>
      <c r="B904" s="8">
        <v>45329.416666666657</v>
      </c>
      <c r="C904" t="s">
        <v>14</v>
      </c>
      <c r="D904" t="s">
        <v>38</v>
      </c>
      <c r="E904" t="s">
        <v>67</v>
      </c>
      <c r="F904" t="s">
        <v>71</v>
      </c>
      <c r="G904">
        <v>2</v>
      </c>
      <c r="H904">
        <v>12.98</v>
      </c>
      <c r="I904">
        <v>0</v>
      </c>
      <c r="J904" t="s">
        <v>76</v>
      </c>
      <c r="K904" t="s">
        <v>78</v>
      </c>
      <c r="L904">
        <v>25.96</v>
      </c>
      <c r="M904">
        <v>0</v>
      </c>
      <c r="N904">
        <v>25.96</v>
      </c>
      <c r="O9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04" s="9" t="str">
        <f ca="1">IF(OR(ISNUMBER(Table1[[#This Row],[Order_Date]])=FALSE,Table1[[#This Row],[Order_Date]]&lt;DATE(2000,1,1),Table1[[#This Row],[Order_Date]]&gt;TODAY()),"YES","NO")</f>
        <v>NO</v>
      </c>
    </row>
    <row r="905" spans="1:16" x14ac:dyDescent="0.3">
      <c r="A905">
        <v>100900</v>
      </c>
      <c r="B905" s="8">
        <v>45329.458333333343</v>
      </c>
      <c r="C905" t="s">
        <v>14</v>
      </c>
      <c r="D905" t="s">
        <v>60</v>
      </c>
      <c r="E905" t="s">
        <v>69</v>
      </c>
      <c r="F905" t="s">
        <v>72</v>
      </c>
      <c r="G905">
        <v>1</v>
      </c>
      <c r="H905">
        <v>15.34</v>
      </c>
      <c r="I905">
        <v>15</v>
      </c>
      <c r="J905" t="s">
        <v>73</v>
      </c>
      <c r="K905" t="s">
        <v>77</v>
      </c>
      <c r="L905">
        <v>15.34</v>
      </c>
      <c r="M905">
        <v>2.3010000000000002</v>
      </c>
      <c r="N905">
        <v>13.039</v>
      </c>
      <c r="O9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5" s="9" t="str">
        <f ca="1">IF(OR(ISNUMBER(Table1[[#This Row],[Order_Date]])=FALSE,Table1[[#This Row],[Order_Date]]&lt;DATE(2000,1,1),Table1[[#This Row],[Order_Date]]&gt;TODAY()),"YES","NO")</f>
        <v>NO</v>
      </c>
    </row>
    <row r="906" spans="1:16" x14ac:dyDescent="0.3">
      <c r="A906">
        <v>100901</v>
      </c>
      <c r="B906" s="8">
        <v>45329.5</v>
      </c>
      <c r="C906" t="s">
        <v>14</v>
      </c>
      <c r="D906" t="s">
        <v>53</v>
      </c>
      <c r="E906" t="s">
        <v>67</v>
      </c>
      <c r="F906" t="s">
        <v>72</v>
      </c>
      <c r="G906">
        <v>3</v>
      </c>
      <c r="H906">
        <v>74.099999999999994</v>
      </c>
      <c r="I906">
        <v>15</v>
      </c>
      <c r="J906" t="s">
        <v>73</v>
      </c>
      <c r="K906" t="s">
        <v>77</v>
      </c>
      <c r="L906">
        <v>222.3</v>
      </c>
      <c r="M906">
        <v>33.344999999999999</v>
      </c>
      <c r="N906">
        <v>188.95500000000001</v>
      </c>
      <c r="O90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6" s="9" t="str">
        <f ca="1">IF(OR(ISNUMBER(Table1[[#This Row],[Order_Date]])=FALSE,Table1[[#This Row],[Order_Date]]&lt;DATE(2000,1,1),Table1[[#This Row],[Order_Date]]&gt;TODAY()),"YES","NO")</f>
        <v>NO</v>
      </c>
    </row>
    <row r="907" spans="1:16" x14ac:dyDescent="0.3">
      <c r="A907">
        <v>100902</v>
      </c>
      <c r="B907" s="8">
        <v>45329.541666666657</v>
      </c>
      <c r="C907" t="s">
        <v>15</v>
      </c>
      <c r="D907" t="s">
        <v>57</v>
      </c>
      <c r="E907" t="s">
        <v>70</v>
      </c>
      <c r="F907" t="s">
        <v>72</v>
      </c>
      <c r="G907">
        <v>3</v>
      </c>
      <c r="H907">
        <v>44.21</v>
      </c>
      <c r="I907">
        <v>10</v>
      </c>
      <c r="J907" t="s">
        <v>73</v>
      </c>
      <c r="K907" t="s">
        <v>77</v>
      </c>
      <c r="L907">
        <v>132.63</v>
      </c>
      <c r="M907">
        <v>13.263</v>
      </c>
      <c r="N907">
        <v>119.367</v>
      </c>
      <c r="O90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7" s="9" t="str">
        <f ca="1">IF(OR(ISNUMBER(Table1[[#This Row],[Order_Date]])=FALSE,Table1[[#This Row],[Order_Date]]&lt;DATE(2000,1,1),Table1[[#This Row],[Order_Date]]&gt;TODAY()),"YES","NO")</f>
        <v>NO</v>
      </c>
    </row>
    <row r="908" spans="1:16" x14ac:dyDescent="0.3">
      <c r="A908">
        <v>100903</v>
      </c>
      <c r="B908" s="8">
        <v>45329.583333333343</v>
      </c>
      <c r="C908" t="s">
        <v>15</v>
      </c>
      <c r="D908" t="s">
        <v>50</v>
      </c>
      <c r="E908" t="s">
        <v>66</v>
      </c>
      <c r="F908" t="s">
        <v>71</v>
      </c>
      <c r="G908">
        <v>2</v>
      </c>
      <c r="H908">
        <v>110.49</v>
      </c>
      <c r="I908">
        <v>15</v>
      </c>
      <c r="J908" t="s">
        <v>74</v>
      </c>
      <c r="K908" t="s">
        <v>77</v>
      </c>
      <c r="L908">
        <v>220.98</v>
      </c>
      <c r="M908">
        <v>33.146999999999998</v>
      </c>
      <c r="N908">
        <v>187.833</v>
      </c>
      <c r="O90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08" s="9" t="str">
        <f ca="1">IF(OR(ISNUMBER(Table1[[#This Row],[Order_Date]])=FALSE,Table1[[#This Row],[Order_Date]]&lt;DATE(2000,1,1),Table1[[#This Row],[Order_Date]]&gt;TODAY()),"YES","NO")</f>
        <v>NO</v>
      </c>
    </row>
    <row r="909" spans="1:16" x14ac:dyDescent="0.3">
      <c r="A909">
        <v>100904</v>
      </c>
      <c r="B909" s="8">
        <v>45329.625</v>
      </c>
      <c r="C909" t="s">
        <v>14</v>
      </c>
      <c r="D909" t="s">
        <v>50</v>
      </c>
      <c r="E909" t="s">
        <v>66</v>
      </c>
      <c r="F909" t="s">
        <v>72</v>
      </c>
      <c r="G909">
        <v>1</v>
      </c>
      <c r="H909">
        <v>51.76</v>
      </c>
      <c r="I909">
        <v>10</v>
      </c>
      <c r="J909" t="s">
        <v>74</v>
      </c>
      <c r="K909" t="s">
        <v>79</v>
      </c>
      <c r="L909">
        <v>51.76</v>
      </c>
      <c r="M909">
        <v>5.1760000000000002</v>
      </c>
      <c r="N909">
        <v>46.584000000000003</v>
      </c>
      <c r="O90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09" s="9" t="str">
        <f ca="1">IF(OR(ISNUMBER(Table1[[#This Row],[Order_Date]])=FALSE,Table1[[#This Row],[Order_Date]]&lt;DATE(2000,1,1),Table1[[#This Row],[Order_Date]]&gt;TODAY()),"YES","NO")</f>
        <v>NO</v>
      </c>
    </row>
    <row r="910" spans="1:16" x14ac:dyDescent="0.3">
      <c r="A910">
        <v>100905</v>
      </c>
      <c r="B910" s="8">
        <v>45329.666666666657</v>
      </c>
      <c r="C910" t="s">
        <v>14</v>
      </c>
      <c r="D910" t="s">
        <v>62</v>
      </c>
      <c r="E910" t="s">
        <v>66</v>
      </c>
      <c r="F910" t="s">
        <v>71</v>
      </c>
      <c r="G910">
        <v>1</v>
      </c>
      <c r="H910">
        <v>21.48</v>
      </c>
      <c r="I910">
        <v>5</v>
      </c>
      <c r="J910" t="s">
        <v>76</v>
      </c>
      <c r="K910" t="s">
        <v>77</v>
      </c>
      <c r="L910">
        <v>21.48</v>
      </c>
      <c r="M910">
        <v>1.0740000000000001</v>
      </c>
      <c r="N910">
        <v>20.405999999999999</v>
      </c>
      <c r="O91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0" s="9" t="str">
        <f ca="1">IF(OR(ISNUMBER(Table1[[#This Row],[Order_Date]])=FALSE,Table1[[#This Row],[Order_Date]]&lt;DATE(2000,1,1),Table1[[#This Row],[Order_Date]]&gt;TODAY()),"YES","NO")</f>
        <v>NO</v>
      </c>
    </row>
    <row r="911" spans="1:16" x14ac:dyDescent="0.3">
      <c r="A911">
        <v>100906</v>
      </c>
      <c r="B911" s="8">
        <v>45329.708333333343</v>
      </c>
      <c r="C911" t="s">
        <v>15</v>
      </c>
      <c r="D911" t="s">
        <v>26</v>
      </c>
      <c r="E911" t="s">
        <v>69</v>
      </c>
      <c r="F911" t="s">
        <v>72</v>
      </c>
      <c r="G911">
        <v>5</v>
      </c>
      <c r="H911">
        <v>87.19</v>
      </c>
      <c r="I911">
        <v>10</v>
      </c>
      <c r="J911" t="s">
        <v>73</v>
      </c>
      <c r="K911" t="s">
        <v>77</v>
      </c>
      <c r="L911">
        <v>435.95</v>
      </c>
      <c r="M911">
        <v>43.594999999999999</v>
      </c>
      <c r="N911">
        <v>392.35500000000002</v>
      </c>
      <c r="O91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1" s="9" t="str">
        <f ca="1">IF(OR(ISNUMBER(Table1[[#This Row],[Order_Date]])=FALSE,Table1[[#This Row],[Order_Date]]&lt;DATE(2000,1,1),Table1[[#This Row],[Order_Date]]&gt;TODAY()),"YES","NO")</f>
        <v>NO</v>
      </c>
    </row>
    <row r="912" spans="1:16" x14ac:dyDescent="0.3">
      <c r="A912">
        <v>100907</v>
      </c>
      <c r="B912" s="8">
        <v>45329.75</v>
      </c>
      <c r="C912" t="s">
        <v>15</v>
      </c>
      <c r="D912" t="s">
        <v>56</v>
      </c>
      <c r="E912" t="s">
        <v>68</v>
      </c>
      <c r="F912" t="s">
        <v>72</v>
      </c>
      <c r="G912">
        <v>3</v>
      </c>
      <c r="H912">
        <v>38.74</v>
      </c>
      <c r="I912">
        <v>15</v>
      </c>
      <c r="J912" t="s">
        <v>74</v>
      </c>
      <c r="K912" t="s">
        <v>77</v>
      </c>
      <c r="L912">
        <v>116.22</v>
      </c>
      <c r="M912">
        <v>17.433</v>
      </c>
      <c r="N912">
        <v>98.787000000000006</v>
      </c>
      <c r="O91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2" s="9" t="str">
        <f ca="1">IF(OR(ISNUMBER(Table1[[#This Row],[Order_Date]])=FALSE,Table1[[#This Row],[Order_Date]]&lt;DATE(2000,1,1),Table1[[#This Row],[Order_Date]]&gt;TODAY()),"YES","NO")</f>
        <v>NO</v>
      </c>
    </row>
    <row r="913" spans="1:16" x14ac:dyDescent="0.3">
      <c r="A913">
        <v>100908</v>
      </c>
      <c r="B913" s="8">
        <v>45329.791666666657</v>
      </c>
      <c r="C913" t="s">
        <v>14</v>
      </c>
      <c r="D913" t="s">
        <v>24</v>
      </c>
      <c r="E913" t="s">
        <v>68</v>
      </c>
      <c r="F913" t="s">
        <v>72</v>
      </c>
      <c r="G913">
        <v>1</v>
      </c>
      <c r="H913">
        <v>65.430000000000007</v>
      </c>
      <c r="I913">
        <v>5</v>
      </c>
      <c r="J913" t="s">
        <v>74</v>
      </c>
      <c r="K913" t="s">
        <v>77</v>
      </c>
      <c r="L913">
        <v>65.430000000000007</v>
      </c>
      <c r="M913">
        <v>3.271500000000001</v>
      </c>
      <c r="N913">
        <v>62.158499999999997</v>
      </c>
      <c r="O91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3" s="9" t="str">
        <f ca="1">IF(OR(ISNUMBER(Table1[[#This Row],[Order_Date]])=FALSE,Table1[[#This Row],[Order_Date]]&lt;DATE(2000,1,1),Table1[[#This Row],[Order_Date]]&gt;TODAY()),"YES","NO")</f>
        <v>NO</v>
      </c>
    </row>
    <row r="914" spans="1:16" x14ac:dyDescent="0.3">
      <c r="A914">
        <v>100909</v>
      </c>
      <c r="B914" s="8">
        <v>45329.833333333343</v>
      </c>
      <c r="C914" t="s">
        <v>14</v>
      </c>
      <c r="D914" t="s">
        <v>60</v>
      </c>
      <c r="E914" t="s">
        <v>67</v>
      </c>
      <c r="F914" t="s">
        <v>71</v>
      </c>
      <c r="G914">
        <v>1</v>
      </c>
      <c r="H914">
        <v>85.25</v>
      </c>
      <c r="I914">
        <v>10</v>
      </c>
      <c r="J914" t="s">
        <v>76</v>
      </c>
      <c r="K914" t="s">
        <v>77</v>
      </c>
      <c r="L914">
        <v>85.25</v>
      </c>
      <c r="M914">
        <v>8.5250000000000004</v>
      </c>
      <c r="N914">
        <v>76.724999999999994</v>
      </c>
      <c r="O91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4" s="9" t="str">
        <f ca="1">IF(OR(ISNUMBER(Table1[[#This Row],[Order_Date]])=FALSE,Table1[[#This Row],[Order_Date]]&lt;DATE(2000,1,1),Table1[[#This Row],[Order_Date]]&gt;TODAY()),"YES","NO")</f>
        <v>NO</v>
      </c>
    </row>
    <row r="915" spans="1:16" x14ac:dyDescent="0.3">
      <c r="A915">
        <v>100910</v>
      </c>
      <c r="B915" s="8">
        <v>45329.875</v>
      </c>
      <c r="C915" t="s">
        <v>15</v>
      </c>
      <c r="D915" t="s">
        <v>39</v>
      </c>
      <c r="E915" t="s">
        <v>69</v>
      </c>
      <c r="F915" t="s">
        <v>71</v>
      </c>
      <c r="G915">
        <v>4</v>
      </c>
      <c r="H915">
        <v>108.53</v>
      </c>
      <c r="I915">
        <v>15</v>
      </c>
      <c r="J915" t="s">
        <v>75</v>
      </c>
      <c r="K915" t="s">
        <v>79</v>
      </c>
      <c r="L915">
        <v>434.12</v>
      </c>
      <c r="M915">
        <v>65.117999999999995</v>
      </c>
      <c r="N915">
        <v>369.00200000000001</v>
      </c>
      <c r="O91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15" s="9" t="str">
        <f ca="1">IF(OR(ISNUMBER(Table1[[#This Row],[Order_Date]])=FALSE,Table1[[#This Row],[Order_Date]]&lt;DATE(2000,1,1),Table1[[#This Row],[Order_Date]]&gt;TODAY()),"YES","NO")</f>
        <v>NO</v>
      </c>
    </row>
    <row r="916" spans="1:16" x14ac:dyDescent="0.3">
      <c r="A916">
        <v>100911</v>
      </c>
      <c r="B916" s="8">
        <v>45329.916666666657</v>
      </c>
      <c r="C916" t="s">
        <v>14</v>
      </c>
      <c r="D916" t="s">
        <v>20</v>
      </c>
      <c r="E916" t="s">
        <v>66</v>
      </c>
      <c r="F916" t="s">
        <v>72</v>
      </c>
      <c r="G916">
        <v>4</v>
      </c>
      <c r="H916">
        <v>96.1</v>
      </c>
      <c r="I916">
        <v>0</v>
      </c>
      <c r="J916" t="s">
        <v>73</v>
      </c>
      <c r="K916" t="s">
        <v>77</v>
      </c>
      <c r="L916">
        <v>384.4</v>
      </c>
      <c r="M916">
        <v>0</v>
      </c>
      <c r="N916">
        <v>384.4</v>
      </c>
      <c r="O91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6" s="9" t="str">
        <f ca="1">IF(OR(ISNUMBER(Table1[[#This Row],[Order_Date]])=FALSE,Table1[[#This Row],[Order_Date]]&lt;DATE(2000,1,1),Table1[[#This Row],[Order_Date]]&gt;TODAY()),"YES","NO")</f>
        <v>NO</v>
      </c>
    </row>
    <row r="917" spans="1:16" x14ac:dyDescent="0.3">
      <c r="A917">
        <v>100912</v>
      </c>
      <c r="B917" s="8">
        <v>45329.958333333343</v>
      </c>
      <c r="C917" t="s">
        <v>14</v>
      </c>
      <c r="D917" t="s">
        <v>44</v>
      </c>
      <c r="E917" t="s">
        <v>66</v>
      </c>
      <c r="F917" t="s">
        <v>71</v>
      </c>
      <c r="G917">
        <v>1</v>
      </c>
      <c r="H917">
        <v>82.78</v>
      </c>
      <c r="I917">
        <v>0</v>
      </c>
      <c r="J917" t="s">
        <v>74</v>
      </c>
      <c r="K917" t="s">
        <v>77</v>
      </c>
      <c r="L917">
        <v>82.78</v>
      </c>
      <c r="M917">
        <v>0</v>
      </c>
      <c r="N917">
        <v>82.78</v>
      </c>
      <c r="O91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7" s="9" t="str">
        <f ca="1">IF(OR(ISNUMBER(Table1[[#This Row],[Order_Date]])=FALSE,Table1[[#This Row],[Order_Date]]&lt;DATE(2000,1,1),Table1[[#This Row],[Order_Date]]&gt;TODAY()),"YES","NO")</f>
        <v>NO</v>
      </c>
    </row>
    <row r="918" spans="1:16" x14ac:dyDescent="0.3">
      <c r="A918">
        <v>100913</v>
      </c>
      <c r="B918" s="8">
        <v>45330</v>
      </c>
      <c r="C918" t="s">
        <v>14</v>
      </c>
      <c r="D918" t="s">
        <v>30</v>
      </c>
      <c r="E918" t="s">
        <v>70</v>
      </c>
      <c r="F918" t="s">
        <v>72</v>
      </c>
      <c r="G918">
        <v>5</v>
      </c>
      <c r="H918">
        <v>83.16</v>
      </c>
      <c r="I918">
        <v>10</v>
      </c>
      <c r="J918" t="s">
        <v>76</v>
      </c>
      <c r="K918" t="s">
        <v>77</v>
      </c>
      <c r="L918">
        <v>415.8</v>
      </c>
      <c r="M918">
        <v>41.58</v>
      </c>
      <c r="N918">
        <v>374.22</v>
      </c>
      <c r="O91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8" s="9" t="str">
        <f ca="1">IF(OR(ISNUMBER(Table1[[#This Row],[Order_Date]])=FALSE,Table1[[#This Row],[Order_Date]]&lt;DATE(2000,1,1),Table1[[#This Row],[Order_Date]]&gt;TODAY()),"YES","NO")</f>
        <v>NO</v>
      </c>
    </row>
    <row r="919" spans="1:16" x14ac:dyDescent="0.3">
      <c r="A919">
        <v>100914</v>
      </c>
      <c r="B919" s="8">
        <v>45330.041666666657</v>
      </c>
      <c r="C919" t="s">
        <v>15</v>
      </c>
      <c r="D919" t="s">
        <v>65</v>
      </c>
      <c r="E919" t="s">
        <v>70</v>
      </c>
      <c r="F919" t="s">
        <v>71</v>
      </c>
      <c r="G919">
        <v>1</v>
      </c>
      <c r="H919">
        <v>113.78</v>
      </c>
      <c r="I919">
        <v>10</v>
      </c>
      <c r="J919" t="s">
        <v>76</v>
      </c>
      <c r="K919" t="s">
        <v>77</v>
      </c>
      <c r="L919">
        <v>113.78</v>
      </c>
      <c r="M919">
        <v>11.378</v>
      </c>
      <c r="N919">
        <v>102.402</v>
      </c>
      <c r="O91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19" s="9" t="str">
        <f ca="1">IF(OR(ISNUMBER(Table1[[#This Row],[Order_Date]])=FALSE,Table1[[#This Row],[Order_Date]]&lt;DATE(2000,1,1),Table1[[#This Row],[Order_Date]]&gt;TODAY()),"YES","NO")</f>
        <v>NO</v>
      </c>
    </row>
    <row r="920" spans="1:16" x14ac:dyDescent="0.3">
      <c r="A920">
        <v>100915</v>
      </c>
      <c r="B920" s="8">
        <v>45330.083333333343</v>
      </c>
      <c r="C920" t="s">
        <v>15</v>
      </c>
      <c r="D920" t="s">
        <v>53</v>
      </c>
      <c r="E920" t="s">
        <v>66</v>
      </c>
      <c r="F920" t="s">
        <v>71</v>
      </c>
      <c r="G920">
        <v>2</v>
      </c>
      <c r="H920">
        <v>39.020000000000003</v>
      </c>
      <c r="I920">
        <v>0</v>
      </c>
      <c r="J920" t="s">
        <v>76</v>
      </c>
      <c r="K920" t="s">
        <v>77</v>
      </c>
      <c r="L920">
        <v>78.040000000000006</v>
      </c>
      <c r="M920">
        <v>0</v>
      </c>
      <c r="N920">
        <v>78.040000000000006</v>
      </c>
      <c r="O92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0" s="9" t="str">
        <f ca="1">IF(OR(ISNUMBER(Table1[[#This Row],[Order_Date]])=FALSE,Table1[[#This Row],[Order_Date]]&lt;DATE(2000,1,1),Table1[[#This Row],[Order_Date]]&gt;TODAY()),"YES","NO")</f>
        <v>NO</v>
      </c>
    </row>
    <row r="921" spans="1:16" x14ac:dyDescent="0.3">
      <c r="A921">
        <v>100916</v>
      </c>
      <c r="B921" s="8">
        <v>45330.125</v>
      </c>
      <c r="C921" t="s">
        <v>15</v>
      </c>
      <c r="D921" t="s">
        <v>55</v>
      </c>
      <c r="E921" t="s">
        <v>66</v>
      </c>
      <c r="F921" t="s">
        <v>71</v>
      </c>
      <c r="G921">
        <v>3</v>
      </c>
      <c r="H921">
        <v>5.13</v>
      </c>
      <c r="I921">
        <v>15</v>
      </c>
      <c r="J921" t="s">
        <v>74</v>
      </c>
      <c r="K921" t="s">
        <v>77</v>
      </c>
      <c r="L921">
        <v>15.39</v>
      </c>
      <c r="M921">
        <v>2.3085</v>
      </c>
      <c r="N921">
        <v>13.0815</v>
      </c>
      <c r="O92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1" s="9" t="str">
        <f ca="1">IF(OR(ISNUMBER(Table1[[#This Row],[Order_Date]])=FALSE,Table1[[#This Row],[Order_Date]]&lt;DATE(2000,1,1),Table1[[#This Row],[Order_Date]]&gt;TODAY()),"YES","NO")</f>
        <v>NO</v>
      </c>
    </row>
    <row r="922" spans="1:16" x14ac:dyDescent="0.3">
      <c r="A922">
        <v>100917</v>
      </c>
      <c r="B922" s="8">
        <v>45330.166666666657</v>
      </c>
      <c r="C922" t="s">
        <v>15</v>
      </c>
      <c r="D922" t="s">
        <v>19</v>
      </c>
      <c r="E922" t="s">
        <v>69</v>
      </c>
      <c r="F922" t="s">
        <v>72</v>
      </c>
      <c r="G922">
        <v>5</v>
      </c>
      <c r="H922">
        <v>36.270000000000003</v>
      </c>
      <c r="I922">
        <v>15</v>
      </c>
      <c r="J922" t="s">
        <v>73</v>
      </c>
      <c r="K922" t="s">
        <v>77</v>
      </c>
      <c r="L922">
        <v>181.35</v>
      </c>
      <c r="M922">
        <v>27.202500000000001</v>
      </c>
      <c r="N922">
        <v>154.14750000000001</v>
      </c>
      <c r="O92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2" s="9" t="str">
        <f ca="1">IF(OR(ISNUMBER(Table1[[#This Row],[Order_Date]])=FALSE,Table1[[#This Row],[Order_Date]]&lt;DATE(2000,1,1),Table1[[#This Row],[Order_Date]]&gt;TODAY()),"YES","NO")</f>
        <v>NO</v>
      </c>
    </row>
    <row r="923" spans="1:16" x14ac:dyDescent="0.3">
      <c r="A923">
        <v>100918</v>
      </c>
      <c r="B923" s="8">
        <v>45330.208333333343</v>
      </c>
      <c r="C923" t="s">
        <v>15</v>
      </c>
      <c r="D923" t="s">
        <v>23</v>
      </c>
      <c r="E923" t="s">
        <v>68</v>
      </c>
      <c r="F923" t="s">
        <v>71</v>
      </c>
      <c r="G923">
        <v>2</v>
      </c>
      <c r="H923">
        <v>30.06</v>
      </c>
      <c r="I923">
        <v>15</v>
      </c>
      <c r="J923" t="s">
        <v>75</v>
      </c>
      <c r="K923" t="s">
        <v>77</v>
      </c>
      <c r="L923">
        <v>60.12</v>
      </c>
      <c r="M923">
        <v>9.0179999999999989</v>
      </c>
      <c r="N923">
        <v>51.101999999999997</v>
      </c>
      <c r="O92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3" s="9" t="str">
        <f ca="1">IF(OR(ISNUMBER(Table1[[#This Row],[Order_Date]])=FALSE,Table1[[#This Row],[Order_Date]]&lt;DATE(2000,1,1),Table1[[#This Row],[Order_Date]]&gt;TODAY()),"YES","NO")</f>
        <v>NO</v>
      </c>
    </row>
    <row r="924" spans="1:16" x14ac:dyDescent="0.3">
      <c r="A924">
        <v>100919</v>
      </c>
      <c r="B924" s="8">
        <v>45330.25</v>
      </c>
      <c r="C924" t="s">
        <v>15</v>
      </c>
      <c r="D924" t="s">
        <v>35</v>
      </c>
      <c r="E924" t="s">
        <v>70</v>
      </c>
      <c r="F924" t="s">
        <v>71</v>
      </c>
      <c r="G924">
        <v>5</v>
      </c>
      <c r="H924">
        <v>81.11</v>
      </c>
      <c r="I924">
        <v>10</v>
      </c>
      <c r="J924" t="s">
        <v>73</v>
      </c>
      <c r="K924" t="s">
        <v>77</v>
      </c>
      <c r="L924">
        <v>405.55</v>
      </c>
      <c r="M924">
        <v>40.555000000000007</v>
      </c>
      <c r="N924">
        <v>364.995</v>
      </c>
      <c r="O92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4" s="9" t="str">
        <f ca="1">IF(OR(ISNUMBER(Table1[[#This Row],[Order_Date]])=FALSE,Table1[[#This Row],[Order_Date]]&lt;DATE(2000,1,1),Table1[[#This Row],[Order_Date]]&gt;TODAY()),"YES","NO")</f>
        <v>NO</v>
      </c>
    </row>
    <row r="925" spans="1:16" x14ac:dyDescent="0.3">
      <c r="A925">
        <v>100920</v>
      </c>
      <c r="B925" s="8">
        <v>45330.291666666657</v>
      </c>
      <c r="C925" t="s">
        <v>15</v>
      </c>
      <c r="D925" t="s">
        <v>24</v>
      </c>
      <c r="E925" t="s">
        <v>68</v>
      </c>
      <c r="F925" t="s">
        <v>72</v>
      </c>
      <c r="G925">
        <v>2</v>
      </c>
      <c r="H925">
        <v>77.88</v>
      </c>
      <c r="I925">
        <v>5</v>
      </c>
      <c r="J925" t="s">
        <v>76</v>
      </c>
      <c r="K925" t="s">
        <v>77</v>
      </c>
      <c r="L925">
        <v>155.76</v>
      </c>
      <c r="M925">
        <v>7.7880000000000003</v>
      </c>
      <c r="N925">
        <v>147.97200000000001</v>
      </c>
      <c r="O92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5" s="9" t="str">
        <f ca="1">IF(OR(ISNUMBER(Table1[[#This Row],[Order_Date]])=FALSE,Table1[[#This Row],[Order_Date]]&lt;DATE(2000,1,1),Table1[[#This Row],[Order_Date]]&gt;TODAY()),"YES","NO")</f>
        <v>NO</v>
      </c>
    </row>
    <row r="926" spans="1:16" x14ac:dyDescent="0.3">
      <c r="A926">
        <v>100921</v>
      </c>
      <c r="B926" s="8">
        <v>45330.333333333343</v>
      </c>
      <c r="C926" t="s">
        <v>14</v>
      </c>
      <c r="D926" t="s">
        <v>32</v>
      </c>
      <c r="E926" t="s">
        <v>69</v>
      </c>
      <c r="F926" t="s">
        <v>72</v>
      </c>
      <c r="G926">
        <v>3</v>
      </c>
      <c r="H926">
        <v>73.25</v>
      </c>
      <c r="I926">
        <v>5</v>
      </c>
      <c r="J926" t="s">
        <v>76</v>
      </c>
      <c r="K926" t="s">
        <v>77</v>
      </c>
      <c r="L926">
        <v>219.75</v>
      </c>
      <c r="M926">
        <v>10.987500000000001</v>
      </c>
      <c r="N926">
        <v>208.76249999999999</v>
      </c>
      <c r="O92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6" s="9" t="str">
        <f ca="1">IF(OR(ISNUMBER(Table1[[#This Row],[Order_Date]])=FALSE,Table1[[#This Row],[Order_Date]]&lt;DATE(2000,1,1),Table1[[#This Row],[Order_Date]]&gt;TODAY()),"YES","NO")</f>
        <v>NO</v>
      </c>
    </row>
    <row r="927" spans="1:16" x14ac:dyDescent="0.3">
      <c r="A927">
        <v>100922</v>
      </c>
      <c r="B927" s="8">
        <v>45330.375</v>
      </c>
      <c r="C927" t="s">
        <v>14</v>
      </c>
      <c r="D927" t="s">
        <v>62</v>
      </c>
      <c r="E927" t="s">
        <v>66</v>
      </c>
      <c r="F927" t="s">
        <v>72</v>
      </c>
      <c r="G927">
        <v>3</v>
      </c>
      <c r="H927">
        <v>6.87</v>
      </c>
      <c r="I927">
        <v>5</v>
      </c>
      <c r="J927" t="s">
        <v>75</v>
      </c>
      <c r="K927" t="s">
        <v>77</v>
      </c>
      <c r="L927">
        <v>20.61</v>
      </c>
      <c r="M927">
        <v>1.0305</v>
      </c>
      <c r="N927">
        <v>19.579499999999999</v>
      </c>
      <c r="O92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7" s="9" t="str">
        <f ca="1">IF(OR(ISNUMBER(Table1[[#This Row],[Order_Date]])=FALSE,Table1[[#This Row],[Order_Date]]&lt;DATE(2000,1,1),Table1[[#This Row],[Order_Date]]&gt;TODAY()),"YES","NO")</f>
        <v>NO</v>
      </c>
    </row>
    <row r="928" spans="1:16" x14ac:dyDescent="0.3">
      <c r="A928">
        <v>100923</v>
      </c>
      <c r="B928" s="8">
        <v>45330.416666666657</v>
      </c>
      <c r="C928" t="s">
        <v>14</v>
      </c>
      <c r="D928" t="s">
        <v>44</v>
      </c>
      <c r="E928" t="s">
        <v>68</v>
      </c>
      <c r="F928" t="s">
        <v>72</v>
      </c>
      <c r="G928">
        <v>4</v>
      </c>
      <c r="H928">
        <v>88.81</v>
      </c>
      <c r="I928">
        <v>5</v>
      </c>
      <c r="J928" t="s">
        <v>73</v>
      </c>
      <c r="K928" t="s">
        <v>77</v>
      </c>
      <c r="L928">
        <v>355.24</v>
      </c>
      <c r="M928">
        <v>17.762</v>
      </c>
      <c r="N928">
        <v>337.47800000000001</v>
      </c>
      <c r="O92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28" s="9" t="str">
        <f ca="1">IF(OR(ISNUMBER(Table1[[#This Row],[Order_Date]])=FALSE,Table1[[#This Row],[Order_Date]]&lt;DATE(2000,1,1),Table1[[#This Row],[Order_Date]]&gt;TODAY()),"YES","NO")</f>
        <v>NO</v>
      </c>
    </row>
    <row r="929" spans="1:16" x14ac:dyDescent="0.3">
      <c r="A929">
        <v>100924</v>
      </c>
      <c r="B929" s="8">
        <v>45330.458333333343</v>
      </c>
      <c r="C929" t="s">
        <v>14</v>
      </c>
      <c r="D929" t="s">
        <v>41</v>
      </c>
      <c r="E929" t="s">
        <v>66</v>
      </c>
      <c r="F929" t="s">
        <v>71</v>
      </c>
      <c r="G929">
        <v>2</v>
      </c>
      <c r="H929">
        <v>42.21</v>
      </c>
      <c r="I929">
        <v>5</v>
      </c>
      <c r="J929" t="s">
        <v>76</v>
      </c>
      <c r="K929" t="s">
        <v>78</v>
      </c>
      <c r="L929">
        <v>84.42</v>
      </c>
      <c r="M929">
        <v>4.2210000000000001</v>
      </c>
      <c r="N929">
        <v>80.198999999999998</v>
      </c>
      <c r="O92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29" s="9" t="str">
        <f ca="1">IF(OR(ISNUMBER(Table1[[#This Row],[Order_Date]])=FALSE,Table1[[#This Row],[Order_Date]]&lt;DATE(2000,1,1),Table1[[#This Row],[Order_Date]]&gt;TODAY()),"YES","NO")</f>
        <v>NO</v>
      </c>
    </row>
    <row r="930" spans="1:16" x14ac:dyDescent="0.3">
      <c r="A930">
        <v>100925</v>
      </c>
      <c r="B930" s="8">
        <v>45330.5</v>
      </c>
      <c r="C930" t="s">
        <v>14</v>
      </c>
      <c r="D930" t="s">
        <v>45</v>
      </c>
      <c r="E930" t="s">
        <v>66</v>
      </c>
      <c r="F930" t="s">
        <v>71</v>
      </c>
      <c r="G930">
        <v>4</v>
      </c>
      <c r="H930">
        <v>81.48</v>
      </c>
      <c r="I930">
        <v>10</v>
      </c>
      <c r="J930" t="s">
        <v>76</v>
      </c>
      <c r="K930" t="s">
        <v>77</v>
      </c>
      <c r="L930">
        <v>325.92</v>
      </c>
      <c r="M930">
        <v>32.592000000000013</v>
      </c>
      <c r="N930">
        <v>293.32799999999997</v>
      </c>
      <c r="O93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0" s="9" t="str">
        <f ca="1">IF(OR(ISNUMBER(Table1[[#This Row],[Order_Date]])=FALSE,Table1[[#This Row],[Order_Date]]&lt;DATE(2000,1,1),Table1[[#This Row],[Order_Date]]&gt;TODAY()),"YES","NO")</f>
        <v>NO</v>
      </c>
    </row>
    <row r="931" spans="1:16" x14ac:dyDescent="0.3">
      <c r="A931">
        <v>100926</v>
      </c>
      <c r="B931" s="8">
        <v>45330.541666666657</v>
      </c>
      <c r="C931" t="s">
        <v>14</v>
      </c>
      <c r="D931" t="s">
        <v>38</v>
      </c>
      <c r="E931" t="s">
        <v>67</v>
      </c>
      <c r="F931" t="s">
        <v>71</v>
      </c>
      <c r="G931">
        <v>2</v>
      </c>
      <c r="H931">
        <v>69.010000000000005</v>
      </c>
      <c r="I931">
        <v>10</v>
      </c>
      <c r="J931" t="s">
        <v>73</v>
      </c>
      <c r="K931" t="s">
        <v>77</v>
      </c>
      <c r="L931">
        <v>138.02000000000001</v>
      </c>
      <c r="M931">
        <v>13.802</v>
      </c>
      <c r="N931">
        <v>124.218</v>
      </c>
      <c r="O93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1" s="9" t="str">
        <f ca="1">IF(OR(ISNUMBER(Table1[[#This Row],[Order_Date]])=FALSE,Table1[[#This Row],[Order_Date]]&lt;DATE(2000,1,1),Table1[[#This Row],[Order_Date]]&gt;TODAY()),"YES","NO")</f>
        <v>NO</v>
      </c>
    </row>
    <row r="932" spans="1:16" x14ac:dyDescent="0.3">
      <c r="A932">
        <v>100927</v>
      </c>
      <c r="B932" s="8">
        <v>45330.583333333343</v>
      </c>
      <c r="C932" t="s">
        <v>14</v>
      </c>
      <c r="D932" t="s">
        <v>48</v>
      </c>
      <c r="E932" t="s">
        <v>68</v>
      </c>
      <c r="F932" t="s">
        <v>71</v>
      </c>
      <c r="G932">
        <v>4</v>
      </c>
      <c r="H932">
        <v>44.41</v>
      </c>
      <c r="I932">
        <v>5</v>
      </c>
      <c r="J932" t="s">
        <v>76</v>
      </c>
      <c r="K932" t="s">
        <v>77</v>
      </c>
      <c r="L932">
        <v>177.64</v>
      </c>
      <c r="M932">
        <v>8.8819999999999997</v>
      </c>
      <c r="N932">
        <v>168.75800000000001</v>
      </c>
      <c r="O93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2" s="9" t="str">
        <f ca="1">IF(OR(ISNUMBER(Table1[[#This Row],[Order_Date]])=FALSE,Table1[[#This Row],[Order_Date]]&lt;DATE(2000,1,1),Table1[[#This Row],[Order_Date]]&gt;TODAY()),"YES","NO")</f>
        <v>NO</v>
      </c>
    </row>
    <row r="933" spans="1:16" x14ac:dyDescent="0.3">
      <c r="A933">
        <v>100928</v>
      </c>
      <c r="B933" s="8">
        <v>45330.625</v>
      </c>
      <c r="C933" t="s">
        <v>15</v>
      </c>
      <c r="D933" t="s">
        <v>26</v>
      </c>
      <c r="E933" t="s">
        <v>68</v>
      </c>
      <c r="F933" t="s">
        <v>71</v>
      </c>
      <c r="G933">
        <v>3</v>
      </c>
      <c r="H933">
        <v>20.48</v>
      </c>
      <c r="I933">
        <v>10</v>
      </c>
      <c r="J933" t="s">
        <v>73</v>
      </c>
      <c r="K933" t="s">
        <v>77</v>
      </c>
      <c r="L933">
        <v>61.44</v>
      </c>
      <c r="M933">
        <v>6.1440000000000001</v>
      </c>
      <c r="N933">
        <v>55.295999999999999</v>
      </c>
      <c r="O93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3" s="9" t="str">
        <f ca="1">IF(OR(ISNUMBER(Table1[[#This Row],[Order_Date]])=FALSE,Table1[[#This Row],[Order_Date]]&lt;DATE(2000,1,1),Table1[[#This Row],[Order_Date]]&gt;TODAY()),"YES","NO")</f>
        <v>NO</v>
      </c>
    </row>
    <row r="934" spans="1:16" x14ac:dyDescent="0.3">
      <c r="A934">
        <v>100929</v>
      </c>
      <c r="B934" s="8">
        <v>45330.666666666657</v>
      </c>
      <c r="C934" t="s">
        <v>15</v>
      </c>
      <c r="D934" t="s">
        <v>28</v>
      </c>
      <c r="E934" t="s">
        <v>66</v>
      </c>
      <c r="F934" t="s">
        <v>72</v>
      </c>
      <c r="G934">
        <v>5</v>
      </c>
      <c r="H934">
        <v>15.86</v>
      </c>
      <c r="I934">
        <v>10</v>
      </c>
      <c r="J934" t="s">
        <v>76</v>
      </c>
      <c r="K934" t="s">
        <v>77</v>
      </c>
      <c r="L934">
        <v>79.3</v>
      </c>
      <c r="M934">
        <v>7.93</v>
      </c>
      <c r="N934">
        <v>71.37</v>
      </c>
      <c r="O93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4" s="9" t="str">
        <f ca="1">IF(OR(ISNUMBER(Table1[[#This Row],[Order_Date]])=FALSE,Table1[[#This Row],[Order_Date]]&lt;DATE(2000,1,1),Table1[[#This Row],[Order_Date]]&gt;TODAY()),"YES","NO")</f>
        <v>NO</v>
      </c>
    </row>
    <row r="935" spans="1:16" x14ac:dyDescent="0.3">
      <c r="A935">
        <v>100930</v>
      </c>
      <c r="B935" s="8">
        <v>45330.708333333343</v>
      </c>
      <c r="C935" t="s">
        <v>14</v>
      </c>
      <c r="D935" t="s">
        <v>28</v>
      </c>
      <c r="E935" t="s">
        <v>69</v>
      </c>
      <c r="F935" t="s">
        <v>71</v>
      </c>
      <c r="G935">
        <v>4</v>
      </c>
      <c r="H935">
        <v>100.62</v>
      </c>
      <c r="I935">
        <v>5</v>
      </c>
      <c r="J935" t="s">
        <v>73</v>
      </c>
      <c r="K935" t="s">
        <v>78</v>
      </c>
      <c r="L935">
        <v>402.48</v>
      </c>
      <c r="M935">
        <v>20.123999999999999</v>
      </c>
      <c r="N935">
        <v>382.35599999999999</v>
      </c>
      <c r="O93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35" s="9" t="str">
        <f ca="1">IF(OR(ISNUMBER(Table1[[#This Row],[Order_Date]])=FALSE,Table1[[#This Row],[Order_Date]]&lt;DATE(2000,1,1),Table1[[#This Row],[Order_Date]]&gt;TODAY()),"YES","NO")</f>
        <v>NO</v>
      </c>
    </row>
    <row r="936" spans="1:16" x14ac:dyDescent="0.3">
      <c r="A936">
        <v>100931</v>
      </c>
      <c r="B936" s="8">
        <v>45330.75</v>
      </c>
      <c r="C936" t="s">
        <v>14</v>
      </c>
      <c r="D936" t="s">
        <v>29</v>
      </c>
      <c r="E936" t="s">
        <v>67</v>
      </c>
      <c r="F936" t="s">
        <v>71</v>
      </c>
      <c r="G936">
        <v>2</v>
      </c>
      <c r="H936">
        <v>110.62</v>
      </c>
      <c r="I936">
        <v>15</v>
      </c>
      <c r="J936" t="s">
        <v>75</v>
      </c>
      <c r="K936" t="s">
        <v>77</v>
      </c>
      <c r="L936">
        <v>221.24</v>
      </c>
      <c r="M936">
        <v>33.186</v>
      </c>
      <c r="N936">
        <v>188.054</v>
      </c>
      <c r="O93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6" s="9" t="str">
        <f ca="1">IF(OR(ISNUMBER(Table1[[#This Row],[Order_Date]])=FALSE,Table1[[#This Row],[Order_Date]]&lt;DATE(2000,1,1),Table1[[#This Row],[Order_Date]]&gt;TODAY()),"YES","NO")</f>
        <v>NO</v>
      </c>
    </row>
    <row r="937" spans="1:16" x14ac:dyDescent="0.3">
      <c r="A937">
        <v>100932</v>
      </c>
      <c r="B937" s="8">
        <v>45330.791666666657</v>
      </c>
      <c r="C937" t="s">
        <v>15</v>
      </c>
      <c r="D937" t="s">
        <v>49</v>
      </c>
      <c r="E937" t="s">
        <v>66</v>
      </c>
      <c r="F937" t="s">
        <v>71</v>
      </c>
      <c r="G937">
        <v>2</v>
      </c>
      <c r="H937">
        <v>79.73</v>
      </c>
      <c r="I937">
        <v>10</v>
      </c>
      <c r="J937" t="s">
        <v>76</v>
      </c>
      <c r="K937" t="s">
        <v>77</v>
      </c>
      <c r="L937">
        <v>159.46</v>
      </c>
      <c r="M937">
        <v>15.946</v>
      </c>
      <c r="N937">
        <v>143.51400000000001</v>
      </c>
      <c r="O93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7" s="9" t="str">
        <f ca="1">IF(OR(ISNUMBER(Table1[[#This Row],[Order_Date]])=FALSE,Table1[[#This Row],[Order_Date]]&lt;DATE(2000,1,1),Table1[[#This Row],[Order_Date]]&gt;TODAY()),"YES","NO")</f>
        <v>NO</v>
      </c>
    </row>
    <row r="938" spans="1:16" x14ac:dyDescent="0.3">
      <c r="A938">
        <v>100933</v>
      </c>
      <c r="B938" s="8">
        <v>45330.833333333343</v>
      </c>
      <c r="C938" t="s">
        <v>14</v>
      </c>
      <c r="D938" t="s">
        <v>38</v>
      </c>
      <c r="E938" t="s">
        <v>70</v>
      </c>
      <c r="F938" t="s">
        <v>72</v>
      </c>
      <c r="G938">
        <v>3</v>
      </c>
      <c r="H938">
        <v>16.89</v>
      </c>
      <c r="I938">
        <v>15</v>
      </c>
      <c r="J938" t="s">
        <v>75</v>
      </c>
      <c r="K938" t="s">
        <v>77</v>
      </c>
      <c r="L938">
        <v>50.67</v>
      </c>
      <c r="M938">
        <v>7.6005000000000003</v>
      </c>
      <c r="N938">
        <v>43.069500000000012</v>
      </c>
      <c r="O93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8" s="9" t="str">
        <f ca="1">IF(OR(ISNUMBER(Table1[[#This Row],[Order_Date]])=FALSE,Table1[[#This Row],[Order_Date]]&lt;DATE(2000,1,1),Table1[[#This Row],[Order_Date]]&gt;TODAY()),"YES","NO")</f>
        <v>NO</v>
      </c>
    </row>
    <row r="939" spans="1:16" x14ac:dyDescent="0.3">
      <c r="A939">
        <v>100934</v>
      </c>
      <c r="B939" s="8">
        <v>45330.875</v>
      </c>
      <c r="C939" t="s">
        <v>14</v>
      </c>
      <c r="D939" t="s">
        <v>17</v>
      </c>
      <c r="E939" t="s">
        <v>70</v>
      </c>
      <c r="F939" t="s">
        <v>72</v>
      </c>
      <c r="G939">
        <v>2</v>
      </c>
      <c r="H939">
        <v>51.23</v>
      </c>
      <c r="I939">
        <v>10</v>
      </c>
      <c r="J939" t="s">
        <v>76</v>
      </c>
      <c r="K939" t="s">
        <v>77</v>
      </c>
      <c r="L939">
        <v>102.46</v>
      </c>
      <c r="M939">
        <v>10.246</v>
      </c>
      <c r="N939">
        <v>92.213999999999999</v>
      </c>
      <c r="O93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39" s="9" t="str">
        <f ca="1">IF(OR(ISNUMBER(Table1[[#This Row],[Order_Date]])=FALSE,Table1[[#This Row],[Order_Date]]&lt;DATE(2000,1,1),Table1[[#This Row],[Order_Date]]&gt;TODAY()),"YES","NO")</f>
        <v>NO</v>
      </c>
    </row>
    <row r="940" spans="1:16" x14ac:dyDescent="0.3">
      <c r="A940">
        <v>100935</v>
      </c>
      <c r="B940" s="8">
        <v>45330.916666666657</v>
      </c>
      <c r="C940" t="s">
        <v>15</v>
      </c>
      <c r="D940" t="s">
        <v>25</v>
      </c>
      <c r="E940" t="s">
        <v>67</v>
      </c>
      <c r="F940" t="s">
        <v>71</v>
      </c>
      <c r="G940">
        <v>1</v>
      </c>
      <c r="H940">
        <v>88.83</v>
      </c>
      <c r="I940">
        <v>10</v>
      </c>
      <c r="J940" t="s">
        <v>76</v>
      </c>
      <c r="K940" t="s">
        <v>77</v>
      </c>
      <c r="L940">
        <v>88.83</v>
      </c>
      <c r="M940">
        <v>8.8830000000000009</v>
      </c>
      <c r="N940">
        <v>79.947000000000003</v>
      </c>
      <c r="O94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0" s="9" t="str">
        <f ca="1">IF(OR(ISNUMBER(Table1[[#This Row],[Order_Date]])=FALSE,Table1[[#This Row],[Order_Date]]&lt;DATE(2000,1,1),Table1[[#This Row],[Order_Date]]&gt;TODAY()),"YES","NO")</f>
        <v>NO</v>
      </c>
    </row>
    <row r="941" spans="1:16" x14ac:dyDescent="0.3">
      <c r="A941">
        <v>100936</v>
      </c>
      <c r="B941" s="8">
        <v>45330.958333333343</v>
      </c>
      <c r="C941" t="s">
        <v>14</v>
      </c>
      <c r="D941" t="s">
        <v>19</v>
      </c>
      <c r="E941" t="s">
        <v>69</v>
      </c>
      <c r="F941" t="s">
        <v>72</v>
      </c>
      <c r="G941">
        <v>5</v>
      </c>
      <c r="H941">
        <v>94.68</v>
      </c>
      <c r="I941">
        <v>5</v>
      </c>
      <c r="J941" t="s">
        <v>74</v>
      </c>
      <c r="K941" t="s">
        <v>78</v>
      </c>
      <c r="L941">
        <v>473.4</v>
      </c>
      <c r="M941">
        <v>23.67</v>
      </c>
      <c r="N941">
        <v>449.73</v>
      </c>
      <c r="O94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41" s="9" t="str">
        <f ca="1">IF(OR(ISNUMBER(Table1[[#This Row],[Order_Date]])=FALSE,Table1[[#This Row],[Order_Date]]&lt;DATE(2000,1,1),Table1[[#This Row],[Order_Date]]&gt;TODAY()),"YES","NO")</f>
        <v>NO</v>
      </c>
    </row>
    <row r="942" spans="1:16" x14ac:dyDescent="0.3">
      <c r="A942">
        <v>100937</v>
      </c>
      <c r="B942" s="8">
        <v>45331</v>
      </c>
      <c r="C942" t="s">
        <v>15</v>
      </c>
      <c r="D942" t="s">
        <v>38</v>
      </c>
      <c r="E942" t="s">
        <v>66</v>
      </c>
      <c r="F942" t="s">
        <v>72</v>
      </c>
      <c r="G942">
        <v>4</v>
      </c>
      <c r="H942">
        <v>18.600000000000001</v>
      </c>
      <c r="I942">
        <v>10</v>
      </c>
      <c r="J942" t="s">
        <v>73</v>
      </c>
      <c r="K942" t="s">
        <v>77</v>
      </c>
      <c r="L942">
        <v>74.400000000000006</v>
      </c>
      <c r="M942">
        <v>7.4400000000000013</v>
      </c>
      <c r="N942">
        <v>66.960000000000008</v>
      </c>
      <c r="O94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2" s="9" t="str">
        <f ca="1">IF(OR(ISNUMBER(Table1[[#This Row],[Order_Date]])=FALSE,Table1[[#This Row],[Order_Date]]&lt;DATE(2000,1,1),Table1[[#This Row],[Order_Date]]&gt;TODAY()),"YES","NO")</f>
        <v>NO</v>
      </c>
    </row>
    <row r="943" spans="1:16" x14ac:dyDescent="0.3">
      <c r="A943">
        <v>100938</v>
      </c>
      <c r="B943" s="8">
        <v>45331.041666666657</v>
      </c>
      <c r="C943" t="s">
        <v>14</v>
      </c>
      <c r="D943" t="s">
        <v>61</v>
      </c>
      <c r="E943" t="s">
        <v>68</v>
      </c>
      <c r="F943" t="s">
        <v>72</v>
      </c>
      <c r="G943">
        <v>5</v>
      </c>
      <c r="H943">
        <v>5</v>
      </c>
      <c r="I943">
        <v>0</v>
      </c>
      <c r="J943" t="s">
        <v>75</v>
      </c>
      <c r="K943" t="s">
        <v>77</v>
      </c>
      <c r="L943">
        <v>25</v>
      </c>
      <c r="M943">
        <v>0</v>
      </c>
      <c r="N943">
        <v>25</v>
      </c>
      <c r="O94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3" s="9" t="str">
        <f ca="1">IF(OR(ISNUMBER(Table1[[#This Row],[Order_Date]])=FALSE,Table1[[#This Row],[Order_Date]]&lt;DATE(2000,1,1),Table1[[#This Row],[Order_Date]]&gt;TODAY()),"YES","NO")</f>
        <v>NO</v>
      </c>
    </row>
    <row r="944" spans="1:16" x14ac:dyDescent="0.3">
      <c r="A944">
        <v>100939</v>
      </c>
      <c r="B944" s="8">
        <v>45331.083333333343</v>
      </c>
      <c r="C944" t="s">
        <v>15</v>
      </c>
      <c r="D944" t="s">
        <v>25</v>
      </c>
      <c r="E944" t="s">
        <v>67</v>
      </c>
      <c r="F944" t="s">
        <v>72</v>
      </c>
      <c r="G944">
        <v>3</v>
      </c>
      <c r="H944">
        <v>86.9</v>
      </c>
      <c r="I944">
        <v>0</v>
      </c>
      <c r="J944" t="s">
        <v>75</v>
      </c>
      <c r="K944" t="s">
        <v>77</v>
      </c>
      <c r="L944">
        <v>260.7</v>
      </c>
      <c r="M944">
        <v>0</v>
      </c>
      <c r="N944">
        <v>260.7</v>
      </c>
      <c r="O94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4" s="9" t="str">
        <f ca="1">IF(OR(ISNUMBER(Table1[[#This Row],[Order_Date]])=FALSE,Table1[[#This Row],[Order_Date]]&lt;DATE(2000,1,1),Table1[[#This Row],[Order_Date]]&gt;TODAY()),"YES","NO")</f>
        <v>NO</v>
      </c>
    </row>
    <row r="945" spans="1:16" x14ac:dyDescent="0.3">
      <c r="A945">
        <v>100940</v>
      </c>
      <c r="B945" s="8">
        <v>45331.125</v>
      </c>
      <c r="C945" t="s">
        <v>15</v>
      </c>
      <c r="D945" t="s">
        <v>34</v>
      </c>
      <c r="E945" t="s">
        <v>69</v>
      </c>
      <c r="F945" t="s">
        <v>72</v>
      </c>
      <c r="G945">
        <v>4</v>
      </c>
      <c r="H945">
        <v>46.01</v>
      </c>
      <c r="I945">
        <v>5</v>
      </c>
      <c r="J945" t="s">
        <v>75</v>
      </c>
      <c r="K945" t="s">
        <v>77</v>
      </c>
      <c r="L945">
        <v>184.04</v>
      </c>
      <c r="M945">
        <v>9.202</v>
      </c>
      <c r="N945">
        <v>174.83799999999999</v>
      </c>
      <c r="O94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5" s="9" t="str">
        <f ca="1">IF(OR(ISNUMBER(Table1[[#This Row],[Order_Date]])=FALSE,Table1[[#This Row],[Order_Date]]&lt;DATE(2000,1,1),Table1[[#This Row],[Order_Date]]&gt;TODAY()),"YES","NO")</f>
        <v>NO</v>
      </c>
    </row>
    <row r="946" spans="1:16" x14ac:dyDescent="0.3">
      <c r="A946">
        <v>100941</v>
      </c>
      <c r="B946" s="8">
        <v>45331.166666666657</v>
      </c>
      <c r="C946" t="s">
        <v>15</v>
      </c>
      <c r="D946" t="s">
        <v>27</v>
      </c>
      <c r="E946" t="s">
        <v>68</v>
      </c>
      <c r="F946" t="s">
        <v>72</v>
      </c>
      <c r="G946">
        <v>4</v>
      </c>
      <c r="H946">
        <v>34.270000000000003</v>
      </c>
      <c r="I946">
        <v>15</v>
      </c>
      <c r="J946" t="s">
        <v>73</v>
      </c>
      <c r="K946" t="s">
        <v>77</v>
      </c>
      <c r="L946">
        <v>137.08000000000001</v>
      </c>
      <c r="M946">
        <v>20.562000000000001</v>
      </c>
      <c r="N946">
        <v>116.518</v>
      </c>
      <c r="O94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6" s="9" t="str">
        <f ca="1">IF(OR(ISNUMBER(Table1[[#This Row],[Order_Date]])=FALSE,Table1[[#This Row],[Order_Date]]&lt;DATE(2000,1,1),Table1[[#This Row],[Order_Date]]&gt;TODAY()),"YES","NO")</f>
        <v>NO</v>
      </c>
    </row>
    <row r="947" spans="1:16" x14ac:dyDescent="0.3">
      <c r="A947">
        <v>100942</v>
      </c>
      <c r="B947" s="8">
        <v>45331.208333333343</v>
      </c>
      <c r="C947" t="s">
        <v>14</v>
      </c>
      <c r="D947" t="s">
        <v>16</v>
      </c>
      <c r="E947" t="s">
        <v>70</v>
      </c>
      <c r="F947" t="s">
        <v>72</v>
      </c>
      <c r="G947">
        <v>1</v>
      </c>
      <c r="H947">
        <v>6.48</v>
      </c>
      <c r="I947">
        <v>15</v>
      </c>
      <c r="J947" t="s">
        <v>74</v>
      </c>
      <c r="K947" t="s">
        <v>77</v>
      </c>
      <c r="L947">
        <v>6.48</v>
      </c>
      <c r="M947">
        <v>0.97199999999999998</v>
      </c>
      <c r="N947">
        <v>5.5080000000000009</v>
      </c>
      <c r="O94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7" s="9" t="str">
        <f ca="1">IF(OR(ISNUMBER(Table1[[#This Row],[Order_Date]])=FALSE,Table1[[#This Row],[Order_Date]]&lt;DATE(2000,1,1),Table1[[#This Row],[Order_Date]]&gt;TODAY()),"YES","NO")</f>
        <v>NO</v>
      </c>
    </row>
    <row r="948" spans="1:16" x14ac:dyDescent="0.3">
      <c r="A948">
        <v>100943</v>
      </c>
      <c r="B948" s="8">
        <v>45331.25</v>
      </c>
      <c r="C948" t="s">
        <v>15</v>
      </c>
      <c r="D948" t="s">
        <v>60</v>
      </c>
      <c r="E948" t="s">
        <v>70</v>
      </c>
      <c r="F948" t="s">
        <v>71</v>
      </c>
      <c r="G948">
        <v>3</v>
      </c>
      <c r="H948">
        <v>67.13</v>
      </c>
      <c r="I948">
        <v>15</v>
      </c>
      <c r="J948" t="s">
        <v>75</v>
      </c>
      <c r="K948" t="s">
        <v>77</v>
      </c>
      <c r="L948">
        <v>201.39</v>
      </c>
      <c r="M948">
        <v>30.208500000000001</v>
      </c>
      <c r="N948">
        <v>171.1815</v>
      </c>
      <c r="O94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8" s="9" t="str">
        <f ca="1">IF(OR(ISNUMBER(Table1[[#This Row],[Order_Date]])=FALSE,Table1[[#This Row],[Order_Date]]&lt;DATE(2000,1,1),Table1[[#This Row],[Order_Date]]&gt;TODAY()),"YES","NO")</f>
        <v>NO</v>
      </c>
    </row>
    <row r="949" spans="1:16" x14ac:dyDescent="0.3">
      <c r="A949">
        <v>100944</v>
      </c>
      <c r="B949" s="8">
        <v>45331.291666666657</v>
      </c>
      <c r="C949" t="s">
        <v>14</v>
      </c>
      <c r="D949" t="s">
        <v>48</v>
      </c>
      <c r="E949" t="s">
        <v>68</v>
      </c>
      <c r="F949" t="s">
        <v>71</v>
      </c>
      <c r="G949">
        <v>2</v>
      </c>
      <c r="H949">
        <v>102.88</v>
      </c>
      <c r="I949">
        <v>0</v>
      </c>
      <c r="J949" t="s">
        <v>73</v>
      </c>
      <c r="K949" t="s">
        <v>77</v>
      </c>
      <c r="L949">
        <v>205.76</v>
      </c>
      <c r="M949">
        <v>0</v>
      </c>
      <c r="N949">
        <v>205.76</v>
      </c>
      <c r="O94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49" s="9" t="str">
        <f ca="1">IF(OR(ISNUMBER(Table1[[#This Row],[Order_Date]])=FALSE,Table1[[#This Row],[Order_Date]]&lt;DATE(2000,1,1),Table1[[#This Row],[Order_Date]]&gt;TODAY()),"YES","NO")</f>
        <v>NO</v>
      </c>
    </row>
    <row r="950" spans="1:16" x14ac:dyDescent="0.3">
      <c r="A950">
        <v>100945</v>
      </c>
      <c r="B950" s="8">
        <v>45331.333333333343</v>
      </c>
      <c r="C950" t="s">
        <v>14</v>
      </c>
      <c r="D950" t="s">
        <v>37</v>
      </c>
      <c r="E950" t="s">
        <v>67</v>
      </c>
      <c r="F950" t="s">
        <v>72</v>
      </c>
      <c r="G950">
        <v>1</v>
      </c>
      <c r="H950">
        <v>115.13</v>
      </c>
      <c r="I950">
        <v>15</v>
      </c>
      <c r="J950" t="s">
        <v>76</v>
      </c>
      <c r="K950" t="s">
        <v>77</v>
      </c>
      <c r="L950">
        <v>115.13</v>
      </c>
      <c r="M950">
        <v>17.269500000000001</v>
      </c>
      <c r="N950">
        <v>97.860500000000002</v>
      </c>
      <c r="O95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0" s="9" t="str">
        <f ca="1">IF(OR(ISNUMBER(Table1[[#This Row],[Order_Date]])=FALSE,Table1[[#This Row],[Order_Date]]&lt;DATE(2000,1,1),Table1[[#This Row],[Order_Date]]&gt;TODAY()),"YES","NO")</f>
        <v>NO</v>
      </c>
    </row>
    <row r="951" spans="1:16" x14ac:dyDescent="0.3">
      <c r="A951">
        <v>100946</v>
      </c>
      <c r="B951" s="8">
        <v>45331.375</v>
      </c>
      <c r="C951" t="s">
        <v>14</v>
      </c>
      <c r="D951" t="s">
        <v>25</v>
      </c>
      <c r="E951" t="s">
        <v>70</v>
      </c>
      <c r="F951" t="s">
        <v>71</v>
      </c>
      <c r="G951">
        <v>1</v>
      </c>
      <c r="H951">
        <v>70.06</v>
      </c>
      <c r="I951">
        <v>15</v>
      </c>
      <c r="J951" t="s">
        <v>75</v>
      </c>
      <c r="K951" t="s">
        <v>77</v>
      </c>
      <c r="L951">
        <v>70.06</v>
      </c>
      <c r="M951">
        <v>10.509</v>
      </c>
      <c r="N951">
        <v>59.551000000000002</v>
      </c>
      <c r="O95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1" s="9" t="str">
        <f ca="1">IF(OR(ISNUMBER(Table1[[#This Row],[Order_Date]])=FALSE,Table1[[#This Row],[Order_Date]]&lt;DATE(2000,1,1),Table1[[#This Row],[Order_Date]]&gt;TODAY()),"YES","NO")</f>
        <v>NO</v>
      </c>
    </row>
    <row r="952" spans="1:16" x14ac:dyDescent="0.3">
      <c r="A952">
        <v>100947</v>
      </c>
      <c r="B952" s="8">
        <v>45331.416666666657</v>
      </c>
      <c r="C952" t="s">
        <v>14</v>
      </c>
      <c r="D952" t="s">
        <v>47</v>
      </c>
      <c r="E952" t="s">
        <v>66</v>
      </c>
      <c r="F952" t="s">
        <v>71</v>
      </c>
      <c r="G952">
        <v>5</v>
      </c>
      <c r="H952">
        <v>64.16</v>
      </c>
      <c r="I952">
        <v>5</v>
      </c>
      <c r="J952" t="s">
        <v>75</v>
      </c>
      <c r="K952" t="s">
        <v>77</v>
      </c>
      <c r="L952">
        <v>320.8</v>
      </c>
      <c r="M952">
        <v>16.04</v>
      </c>
      <c r="N952">
        <v>304.75999999999988</v>
      </c>
      <c r="O95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2" s="9" t="str">
        <f ca="1">IF(OR(ISNUMBER(Table1[[#This Row],[Order_Date]])=FALSE,Table1[[#This Row],[Order_Date]]&lt;DATE(2000,1,1),Table1[[#This Row],[Order_Date]]&gt;TODAY()),"YES","NO")</f>
        <v>NO</v>
      </c>
    </row>
    <row r="953" spans="1:16" x14ac:dyDescent="0.3">
      <c r="A953">
        <v>100948</v>
      </c>
      <c r="B953" s="8">
        <v>45331.458333333343</v>
      </c>
      <c r="C953" t="s">
        <v>15</v>
      </c>
      <c r="D953" t="s">
        <v>20</v>
      </c>
      <c r="E953" t="s">
        <v>68</v>
      </c>
      <c r="F953" t="s">
        <v>72</v>
      </c>
      <c r="G953">
        <v>5</v>
      </c>
      <c r="H953">
        <v>14.78</v>
      </c>
      <c r="I953">
        <v>15</v>
      </c>
      <c r="J953" t="s">
        <v>74</v>
      </c>
      <c r="K953" t="s">
        <v>77</v>
      </c>
      <c r="L953">
        <v>73.899999999999991</v>
      </c>
      <c r="M953">
        <v>11.085000000000001</v>
      </c>
      <c r="N953">
        <v>62.814999999999991</v>
      </c>
      <c r="O95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3" s="9" t="str">
        <f ca="1">IF(OR(ISNUMBER(Table1[[#This Row],[Order_Date]])=FALSE,Table1[[#This Row],[Order_Date]]&lt;DATE(2000,1,1),Table1[[#This Row],[Order_Date]]&gt;TODAY()),"YES","NO")</f>
        <v>NO</v>
      </c>
    </row>
    <row r="954" spans="1:16" x14ac:dyDescent="0.3">
      <c r="A954">
        <v>100949</v>
      </c>
      <c r="B954" s="8">
        <v>45331.5</v>
      </c>
      <c r="C954" t="s">
        <v>15</v>
      </c>
      <c r="D954" t="s">
        <v>29</v>
      </c>
      <c r="E954" t="s">
        <v>68</v>
      </c>
      <c r="F954" t="s">
        <v>71</v>
      </c>
      <c r="G954">
        <v>5</v>
      </c>
      <c r="H954">
        <v>68.12</v>
      </c>
      <c r="I954">
        <v>0</v>
      </c>
      <c r="J954" t="s">
        <v>75</v>
      </c>
      <c r="K954" t="s">
        <v>77</v>
      </c>
      <c r="L954">
        <v>340.6</v>
      </c>
      <c r="M954">
        <v>0</v>
      </c>
      <c r="N954">
        <v>340.6</v>
      </c>
      <c r="O95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4" s="9" t="str">
        <f ca="1">IF(OR(ISNUMBER(Table1[[#This Row],[Order_Date]])=FALSE,Table1[[#This Row],[Order_Date]]&lt;DATE(2000,1,1),Table1[[#This Row],[Order_Date]]&gt;TODAY()),"YES","NO")</f>
        <v>NO</v>
      </c>
    </row>
    <row r="955" spans="1:16" x14ac:dyDescent="0.3">
      <c r="A955">
        <v>100950</v>
      </c>
      <c r="B955" s="8">
        <v>45331.541666666657</v>
      </c>
      <c r="C955" t="s">
        <v>14</v>
      </c>
      <c r="D955" t="s">
        <v>30</v>
      </c>
      <c r="E955" t="s">
        <v>70</v>
      </c>
      <c r="F955" t="s">
        <v>72</v>
      </c>
      <c r="G955">
        <v>1</v>
      </c>
      <c r="H955">
        <v>48.7</v>
      </c>
      <c r="I955">
        <v>0</v>
      </c>
      <c r="J955" t="s">
        <v>75</v>
      </c>
      <c r="K955" t="s">
        <v>77</v>
      </c>
      <c r="L955">
        <v>48.7</v>
      </c>
      <c r="M955">
        <v>0</v>
      </c>
      <c r="N955">
        <v>48.7</v>
      </c>
      <c r="O95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5" s="9" t="str">
        <f ca="1">IF(OR(ISNUMBER(Table1[[#This Row],[Order_Date]])=FALSE,Table1[[#This Row],[Order_Date]]&lt;DATE(2000,1,1),Table1[[#This Row],[Order_Date]]&gt;TODAY()),"YES","NO")</f>
        <v>NO</v>
      </c>
    </row>
    <row r="956" spans="1:16" x14ac:dyDescent="0.3">
      <c r="A956">
        <v>100951</v>
      </c>
      <c r="B956" s="8">
        <v>45331.583333333343</v>
      </c>
      <c r="C956" t="s">
        <v>14</v>
      </c>
      <c r="D956" t="s">
        <v>17</v>
      </c>
      <c r="E956" t="s">
        <v>67</v>
      </c>
      <c r="F956" t="s">
        <v>72</v>
      </c>
      <c r="G956">
        <v>2</v>
      </c>
      <c r="H956">
        <v>74.819999999999993</v>
      </c>
      <c r="I956">
        <v>0</v>
      </c>
      <c r="J956" t="s">
        <v>76</v>
      </c>
      <c r="K956" t="s">
        <v>77</v>
      </c>
      <c r="L956">
        <v>149.63999999999999</v>
      </c>
      <c r="M956">
        <v>0</v>
      </c>
      <c r="N956">
        <v>149.63999999999999</v>
      </c>
      <c r="O95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6" s="9" t="str">
        <f ca="1">IF(OR(ISNUMBER(Table1[[#This Row],[Order_Date]])=FALSE,Table1[[#This Row],[Order_Date]]&lt;DATE(2000,1,1),Table1[[#This Row],[Order_Date]]&gt;TODAY()),"YES","NO")</f>
        <v>NO</v>
      </c>
    </row>
    <row r="957" spans="1:16" x14ac:dyDescent="0.3">
      <c r="A957">
        <v>100952</v>
      </c>
      <c r="B957" s="8">
        <v>45331.625</v>
      </c>
      <c r="C957" t="s">
        <v>15</v>
      </c>
      <c r="D957" t="s">
        <v>53</v>
      </c>
      <c r="E957" t="s">
        <v>66</v>
      </c>
      <c r="F957" t="s">
        <v>72</v>
      </c>
      <c r="G957">
        <v>4</v>
      </c>
      <c r="H957">
        <v>49.7</v>
      </c>
      <c r="I957">
        <v>5</v>
      </c>
      <c r="J957" t="s">
        <v>73</v>
      </c>
      <c r="K957" t="s">
        <v>77</v>
      </c>
      <c r="L957">
        <v>198.8</v>
      </c>
      <c r="M957">
        <v>9.9400000000000013</v>
      </c>
      <c r="N957">
        <v>188.86</v>
      </c>
      <c r="O95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7" s="9" t="str">
        <f ca="1">IF(OR(ISNUMBER(Table1[[#This Row],[Order_Date]])=FALSE,Table1[[#This Row],[Order_Date]]&lt;DATE(2000,1,1),Table1[[#This Row],[Order_Date]]&gt;TODAY()),"YES","NO")</f>
        <v>NO</v>
      </c>
    </row>
    <row r="958" spans="1:16" x14ac:dyDescent="0.3">
      <c r="A958">
        <v>100953</v>
      </c>
      <c r="B958" s="8">
        <v>45331.666666666657</v>
      </c>
      <c r="C958" t="s">
        <v>14</v>
      </c>
      <c r="D958" t="s">
        <v>52</v>
      </c>
      <c r="E958" t="s">
        <v>67</v>
      </c>
      <c r="F958" t="s">
        <v>71</v>
      </c>
      <c r="G958">
        <v>5</v>
      </c>
      <c r="H958">
        <v>32.630000000000003</v>
      </c>
      <c r="I958">
        <v>5</v>
      </c>
      <c r="J958" t="s">
        <v>73</v>
      </c>
      <c r="K958" t="s">
        <v>77</v>
      </c>
      <c r="L958">
        <v>163.15</v>
      </c>
      <c r="M958">
        <v>8.1575000000000006</v>
      </c>
      <c r="N958">
        <v>154.99250000000001</v>
      </c>
      <c r="O95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58" s="9" t="str">
        <f ca="1">IF(OR(ISNUMBER(Table1[[#This Row],[Order_Date]])=FALSE,Table1[[#This Row],[Order_Date]]&lt;DATE(2000,1,1),Table1[[#This Row],[Order_Date]]&gt;TODAY()),"YES","NO")</f>
        <v>NO</v>
      </c>
    </row>
    <row r="959" spans="1:16" x14ac:dyDescent="0.3">
      <c r="A959">
        <v>100954</v>
      </c>
      <c r="B959" s="8">
        <v>45331.708333333343</v>
      </c>
      <c r="C959" t="s">
        <v>15</v>
      </c>
      <c r="D959" t="s">
        <v>50</v>
      </c>
      <c r="E959" t="s">
        <v>69</v>
      </c>
      <c r="F959" t="s">
        <v>71</v>
      </c>
      <c r="G959">
        <v>2</v>
      </c>
      <c r="H959">
        <v>15.92</v>
      </c>
      <c r="I959">
        <v>10</v>
      </c>
      <c r="J959" t="s">
        <v>74</v>
      </c>
      <c r="K959" t="s">
        <v>79</v>
      </c>
      <c r="L959">
        <v>31.84</v>
      </c>
      <c r="M959">
        <v>3.1840000000000002</v>
      </c>
      <c r="N959">
        <v>28.655999999999999</v>
      </c>
      <c r="O95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59" s="9" t="str">
        <f ca="1">IF(OR(ISNUMBER(Table1[[#This Row],[Order_Date]])=FALSE,Table1[[#This Row],[Order_Date]]&lt;DATE(2000,1,1),Table1[[#This Row],[Order_Date]]&gt;TODAY()),"YES","NO")</f>
        <v>NO</v>
      </c>
    </row>
    <row r="960" spans="1:16" x14ac:dyDescent="0.3">
      <c r="A960">
        <v>100955</v>
      </c>
      <c r="B960" s="8">
        <v>45331.75</v>
      </c>
      <c r="C960" t="s">
        <v>14</v>
      </c>
      <c r="D960" t="s">
        <v>44</v>
      </c>
      <c r="E960" t="s">
        <v>69</v>
      </c>
      <c r="F960" t="s">
        <v>71</v>
      </c>
      <c r="G960">
        <v>3</v>
      </c>
      <c r="H960">
        <v>41.22</v>
      </c>
      <c r="I960">
        <v>15</v>
      </c>
      <c r="J960" t="s">
        <v>76</v>
      </c>
      <c r="K960" t="s">
        <v>77</v>
      </c>
      <c r="L960">
        <v>123.66</v>
      </c>
      <c r="M960">
        <v>18.548999999999999</v>
      </c>
      <c r="N960">
        <v>105.111</v>
      </c>
      <c r="O96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0" s="9" t="str">
        <f ca="1">IF(OR(ISNUMBER(Table1[[#This Row],[Order_Date]])=FALSE,Table1[[#This Row],[Order_Date]]&lt;DATE(2000,1,1),Table1[[#This Row],[Order_Date]]&gt;TODAY()),"YES","NO")</f>
        <v>NO</v>
      </c>
    </row>
    <row r="961" spans="1:16" x14ac:dyDescent="0.3">
      <c r="A961">
        <v>100956</v>
      </c>
      <c r="B961" s="8">
        <v>45331.791666666657</v>
      </c>
      <c r="C961" t="s">
        <v>14</v>
      </c>
      <c r="D961" t="s">
        <v>39</v>
      </c>
      <c r="E961" t="s">
        <v>70</v>
      </c>
      <c r="F961" t="s">
        <v>71</v>
      </c>
      <c r="G961">
        <v>5</v>
      </c>
      <c r="H961">
        <v>16.11</v>
      </c>
      <c r="I961">
        <v>5</v>
      </c>
      <c r="J961" t="s">
        <v>73</v>
      </c>
      <c r="K961" t="s">
        <v>77</v>
      </c>
      <c r="L961">
        <v>80.55</v>
      </c>
      <c r="M961">
        <v>4.0274999999999999</v>
      </c>
      <c r="N961">
        <v>76.522499999999994</v>
      </c>
      <c r="O96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1" s="9" t="str">
        <f ca="1">IF(OR(ISNUMBER(Table1[[#This Row],[Order_Date]])=FALSE,Table1[[#This Row],[Order_Date]]&lt;DATE(2000,1,1),Table1[[#This Row],[Order_Date]]&gt;TODAY()),"YES","NO")</f>
        <v>NO</v>
      </c>
    </row>
    <row r="962" spans="1:16" x14ac:dyDescent="0.3">
      <c r="A962">
        <v>100957</v>
      </c>
      <c r="B962" s="8">
        <v>45331.833333333343</v>
      </c>
      <c r="C962" t="s">
        <v>15</v>
      </c>
      <c r="D962" t="s">
        <v>45</v>
      </c>
      <c r="E962" t="s">
        <v>70</v>
      </c>
      <c r="F962" t="s">
        <v>72</v>
      </c>
      <c r="G962">
        <v>4</v>
      </c>
      <c r="H962">
        <v>25.34</v>
      </c>
      <c r="I962">
        <v>0</v>
      </c>
      <c r="J962" t="s">
        <v>76</v>
      </c>
      <c r="K962" t="s">
        <v>77</v>
      </c>
      <c r="L962">
        <v>101.36</v>
      </c>
      <c r="M962">
        <v>0</v>
      </c>
      <c r="N962">
        <v>101.36</v>
      </c>
      <c r="O96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2" s="9" t="str">
        <f ca="1">IF(OR(ISNUMBER(Table1[[#This Row],[Order_Date]])=FALSE,Table1[[#This Row],[Order_Date]]&lt;DATE(2000,1,1),Table1[[#This Row],[Order_Date]]&gt;TODAY()),"YES","NO")</f>
        <v>NO</v>
      </c>
    </row>
    <row r="963" spans="1:16" x14ac:dyDescent="0.3">
      <c r="A963">
        <v>100958</v>
      </c>
      <c r="B963" s="8">
        <v>45331.875</v>
      </c>
      <c r="C963" t="s">
        <v>14</v>
      </c>
      <c r="D963" t="s">
        <v>48</v>
      </c>
      <c r="E963" t="s">
        <v>70</v>
      </c>
      <c r="F963" t="s">
        <v>72</v>
      </c>
      <c r="G963">
        <v>3</v>
      </c>
      <c r="H963">
        <v>118.54</v>
      </c>
      <c r="I963">
        <v>0</v>
      </c>
      <c r="J963" t="s">
        <v>73</v>
      </c>
      <c r="K963" t="s">
        <v>77</v>
      </c>
      <c r="L963">
        <v>355.62</v>
      </c>
      <c r="M963">
        <v>0</v>
      </c>
      <c r="N963">
        <v>355.62</v>
      </c>
      <c r="O96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3" s="9" t="str">
        <f ca="1">IF(OR(ISNUMBER(Table1[[#This Row],[Order_Date]])=FALSE,Table1[[#This Row],[Order_Date]]&lt;DATE(2000,1,1),Table1[[#This Row],[Order_Date]]&gt;TODAY()),"YES","NO")</f>
        <v>NO</v>
      </c>
    </row>
    <row r="964" spans="1:16" x14ac:dyDescent="0.3">
      <c r="A964">
        <v>100959</v>
      </c>
      <c r="B964" s="8">
        <v>45331.916666666657</v>
      </c>
      <c r="C964" t="s">
        <v>15</v>
      </c>
      <c r="D964" t="s">
        <v>21</v>
      </c>
      <c r="E964" t="s">
        <v>69</v>
      </c>
      <c r="F964" t="s">
        <v>71</v>
      </c>
      <c r="G964">
        <v>3</v>
      </c>
      <c r="H964">
        <v>56.07</v>
      </c>
      <c r="I964">
        <v>5</v>
      </c>
      <c r="J964" t="s">
        <v>76</v>
      </c>
      <c r="K964" t="s">
        <v>77</v>
      </c>
      <c r="L964">
        <v>168.21</v>
      </c>
      <c r="M964">
        <v>8.4105000000000008</v>
      </c>
      <c r="N964">
        <v>159.79949999999999</v>
      </c>
      <c r="O96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4" s="9" t="str">
        <f ca="1">IF(OR(ISNUMBER(Table1[[#This Row],[Order_Date]])=FALSE,Table1[[#This Row],[Order_Date]]&lt;DATE(2000,1,1),Table1[[#This Row],[Order_Date]]&gt;TODAY()),"YES","NO")</f>
        <v>NO</v>
      </c>
    </row>
    <row r="965" spans="1:16" x14ac:dyDescent="0.3">
      <c r="A965">
        <v>100960</v>
      </c>
      <c r="B965" s="8">
        <v>45331.958333333343</v>
      </c>
      <c r="C965" t="s">
        <v>14</v>
      </c>
      <c r="D965" t="s">
        <v>23</v>
      </c>
      <c r="E965" t="s">
        <v>67</v>
      </c>
      <c r="F965" t="s">
        <v>72</v>
      </c>
      <c r="G965">
        <v>4</v>
      </c>
      <c r="H965">
        <v>66.17</v>
      </c>
      <c r="I965">
        <v>5</v>
      </c>
      <c r="J965" t="s">
        <v>74</v>
      </c>
      <c r="K965" t="s">
        <v>77</v>
      </c>
      <c r="L965">
        <v>264.68</v>
      </c>
      <c r="M965">
        <v>13.234</v>
      </c>
      <c r="N965">
        <v>251.446</v>
      </c>
      <c r="O96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5" s="9" t="str">
        <f ca="1">IF(OR(ISNUMBER(Table1[[#This Row],[Order_Date]])=FALSE,Table1[[#This Row],[Order_Date]]&lt;DATE(2000,1,1),Table1[[#This Row],[Order_Date]]&gt;TODAY()),"YES","NO")</f>
        <v>NO</v>
      </c>
    </row>
    <row r="966" spans="1:16" x14ac:dyDescent="0.3">
      <c r="A966">
        <v>100961</v>
      </c>
      <c r="B966" s="8">
        <v>45332</v>
      </c>
      <c r="C966" t="s">
        <v>14</v>
      </c>
      <c r="D966" t="s">
        <v>17</v>
      </c>
      <c r="E966" t="s">
        <v>67</v>
      </c>
      <c r="F966" t="s">
        <v>72</v>
      </c>
      <c r="G966">
        <v>5</v>
      </c>
      <c r="H966">
        <v>105.47</v>
      </c>
      <c r="I966">
        <v>5</v>
      </c>
      <c r="J966" t="s">
        <v>75</v>
      </c>
      <c r="K966" t="s">
        <v>77</v>
      </c>
      <c r="L966">
        <v>527.35</v>
      </c>
      <c r="M966">
        <v>26.3675</v>
      </c>
      <c r="N966">
        <v>500.98250000000002</v>
      </c>
      <c r="O96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6" s="9" t="str">
        <f ca="1">IF(OR(ISNUMBER(Table1[[#This Row],[Order_Date]])=FALSE,Table1[[#This Row],[Order_Date]]&lt;DATE(2000,1,1),Table1[[#This Row],[Order_Date]]&gt;TODAY()),"YES","NO")</f>
        <v>NO</v>
      </c>
    </row>
    <row r="967" spans="1:16" x14ac:dyDescent="0.3">
      <c r="A967">
        <v>100962</v>
      </c>
      <c r="B967" s="8">
        <v>45332.041666666657</v>
      </c>
      <c r="C967" t="s">
        <v>14</v>
      </c>
      <c r="D967" t="s">
        <v>48</v>
      </c>
      <c r="E967" t="s">
        <v>70</v>
      </c>
      <c r="F967" t="s">
        <v>71</v>
      </c>
      <c r="G967">
        <v>1</v>
      </c>
      <c r="H967">
        <v>119.49</v>
      </c>
      <c r="I967">
        <v>10</v>
      </c>
      <c r="J967" t="s">
        <v>74</v>
      </c>
      <c r="K967" t="s">
        <v>77</v>
      </c>
      <c r="L967">
        <v>119.49</v>
      </c>
      <c r="M967">
        <v>11.949</v>
      </c>
      <c r="N967">
        <v>107.541</v>
      </c>
      <c r="O96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7" s="9" t="str">
        <f ca="1">IF(OR(ISNUMBER(Table1[[#This Row],[Order_Date]])=FALSE,Table1[[#This Row],[Order_Date]]&lt;DATE(2000,1,1),Table1[[#This Row],[Order_Date]]&gt;TODAY()),"YES","NO")</f>
        <v>NO</v>
      </c>
    </row>
    <row r="968" spans="1:16" x14ac:dyDescent="0.3">
      <c r="A968">
        <v>100963</v>
      </c>
      <c r="B968" s="8">
        <v>45332.083333333343</v>
      </c>
      <c r="C968" t="s">
        <v>15</v>
      </c>
      <c r="D968" t="s">
        <v>30</v>
      </c>
      <c r="E968" t="s">
        <v>66</v>
      </c>
      <c r="F968" t="s">
        <v>72</v>
      </c>
      <c r="G968">
        <v>4</v>
      </c>
      <c r="H968">
        <v>72.010000000000005</v>
      </c>
      <c r="I968">
        <v>0</v>
      </c>
      <c r="J968" t="s">
        <v>73</v>
      </c>
      <c r="K968" t="s">
        <v>77</v>
      </c>
      <c r="L968">
        <v>288.04000000000002</v>
      </c>
      <c r="M968">
        <v>0</v>
      </c>
      <c r="N968">
        <v>288.04000000000002</v>
      </c>
      <c r="O96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8" s="9" t="str">
        <f ca="1">IF(OR(ISNUMBER(Table1[[#This Row],[Order_Date]])=FALSE,Table1[[#This Row],[Order_Date]]&lt;DATE(2000,1,1),Table1[[#This Row],[Order_Date]]&gt;TODAY()),"YES","NO")</f>
        <v>NO</v>
      </c>
    </row>
    <row r="969" spans="1:16" x14ac:dyDescent="0.3">
      <c r="A969">
        <v>100964</v>
      </c>
      <c r="B969" s="8">
        <v>45332.125</v>
      </c>
      <c r="C969" t="s">
        <v>14</v>
      </c>
      <c r="D969" t="s">
        <v>44</v>
      </c>
      <c r="E969" t="s">
        <v>67</v>
      </c>
      <c r="F969" t="s">
        <v>71</v>
      </c>
      <c r="G969">
        <v>4</v>
      </c>
      <c r="H969">
        <v>98.43</v>
      </c>
      <c r="I969">
        <v>10</v>
      </c>
      <c r="J969" t="s">
        <v>74</v>
      </c>
      <c r="K969" t="s">
        <v>77</v>
      </c>
      <c r="L969">
        <v>393.72</v>
      </c>
      <c r="M969">
        <v>39.372000000000007</v>
      </c>
      <c r="N969">
        <v>354.34800000000001</v>
      </c>
      <c r="O96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69" s="9" t="str">
        <f ca="1">IF(OR(ISNUMBER(Table1[[#This Row],[Order_Date]])=FALSE,Table1[[#This Row],[Order_Date]]&lt;DATE(2000,1,1),Table1[[#This Row],[Order_Date]]&gt;TODAY()),"YES","NO")</f>
        <v>NO</v>
      </c>
    </row>
    <row r="970" spans="1:16" x14ac:dyDescent="0.3">
      <c r="A970">
        <v>100965</v>
      </c>
      <c r="B970" s="8">
        <v>45332.166666666657</v>
      </c>
      <c r="C970" t="s">
        <v>14</v>
      </c>
      <c r="D970" t="s">
        <v>57</v>
      </c>
      <c r="E970" t="s">
        <v>69</v>
      </c>
      <c r="F970" t="s">
        <v>72</v>
      </c>
      <c r="G970">
        <v>4</v>
      </c>
      <c r="H970">
        <v>42.6</v>
      </c>
      <c r="I970">
        <v>10</v>
      </c>
      <c r="J970" t="s">
        <v>75</v>
      </c>
      <c r="K970" t="s">
        <v>77</v>
      </c>
      <c r="L970">
        <v>170.4</v>
      </c>
      <c r="M970">
        <v>17.04</v>
      </c>
      <c r="N970">
        <v>153.36000000000001</v>
      </c>
      <c r="O97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0" s="9" t="str">
        <f ca="1">IF(OR(ISNUMBER(Table1[[#This Row],[Order_Date]])=FALSE,Table1[[#This Row],[Order_Date]]&lt;DATE(2000,1,1),Table1[[#This Row],[Order_Date]]&gt;TODAY()),"YES","NO")</f>
        <v>NO</v>
      </c>
    </row>
    <row r="971" spans="1:16" x14ac:dyDescent="0.3">
      <c r="A971">
        <v>100966</v>
      </c>
      <c r="B971" s="8">
        <v>45332.208333333343</v>
      </c>
      <c r="C971" t="s">
        <v>14</v>
      </c>
      <c r="D971" t="s">
        <v>61</v>
      </c>
      <c r="E971" t="s">
        <v>68</v>
      </c>
      <c r="F971" t="s">
        <v>71</v>
      </c>
      <c r="G971">
        <v>3</v>
      </c>
      <c r="H971">
        <v>40.159999999999997</v>
      </c>
      <c r="I971">
        <v>15</v>
      </c>
      <c r="J971" t="s">
        <v>74</v>
      </c>
      <c r="K971" t="s">
        <v>77</v>
      </c>
      <c r="L971">
        <v>120.48</v>
      </c>
      <c r="M971">
        <v>18.071999999999999</v>
      </c>
      <c r="N971">
        <v>102.408</v>
      </c>
      <c r="O97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1" s="9" t="str">
        <f ca="1">IF(OR(ISNUMBER(Table1[[#This Row],[Order_Date]])=FALSE,Table1[[#This Row],[Order_Date]]&lt;DATE(2000,1,1),Table1[[#This Row],[Order_Date]]&gt;TODAY()),"YES","NO")</f>
        <v>NO</v>
      </c>
    </row>
    <row r="972" spans="1:16" x14ac:dyDescent="0.3">
      <c r="A972">
        <v>100967</v>
      </c>
      <c r="B972" s="8">
        <v>45332.25</v>
      </c>
      <c r="C972" t="s">
        <v>14</v>
      </c>
      <c r="D972" t="s">
        <v>17</v>
      </c>
      <c r="E972" t="s">
        <v>68</v>
      </c>
      <c r="F972" t="s">
        <v>72</v>
      </c>
      <c r="G972">
        <v>2</v>
      </c>
      <c r="H972">
        <v>51.31</v>
      </c>
      <c r="I972">
        <v>0</v>
      </c>
      <c r="J972" t="s">
        <v>73</v>
      </c>
      <c r="K972" t="s">
        <v>77</v>
      </c>
      <c r="L972">
        <v>102.62</v>
      </c>
      <c r="M972">
        <v>0</v>
      </c>
      <c r="N972">
        <v>102.62</v>
      </c>
      <c r="O97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2" s="9" t="str">
        <f ca="1">IF(OR(ISNUMBER(Table1[[#This Row],[Order_Date]])=FALSE,Table1[[#This Row],[Order_Date]]&lt;DATE(2000,1,1),Table1[[#This Row],[Order_Date]]&gt;TODAY()),"YES","NO")</f>
        <v>NO</v>
      </c>
    </row>
    <row r="973" spans="1:16" x14ac:dyDescent="0.3">
      <c r="A973">
        <v>100968</v>
      </c>
      <c r="B973" s="8">
        <v>45332.291666666657</v>
      </c>
      <c r="C973" t="s">
        <v>15</v>
      </c>
      <c r="D973" t="s">
        <v>59</v>
      </c>
      <c r="E973" t="s">
        <v>68</v>
      </c>
      <c r="F973" t="s">
        <v>72</v>
      </c>
      <c r="G973">
        <v>1</v>
      </c>
      <c r="H973">
        <v>82.34</v>
      </c>
      <c r="I973">
        <v>0</v>
      </c>
      <c r="J973" t="s">
        <v>73</v>
      </c>
      <c r="K973" t="s">
        <v>77</v>
      </c>
      <c r="L973">
        <v>82.34</v>
      </c>
      <c r="M973">
        <v>0</v>
      </c>
      <c r="N973">
        <v>82.34</v>
      </c>
      <c r="O97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3" s="9" t="str">
        <f ca="1">IF(OR(ISNUMBER(Table1[[#This Row],[Order_Date]])=FALSE,Table1[[#This Row],[Order_Date]]&lt;DATE(2000,1,1),Table1[[#This Row],[Order_Date]]&gt;TODAY()),"YES","NO")</f>
        <v>NO</v>
      </c>
    </row>
    <row r="974" spans="1:16" x14ac:dyDescent="0.3">
      <c r="A974">
        <v>100969</v>
      </c>
      <c r="B974" s="8">
        <v>45332.333333333343</v>
      </c>
      <c r="C974" t="s">
        <v>15</v>
      </c>
      <c r="D974" t="s">
        <v>54</v>
      </c>
      <c r="E974" t="s">
        <v>66</v>
      </c>
      <c r="F974" t="s">
        <v>71</v>
      </c>
      <c r="G974">
        <v>5</v>
      </c>
      <c r="H974">
        <v>83.45</v>
      </c>
      <c r="I974">
        <v>5</v>
      </c>
      <c r="J974" t="s">
        <v>74</v>
      </c>
      <c r="K974" t="s">
        <v>77</v>
      </c>
      <c r="L974">
        <v>417.25</v>
      </c>
      <c r="M974">
        <v>20.862500000000001</v>
      </c>
      <c r="N974">
        <v>396.38749999999999</v>
      </c>
      <c r="O97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4" s="9" t="str">
        <f ca="1">IF(OR(ISNUMBER(Table1[[#This Row],[Order_Date]])=FALSE,Table1[[#This Row],[Order_Date]]&lt;DATE(2000,1,1),Table1[[#This Row],[Order_Date]]&gt;TODAY()),"YES","NO")</f>
        <v>NO</v>
      </c>
    </row>
    <row r="975" spans="1:16" x14ac:dyDescent="0.3">
      <c r="A975">
        <v>100970</v>
      </c>
      <c r="B975" s="8">
        <v>45332.375</v>
      </c>
      <c r="C975" t="s">
        <v>14</v>
      </c>
      <c r="D975" t="s">
        <v>30</v>
      </c>
      <c r="E975" t="s">
        <v>70</v>
      </c>
      <c r="F975" t="s">
        <v>71</v>
      </c>
      <c r="G975">
        <v>5</v>
      </c>
      <c r="H975">
        <v>41.25</v>
      </c>
      <c r="I975">
        <v>5</v>
      </c>
      <c r="J975" t="s">
        <v>75</v>
      </c>
      <c r="K975" t="s">
        <v>79</v>
      </c>
      <c r="L975">
        <v>206.25</v>
      </c>
      <c r="M975">
        <v>10.3125</v>
      </c>
      <c r="N975">
        <v>195.9375</v>
      </c>
      <c r="O97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75" s="9" t="str">
        <f ca="1">IF(OR(ISNUMBER(Table1[[#This Row],[Order_Date]])=FALSE,Table1[[#This Row],[Order_Date]]&lt;DATE(2000,1,1),Table1[[#This Row],[Order_Date]]&gt;TODAY()),"YES","NO")</f>
        <v>NO</v>
      </c>
    </row>
    <row r="976" spans="1:16" x14ac:dyDescent="0.3">
      <c r="A976">
        <v>100971</v>
      </c>
      <c r="B976" s="8">
        <v>45332.416666666657</v>
      </c>
      <c r="C976" t="s">
        <v>15</v>
      </c>
      <c r="D976" t="s">
        <v>28</v>
      </c>
      <c r="E976" t="s">
        <v>69</v>
      </c>
      <c r="F976" t="s">
        <v>71</v>
      </c>
      <c r="G976">
        <v>2</v>
      </c>
      <c r="H976">
        <v>20.32</v>
      </c>
      <c r="I976">
        <v>15</v>
      </c>
      <c r="J976" t="s">
        <v>74</v>
      </c>
      <c r="K976" t="s">
        <v>77</v>
      </c>
      <c r="L976">
        <v>40.64</v>
      </c>
      <c r="M976">
        <v>6.0960000000000001</v>
      </c>
      <c r="N976">
        <v>34.543999999999997</v>
      </c>
      <c r="O97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6" s="9" t="str">
        <f ca="1">IF(OR(ISNUMBER(Table1[[#This Row],[Order_Date]])=FALSE,Table1[[#This Row],[Order_Date]]&lt;DATE(2000,1,1),Table1[[#This Row],[Order_Date]]&gt;TODAY()),"YES","NO")</f>
        <v>NO</v>
      </c>
    </row>
    <row r="977" spans="1:16" x14ac:dyDescent="0.3">
      <c r="A977">
        <v>100972</v>
      </c>
      <c r="B977" s="8">
        <v>45332.458333333343</v>
      </c>
      <c r="C977" t="s">
        <v>14</v>
      </c>
      <c r="D977" t="s">
        <v>39</v>
      </c>
      <c r="E977" t="s">
        <v>66</v>
      </c>
      <c r="F977" t="s">
        <v>71</v>
      </c>
      <c r="G977">
        <v>4</v>
      </c>
      <c r="H977">
        <v>77.73</v>
      </c>
      <c r="I977">
        <v>10</v>
      </c>
      <c r="J977" t="s">
        <v>75</v>
      </c>
      <c r="K977" t="s">
        <v>77</v>
      </c>
      <c r="L977">
        <v>310.92</v>
      </c>
      <c r="M977">
        <v>31.091999999999999</v>
      </c>
      <c r="N977">
        <v>279.82799999999997</v>
      </c>
      <c r="O97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7" s="9" t="str">
        <f ca="1">IF(OR(ISNUMBER(Table1[[#This Row],[Order_Date]])=FALSE,Table1[[#This Row],[Order_Date]]&lt;DATE(2000,1,1),Table1[[#This Row],[Order_Date]]&gt;TODAY()),"YES","NO")</f>
        <v>NO</v>
      </c>
    </row>
    <row r="978" spans="1:16" x14ac:dyDescent="0.3">
      <c r="A978">
        <v>100973</v>
      </c>
      <c r="B978" s="8">
        <v>45332.5</v>
      </c>
      <c r="C978" t="s">
        <v>14</v>
      </c>
      <c r="D978" t="s">
        <v>44</v>
      </c>
      <c r="E978" t="s">
        <v>69</v>
      </c>
      <c r="F978" t="s">
        <v>72</v>
      </c>
      <c r="G978">
        <v>1</v>
      </c>
      <c r="H978">
        <v>19.760000000000002</v>
      </c>
      <c r="I978">
        <v>5</v>
      </c>
      <c r="J978" t="s">
        <v>76</v>
      </c>
      <c r="K978" t="s">
        <v>77</v>
      </c>
      <c r="L978">
        <v>19.760000000000002</v>
      </c>
      <c r="M978">
        <v>0.9880000000000001</v>
      </c>
      <c r="N978">
        <v>18.771999999999998</v>
      </c>
      <c r="O97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8" s="9" t="str">
        <f ca="1">IF(OR(ISNUMBER(Table1[[#This Row],[Order_Date]])=FALSE,Table1[[#This Row],[Order_Date]]&lt;DATE(2000,1,1),Table1[[#This Row],[Order_Date]]&gt;TODAY()),"YES","NO")</f>
        <v>NO</v>
      </c>
    </row>
    <row r="979" spans="1:16" x14ac:dyDescent="0.3">
      <c r="A979">
        <v>100974</v>
      </c>
      <c r="B979" s="8">
        <v>45332.541666666657</v>
      </c>
      <c r="C979" t="s">
        <v>14</v>
      </c>
      <c r="D979" t="s">
        <v>60</v>
      </c>
      <c r="E979" t="s">
        <v>69</v>
      </c>
      <c r="F979" t="s">
        <v>72</v>
      </c>
      <c r="G979">
        <v>5</v>
      </c>
      <c r="H979">
        <v>71.53</v>
      </c>
      <c r="I979">
        <v>5</v>
      </c>
      <c r="J979" t="s">
        <v>75</v>
      </c>
      <c r="K979" t="s">
        <v>77</v>
      </c>
      <c r="L979">
        <v>357.65</v>
      </c>
      <c r="M979">
        <v>17.8825</v>
      </c>
      <c r="N979">
        <v>339.76749999999998</v>
      </c>
      <c r="O97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79" s="9" t="str">
        <f ca="1">IF(OR(ISNUMBER(Table1[[#This Row],[Order_Date]])=FALSE,Table1[[#This Row],[Order_Date]]&lt;DATE(2000,1,1),Table1[[#This Row],[Order_Date]]&gt;TODAY()),"YES","NO")</f>
        <v>NO</v>
      </c>
    </row>
    <row r="980" spans="1:16" x14ac:dyDescent="0.3">
      <c r="A980">
        <v>100975</v>
      </c>
      <c r="B980" s="8">
        <v>45332.583333333343</v>
      </c>
      <c r="C980" t="s">
        <v>15</v>
      </c>
      <c r="D980" t="s">
        <v>59</v>
      </c>
      <c r="E980" t="s">
        <v>70</v>
      </c>
      <c r="F980" t="s">
        <v>71</v>
      </c>
      <c r="G980">
        <v>5</v>
      </c>
      <c r="H980">
        <v>84.74</v>
      </c>
      <c r="I980">
        <v>0</v>
      </c>
      <c r="J980" t="s">
        <v>76</v>
      </c>
      <c r="K980" t="s">
        <v>77</v>
      </c>
      <c r="L980">
        <v>423.7</v>
      </c>
      <c r="M980">
        <v>0</v>
      </c>
      <c r="N980">
        <v>423.7</v>
      </c>
      <c r="O98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0" s="9" t="str">
        <f ca="1">IF(OR(ISNUMBER(Table1[[#This Row],[Order_Date]])=FALSE,Table1[[#This Row],[Order_Date]]&lt;DATE(2000,1,1),Table1[[#This Row],[Order_Date]]&gt;TODAY()),"YES","NO")</f>
        <v>NO</v>
      </c>
    </row>
    <row r="981" spans="1:16" x14ac:dyDescent="0.3">
      <c r="A981">
        <v>100976</v>
      </c>
      <c r="B981" s="8">
        <v>45332.625</v>
      </c>
      <c r="C981" t="s">
        <v>15</v>
      </c>
      <c r="D981" t="s">
        <v>47</v>
      </c>
      <c r="E981" t="s">
        <v>68</v>
      </c>
      <c r="F981" t="s">
        <v>72</v>
      </c>
      <c r="G981">
        <v>4</v>
      </c>
      <c r="H981">
        <v>85.57</v>
      </c>
      <c r="I981">
        <v>0</v>
      </c>
      <c r="J981" t="s">
        <v>74</v>
      </c>
      <c r="K981" t="s">
        <v>77</v>
      </c>
      <c r="L981">
        <v>342.28</v>
      </c>
      <c r="M981">
        <v>0</v>
      </c>
      <c r="N981">
        <v>342.28</v>
      </c>
      <c r="O98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1" s="9" t="str">
        <f ca="1">IF(OR(ISNUMBER(Table1[[#This Row],[Order_Date]])=FALSE,Table1[[#This Row],[Order_Date]]&lt;DATE(2000,1,1),Table1[[#This Row],[Order_Date]]&gt;TODAY()),"YES","NO")</f>
        <v>NO</v>
      </c>
    </row>
    <row r="982" spans="1:16" x14ac:dyDescent="0.3">
      <c r="A982">
        <v>100977</v>
      </c>
      <c r="B982" s="8">
        <v>45332.666666666657</v>
      </c>
      <c r="C982" t="s">
        <v>15</v>
      </c>
      <c r="D982" t="s">
        <v>55</v>
      </c>
      <c r="E982" t="s">
        <v>70</v>
      </c>
      <c r="F982" t="s">
        <v>71</v>
      </c>
      <c r="G982">
        <v>2</v>
      </c>
      <c r="H982">
        <v>91.65</v>
      </c>
      <c r="I982">
        <v>5</v>
      </c>
      <c r="J982" t="s">
        <v>75</v>
      </c>
      <c r="K982" t="s">
        <v>77</v>
      </c>
      <c r="L982">
        <v>183.3</v>
      </c>
      <c r="M982">
        <v>9.1650000000000009</v>
      </c>
      <c r="N982">
        <v>174.13499999999999</v>
      </c>
      <c r="O98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2" s="9" t="str">
        <f ca="1">IF(OR(ISNUMBER(Table1[[#This Row],[Order_Date]])=FALSE,Table1[[#This Row],[Order_Date]]&lt;DATE(2000,1,1),Table1[[#This Row],[Order_Date]]&gt;TODAY()),"YES","NO")</f>
        <v>NO</v>
      </c>
    </row>
    <row r="983" spans="1:16" x14ac:dyDescent="0.3">
      <c r="A983">
        <v>100978</v>
      </c>
      <c r="B983" s="8">
        <v>45332.708333333343</v>
      </c>
      <c r="C983" t="s">
        <v>15</v>
      </c>
      <c r="D983" t="s">
        <v>28</v>
      </c>
      <c r="E983" t="s">
        <v>66</v>
      </c>
      <c r="F983" t="s">
        <v>71</v>
      </c>
      <c r="G983">
        <v>1</v>
      </c>
      <c r="H983">
        <v>105.38</v>
      </c>
      <c r="I983">
        <v>0</v>
      </c>
      <c r="J983" t="s">
        <v>76</v>
      </c>
      <c r="K983" t="s">
        <v>77</v>
      </c>
      <c r="L983">
        <v>105.38</v>
      </c>
      <c r="M983">
        <v>0</v>
      </c>
      <c r="N983">
        <v>105.38</v>
      </c>
      <c r="O98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3" s="9" t="str">
        <f ca="1">IF(OR(ISNUMBER(Table1[[#This Row],[Order_Date]])=FALSE,Table1[[#This Row],[Order_Date]]&lt;DATE(2000,1,1),Table1[[#This Row],[Order_Date]]&gt;TODAY()),"YES","NO")</f>
        <v>NO</v>
      </c>
    </row>
    <row r="984" spans="1:16" x14ac:dyDescent="0.3">
      <c r="A984">
        <v>100979</v>
      </c>
      <c r="B984" s="8">
        <v>45332.75</v>
      </c>
      <c r="C984" t="s">
        <v>15</v>
      </c>
      <c r="D984" t="s">
        <v>22</v>
      </c>
      <c r="E984" t="s">
        <v>66</v>
      </c>
      <c r="F984" t="s">
        <v>72</v>
      </c>
      <c r="G984">
        <v>2</v>
      </c>
      <c r="H984">
        <v>62.5</v>
      </c>
      <c r="I984">
        <v>15</v>
      </c>
      <c r="J984" t="s">
        <v>76</v>
      </c>
      <c r="K984" t="s">
        <v>77</v>
      </c>
      <c r="L984">
        <v>125</v>
      </c>
      <c r="M984">
        <v>18.75</v>
      </c>
      <c r="N984">
        <v>106.25</v>
      </c>
      <c r="O98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4" s="9" t="str">
        <f ca="1">IF(OR(ISNUMBER(Table1[[#This Row],[Order_Date]])=FALSE,Table1[[#This Row],[Order_Date]]&lt;DATE(2000,1,1),Table1[[#This Row],[Order_Date]]&gt;TODAY()),"YES","NO")</f>
        <v>NO</v>
      </c>
    </row>
    <row r="985" spans="1:16" x14ac:dyDescent="0.3">
      <c r="A985">
        <v>100980</v>
      </c>
      <c r="B985" s="8">
        <v>45332.791666666657</v>
      </c>
      <c r="C985" t="s">
        <v>15</v>
      </c>
      <c r="D985" t="s">
        <v>41</v>
      </c>
      <c r="E985" t="s">
        <v>66</v>
      </c>
      <c r="F985" t="s">
        <v>72</v>
      </c>
      <c r="G985">
        <v>2</v>
      </c>
      <c r="H985">
        <v>88.98</v>
      </c>
      <c r="I985">
        <v>5</v>
      </c>
      <c r="J985" t="s">
        <v>76</v>
      </c>
      <c r="K985" t="s">
        <v>78</v>
      </c>
      <c r="L985">
        <v>177.96</v>
      </c>
      <c r="M985">
        <v>8.8980000000000015</v>
      </c>
      <c r="N985">
        <v>169.06200000000001</v>
      </c>
      <c r="O98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85" s="9" t="str">
        <f ca="1">IF(OR(ISNUMBER(Table1[[#This Row],[Order_Date]])=FALSE,Table1[[#This Row],[Order_Date]]&lt;DATE(2000,1,1),Table1[[#This Row],[Order_Date]]&gt;TODAY()),"YES","NO")</f>
        <v>NO</v>
      </c>
    </row>
    <row r="986" spans="1:16" x14ac:dyDescent="0.3">
      <c r="A986">
        <v>100981</v>
      </c>
      <c r="B986" s="8">
        <v>45332.833333333343</v>
      </c>
      <c r="C986" t="s">
        <v>15</v>
      </c>
      <c r="D986" t="s">
        <v>27</v>
      </c>
      <c r="E986" t="s">
        <v>70</v>
      </c>
      <c r="F986" t="s">
        <v>71</v>
      </c>
      <c r="G986">
        <v>1</v>
      </c>
      <c r="H986">
        <v>76.2</v>
      </c>
      <c r="I986">
        <v>0</v>
      </c>
      <c r="J986" t="s">
        <v>73</v>
      </c>
      <c r="K986" t="s">
        <v>77</v>
      </c>
      <c r="L986">
        <v>76.2</v>
      </c>
      <c r="M986">
        <v>0</v>
      </c>
      <c r="N986">
        <v>76.2</v>
      </c>
      <c r="O98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6" s="9" t="str">
        <f ca="1">IF(OR(ISNUMBER(Table1[[#This Row],[Order_Date]])=FALSE,Table1[[#This Row],[Order_Date]]&lt;DATE(2000,1,1),Table1[[#This Row],[Order_Date]]&gt;TODAY()),"YES","NO")</f>
        <v>NO</v>
      </c>
    </row>
    <row r="987" spans="1:16" x14ac:dyDescent="0.3">
      <c r="A987">
        <v>100982</v>
      </c>
      <c r="B987" s="8">
        <v>45332.875</v>
      </c>
      <c r="C987" t="s">
        <v>15</v>
      </c>
      <c r="D987" t="s">
        <v>26</v>
      </c>
      <c r="E987" t="s">
        <v>69</v>
      </c>
      <c r="F987" t="s">
        <v>71</v>
      </c>
      <c r="G987">
        <v>1</v>
      </c>
      <c r="H987">
        <v>26.46</v>
      </c>
      <c r="I987">
        <v>15</v>
      </c>
      <c r="J987" t="s">
        <v>74</v>
      </c>
      <c r="K987" t="s">
        <v>77</v>
      </c>
      <c r="L987">
        <v>26.46</v>
      </c>
      <c r="M987">
        <v>3.9689999999999999</v>
      </c>
      <c r="N987">
        <v>22.491</v>
      </c>
      <c r="O98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7" s="9" t="str">
        <f ca="1">IF(OR(ISNUMBER(Table1[[#This Row],[Order_Date]])=FALSE,Table1[[#This Row],[Order_Date]]&lt;DATE(2000,1,1),Table1[[#This Row],[Order_Date]]&gt;TODAY()),"YES","NO")</f>
        <v>NO</v>
      </c>
    </row>
    <row r="988" spans="1:16" x14ac:dyDescent="0.3">
      <c r="A988">
        <v>100983</v>
      </c>
      <c r="B988" s="8">
        <v>45332.916666666657</v>
      </c>
      <c r="C988" t="s">
        <v>15</v>
      </c>
      <c r="D988" t="s">
        <v>50</v>
      </c>
      <c r="E988" t="s">
        <v>69</v>
      </c>
      <c r="F988" t="s">
        <v>71</v>
      </c>
      <c r="G988">
        <v>5</v>
      </c>
      <c r="H988">
        <v>7.95</v>
      </c>
      <c r="I988">
        <v>0</v>
      </c>
      <c r="J988" t="s">
        <v>76</v>
      </c>
      <c r="K988" t="s">
        <v>77</v>
      </c>
      <c r="L988">
        <v>39.75</v>
      </c>
      <c r="M988">
        <v>0</v>
      </c>
      <c r="N988">
        <v>39.75</v>
      </c>
      <c r="O98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8" s="9" t="str">
        <f ca="1">IF(OR(ISNUMBER(Table1[[#This Row],[Order_Date]])=FALSE,Table1[[#This Row],[Order_Date]]&lt;DATE(2000,1,1),Table1[[#This Row],[Order_Date]]&gt;TODAY()),"YES","NO")</f>
        <v>NO</v>
      </c>
    </row>
    <row r="989" spans="1:16" x14ac:dyDescent="0.3">
      <c r="A989">
        <v>100984</v>
      </c>
      <c r="B989" s="8">
        <v>45332.958333333343</v>
      </c>
      <c r="C989" t="s">
        <v>14</v>
      </c>
      <c r="D989" t="s">
        <v>22</v>
      </c>
      <c r="E989" t="s">
        <v>67</v>
      </c>
      <c r="F989" t="s">
        <v>72</v>
      </c>
      <c r="G989">
        <v>5</v>
      </c>
      <c r="H989">
        <v>37.72</v>
      </c>
      <c r="I989">
        <v>0</v>
      </c>
      <c r="J989" t="s">
        <v>75</v>
      </c>
      <c r="K989" t="s">
        <v>77</v>
      </c>
      <c r="L989">
        <v>188.6</v>
      </c>
      <c r="M989">
        <v>0</v>
      </c>
      <c r="N989">
        <v>188.6</v>
      </c>
      <c r="O98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89" s="9" t="str">
        <f ca="1">IF(OR(ISNUMBER(Table1[[#This Row],[Order_Date]])=FALSE,Table1[[#This Row],[Order_Date]]&lt;DATE(2000,1,1),Table1[[#This Row],[Order_Date]]&gt;TODAY()),"YES","NO")</f>
        <v>NO</v>
      </c>
    </row>
    <row r="990" spans="1:16" x14ac:dyDescent="0.3">
      <c r="A990">
        <v>100985</v>
      </c>
      <c r="B990" s="8">
        <v>45333</v>
      </c>
      <c r="C990" t="s">
        <v>15</v>
      </c>
      <c r="D990" t="s">
        <v>20</v>
      </c>
      <c r="E990" t="s">
        <v>66</v>
      </c>
      <c r="F990" t="s">
        <v>72</v>
      </c>
      <c r="G990">
        <v>1</v>
      </c>
      <c r="H990">
        <v>55.95</v>
      </c>
      <c r="I990">
        <v>0</v>
      </c>
      <c r="J990" t="s">
        <v>76</v>
      </c>
      <c r="K990" t="s">
        <v>77</v>
      </c>
      <c r="L990">
        <v>55.95</v>
      </c>
      <c r="M990">
        <v>0</v>
      </c>
      <c r="N990">
        <v>55.95</v>
      </c>
      <c r="O99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0" s="9" t="str">
        <f ca="1">IF(OR(ISNUMBER(Table1[[#This Row],[Order_Date]])=FALSE,Table1[[#This Row],[Order_Date]]&lt;DATE(2000,1,1),Table1[[#This Row],[Order_Date]]&gt;TODAY()),"YES","NO")</f>
        <v>NO</v>
      </c>
    </row>
    <row r="991" spans="1:16" x14ac:dyDescent="0.3">
      <c r="A991">
        <v>100986</v>
      </c>
      <c r="B991" s="8">
        <v>45333.041666666657</v>
      </c>
      <c r="C991" t="s">
        <v>15</v>
      </c>
      <c r="D991" t="s">
        <v>21</v>
      </c>
      <c r="E991" t="s">
        <v>69</v>
      </c>
      <c r="F991" t="s">
        <v>72</v>
      </c>
      <c r="G991">
        <v>3</v>
      </c>
      <c r="H991">
        <v>75.97</v>
      </c>
      <c r="I991">
        <v>5</v>
      </c>
      <c r="J991" t="s">
        <v>73</v>
      </c>
      <c r="K991" t="s">
        <v>77</v>
      </c>
      <c r="L991">
        <v>227.91</v>
      </c>
      <c r="M991">
        <v>11.3955</v>
      </c>
      <c r="N991">
        <v>216.5145</v>
      </c>
      <c r="O99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1" s="9" t="str">
        <f ca="1">IF(OR(ISNUMBER(Table1[[#This Row],[Order_Date]])=FALSE,Table1[[#This Row],[Order_Date]]&lt;DATE(2000,1,1),Table1[[#This Row],[Order_Date]]&gt;TODAY()),"YES","NO")</f>
        <v>NO</v>
      </c>
    </row>
    <row r="992" spans="1:16" x14ac:dyDescent="0.3">
      <c r="A992">
        <v>100987</v>
      </c>
      <c r="B992" s="8">
        <v>45333.083333333343</v>
      </c>
      <c r="C992" t="s">
        <v>15</v>
      </c>
      <c r="D992" t="s">
        <v>28</v>
      </c>
      <c r="E992" t="s">
        <v>67</v>
      </c>
      <c r="F992" t="s">
        <v>72</v>
      </c>
      <c r="G992">
        <v>5</v>
      </c>
      <c r="H992">
        <v>102.75</v>
      </c>
      <c r="I992">
        <v>10</v>
      </c>
      <c r="J992" t="s">
        <v>74</v>
      </c>
      <c r="K992" t="s">
        <v>77</v>
      </c>
      <c r="L992">
        <v>513.75</v>
      </c>
      <c r="M992">
        <v>51.375</v>
      </c>
      <c r="N992">
        <v>462.375</v>
      </c>
      <c r="O99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2" s="9" t="str">
        <f ca="1">IF(OR(ISNUMBER(Table1[[#This Row],[Order_Date]])=FALSE,Table1[[#This Row],[Order_Date]]&lt;DATE(2000,1,1),Table1[[#This Row],[Order_Date]]&gt;TODAY()),"YES","NO")</f>
        <v>NO</v>
      </c>
    </row>
    <row r="993" spans="1:16" x14ac:dyDescent="0.3">
      <c r="A993">
        <v>100988</v>
      </c>
      <c r="B993" s="8">
        <v>45333.125</v>
      </c>
      <c r="C993" t="s">
        <v>15</v>
      </c>
      <c r="D993" t="s">
        <v>20</v>
      </c>
      <c r="E993" t="s">
        <v>69</v>
      </c>
      <c r="F993" t="s">
        <v>71</v>
      </c>
      <c r="G993">
        <v>3</v>
      </c>
      <c r="H993">
        <v>27.57</v>
      </c>
      <c r="I993">
        <v>0</v>
      </c>
      <c r="J993" t="s">
        <v>73</v>
      </c>
      <c r="K993" t="s">
        <v>77</v>
      </c>
      <c r="L993">
        <v>82.710000000000008</v>
      </c>
      <c r="M993">
        <v>0</v>
      </c>
      <c r="N993">
        <v>82.710000000000008</v>
      </c>
      <c r="O99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3" s="9" t="str">
        <f ca="1">IF(OR(ISNUMBER(Table1[[#This Row],[Order_Date]])=FALSE,Table1[[#This Row],[Order_Date]]&lt;DATE(2000,1,1),Table1[[#This Row],[Order_Date]]&gt;TODAY()),"YES","NO")</f>
        <v>NO</v>
      </c>
    </row>
    <row r="994" spans="1:16" x14ac:dyDescent="0.3">
      <c r="A994">
        <v>100989</v>
      </c>
      <c r="B994" s="8">
        <v>45333.166666666657</v>
      </c>
      <c r="C994" t="s">
        <v>15</v>
      </c>
      <c r="D994" t="s">
        <v>16</v>
      </c>
      <c r="E994" t="s">
        <v>66</v>
      </c>
      <c r="F994" t="s">
        <v>71</v>
      </c>
      <c r="G994">
        <v>1</v>
      </c>
      <c r="H994">
        <v>19.440000000000001</v>
      </c>
      <c r="I994">
        <v>15</v>
      </c>
      <c r="J994" t="s">
        <v>73</v>
      </c>
      <c r="K994" t="s">
        <v>78</v>
      </c>
      <c r="L994">
        <v>19.440000000000001</v>
      </c>
      <c r="M994">
        <v>2.9159999999999999</v>
      </c>
      <c r="N994">
        <v>16.524000000000001</v>
      </c>
      <c r="O99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94" s="9" t="str">
        <f ca="1">IF(OR(ISNUMBER(Table1[[#This Row],[Order_Date]])=FALSE,Table1[[#This Row],[Order_Date]]&lt;DATE(2000,1,1),Table1[[#This Row],[Order_Date]]&gt;TODAY()),"YES","NO")</f>
        <v>NO</v>
      </c>
    </row>
    <row r="995" spans="1:16" x14ac:dyDescent="0.3">
      <c r="A995">
        <v>100990</v>
      </c>
      <c r="B995" s="8">
        <v>45333.208333333343</v>
      </c>
      <c r="C995" t="s">
        <v>15</v>
      </c>
      <c r="D995" t="s">
        <v>34</v>
      </c>
      <c r="E995" t="s">
        <v>68</v>
      </c>
      <c r="F995" t="s">
        <v>71</v>
      </c>
      <c r="G995">
        <v>5</v>
      </c>
      <c r="H995">
        <v>115.8</v>
      </c>
      <c r="I995">
        <v>5</v>
      </c>
      <c r="J995" t="s">
        <v>73</v>
      </c>
      <c r="K995" t="s">
        <v>77</v>
      </c>
      <c r="L995">
        <v>579</v>
      </c>
      <c r="M995">
        <v>28.95</v>
      </c>
      <c r="N995">
        <v>550.04999999999995</v>
      </c>
      <c r="O99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5" s="9" t="str">
        <f ca="1">IF(OR(ISNUMBER(Table1[[#This Row],[Order_Date]])=FALSE,Table1[[#This Row],[Order_Date]]&lt;DATE(2000,1,1),Table1[[#This Row],[Order_Date]]&gt;TODAY()),"YES","NO")</f>
        <v>NO</v>
      </c>
    </row>
    <row r="996" spans="1:16" x14ac:dyDescent="0.3">
      <c r="A996">
        <v>100991</v>
      </c>
      <c r="B996" s="8">
        <v>45333.25</v>
      </c>
      <c r="C996" t="s">
        <v>15</v>
      </c>
      <c r="D996" t="s">
        <v>54</v>
      </c>
      <c r="E996" t="s">
        <v>66</v>
      </c>
      <c r="F996" t="s">
        <v>71</v>
      </c>
      <c r="G996">
        <v>2</v>
      </c>
      <c r="H996">
        <v>17.43</v>
      </c>
      <c r="I996">
        <v>5</v>
      </c>
      <c r="J996" t="s">
        <v>75</v>
      </c>
      <c r="K996" t="s">
        <v>77</v>
      </c>
      <c r="L996">
        <v>34.86</v>
      </c>
      <c r="M996">
        <v>1.7430000000000001</v>
      </c>
      <c r="N996">
        <v>33.116999999999997</v>
      </c>
      <c r="O996"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6" s="9" t="str">
        <f ca="1">IF(OR(ISNUMBER(Table1[[#This Row],[Order_Date]])=FALSE,Table1[[#This Row],[Order_Date]]&lt;DATE(2000,1,1),Table1[[#This Row],[Order_Date]]&gt;TODAY()),"YES","NO")</f>
        <v>NO</v>
      </c>
    </row>
    <row r="997" spans="1:16" x14ac:dyDescent="0.3">
      <c r="A997">
        <v>100992</v>
      </c>
      <c r="B997" s="8">
        <v>45333.291666666657</v>
      </c>
      <c r="C997" t="s">
        <v>15</v>
      </c>
      <c r="D997" t="s">
        <v>35</v>
      </c>
      <c r="E997" t="s">
        <v>70</v>
      </c>
      <c r="F997" t="s">
        <v>71</v>
      </c>
      <c r="G997">
        <v>1</v>
      </c>
      <c r="H997">
        <v>60.03</v>
      </c>
      <c r="I997">
        <v>15</v>
      </c>
      <c r="J997" t="s">
        <v>74</v>
      </c>
      <c r="K997" t="s">
        <v>78</v>
      </c>
      <c r="L997">
        <v>60.03</v>
      </c>
      <c r="M997">
        <v>9.0045000000000002</v>
      </c>
      <c r="N997">
        <v>51.025500000000001</v>
      </c>
      <c r="O997"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YES</v>
      </c>
      <c r="P997" s="9" t="str">
        <f ca="1">IF(OR(ISNUMBER(Table1[[#This Row],[Order_Date]])=FALSE,Table1[[#This Row],[Order_Date]]&lt;DATE(2000,1,1),Table1[[#This Row],[Order_Date]]&gt;TODAY()),"YES","NO")</f>
        <v>NO</v>
      </c>
    </row>
    <row r="998" spans="1:16" x14ac:dyDescent="0.3">
      <c r="A998">
        <v>100993</v>
      </c>
      <c r="B998" s="8">
        <v>45333.333333333343</v>
      </c>
      <c r="C998" t="s">
        <v>15</v>
      </c>
      <c r="D998" t="s">
        <v>37</v>
      </c>
      <c r="E998" t="s">
        <v>69</v>
      </c>
      <c r="F998" t="s">
        <v>71</v>
      </c>
      <c r="G998">
        <v>4</v>
      </c>
      <c r="H998">
        <v>72.34</v>
      </c>
      <c r="I998">
        <v>0</v>
      </c>
      <c r="J998" t="s">
        <v>74</v>
      </c>
      <c r="K998" t="s">
        <v>77</v>
      </c>
      <c r="L998">
        <v>289.36</v>
      </c>
      <c r="M998">
        <v>0</v>
      </c>
      <c r="N998">
        <v>289.36</v>
      </c>
      <c r="O998"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8" s="9" t="str">
        <f ca="1">IF(OR(ISNUMBER(Table1[[#This Row],[Order_Date]])=FALSE,Table1[[#This Row],[Order_Date]]&lt;DATE(2000,1,1),Table1[[#This Row],[Order_Date]]&gt;TODAY()),"YES","NO")</f>
        <v>NO</v>
      </c>
    </row>
    <row r="999" spans="1:16" x14ac:dyDescent="0.3">
      <c r="A999">
        <v>100994</v>
      </c>
      <c r="B999" s="8">
        <v>45333.375</v>
      </c>
      <c r="C999" t="s">
        <v>15</v>
      </c>
      <c r="D999" t="s">
        <v>23</v>
      </c>
      <c r="E999" t="s">
        <v>69</v>
      </c>
      <c r="F999" t="s">
        <v>72</v>
      </c>
      <c r="G999">
        <v>3</v>
      </c>
      <c r="H999">
        <v>67.260000000000005</v>
      </c>
      <c r="I999">
        <v>10</v>
      </c>
      <c r="J999" t="s">
        <v>75</v>
      </c>
      <c r="K999" t="s">
        <v>77</v>
      </c>
      <c r="L999">
        <v>201.78</v>
      </c>
      <c r="M999">
        <v>20.178000000000001</v>
      </c>
      <c r="N999">
        <v>181.602</v>
      </c>
      <c r="O999"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999" s="9" t="str">
        <f ca="1">IF(OR(ISNUMBER(Table1[[#This Row],[Order_Date]])=FALSE,Table1[[#This Row],[Order_Date]]&lt;DATE(2000,1,1),Table1[[#This Row],[Order_Date]]&gt;TODAY()),"YES","NO")</f>
        <v>NO</v>
      </c>
    </row>
    <row r="1000" spans="1:16" x14ac:dyDescent="0.3">
      <c r="A1000">
        <v>100995</v>
      </c>
      <c r="B1000" s="8">
        <v>45333.416666666657</v>
      </c>
      <c r="C1000" t="s">
        <v>15</v>
      </c>
      <c r="D1000" t="s">
        <v>48</v>
      </c>
      <c r="E1000" t="s">
        <v>70</v>
      </c>
      <c r="F1000" t="s">
        <v>72</v>
      </c>
      <c r="G1000">
        <v>1</v>
      </c>
      <c r="H1000">
        <v>14.89</v>
      </c>
      <c r="I1000">
        <v>0</v>
      </c>
      <c r="J1000" t="s">
        <v>74</v>
      </c>
      <c r="K1000" t="s">
        <v>77</v>
      </c>
      <c r="L1000">
        <v>14.89</v>
      </c>
      <c r="M1000">
        <v>0</v>
      </c>
      <c r="N1000">
        <v>14.89</v>
      </c>
      <c r="O1000"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00" s="9" t="str">
        <f ca="1">IF(OR(ISNUMBER(Table1[[#This Row],[Order_Date]])=FALSE,Table1[[#This Row],[Order_Date]]&lt;DATE(2000,1,1),Table1[[#This Row],[Order_Date]]&gt;TODAY()),"YES","NO")</f>
        <v>NO</v>
      </c>
    </row>
    <row r="1001" spans="1:16" x14ac:dyDescent="0.3">
      <c r="A1001">
        <v>100996</v>
      </c>
      <c r="B1001" s="8">
        <v>45333.458333333343</v>
      </c>
      <c r="C1001" t="s">
        <v>14</v>
      </c>
      <c r="D1001" t="s">
        <v>54</v>
      </c>
      <c r="E1001" t="s">
        <v>70</v>
      </c>
      <c r="F1001" t="s">
        <v>71</v>
      </c>
      <c r="G1001">
        <v>1</v>
      </c>
      <c r="H1001">
        <v>11.56</v>
      </c>
      <c r="I1001">
        <v>15</v>
      </c>
      <c r="J1001" t="s">
        <v>73</v>
      </c>
      <c r="K1001" t="s">
        <v>77</v>
      </c>
      <c r="L1001">
        <v>11.56</v>
      </c>
      <c r="M1001">
        <v>1.734</v>
      </c>
      <c r="N1001">
        <v>9.8260000000000005</v>
      </c>
      <c r="O1001"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01" s="9" t="str">
        <f ca="1">IF(OR(ISNUMBER(Table1[[#This Row],[Order_Date]])=FALSE,Table1[[#This Row],[Order_Date]]&lt;DATE(2000,1,1),Table1[[#This Row],[Order_Date]]&gt;TODAY()),"YES","NO")</f>
        <v>NO</v>
      </c>
    </row>
    <row r="1002" spans="1:16" x14ac:dyDescent="0.3">
      <c r="A1002">
        <v>100997</v>
      </c>
      <c r="B1002" s="8">
        <v>45333.5</v>
      </c>
      <c r="C1002" t="s">
        <v>14</v>
      </c>
      <c r="D1002" t="s">
        <v>44</v>
      </c>
      <c r="E1002" t="s">
        <v>68</v>
      </c>
      <c r="F1002" t="s">
        <v>71</v>
      </c>
      <c r="G1002">
        <v>5</v>
      </c>
      <c r="H1002">
        <v>17.13</v>
      </c>
      <c r="I1002">
        <v>5</v>
      </c>
      <c r="J1002" t="s">
        <v>74</v>
      </c>
      <c r="K1002" t="s">
        <v>77</v>
      </c>
      <c r="L1002">
        <v>85.649999999999991</v>
      </c>
      <c r="M1002">
        <v>4.2824999999999998</v>
      </c>
      <c r="N1002">
        <v>81.367499999999993</v>
      </c>
      <c r="O1002"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02" s="9" t="str">
        <f ca="1">IF(OR(ISNUMBER(Table1[[#This Row],[Order_Date]])=FALSE,Table1[[#This Row],[Order_Date]]&lt;DATE(2000,1,1),Table1[[#This Row],[Order_Date]]&gt;TODAY()),"YES","NO")</f>
        <v>NO</v>
      </c>
    </row>
    <row r="1003" spans="1:16" x14ac:dyDescent="0.3">
      <c r="A1003">
        <v>100998</v>
      </c>
      <c r="B1003" s="8">
        <v>45333.541666666657</v>
      </c>
      <c r="C1003" t="s">
        <v>15</v>
      </c>
      <c r="D1003" t="s">
        <v>54</v>
      </c>
      <c r="E1003" t="s">
        <v>69</v>
      </c>
      <c r="F1003" t="s">
        <v>72</v>
      </c>
      <c r="G1003">
        <v>5</v>
      </c>
      <c r="H1003">
        <v>72.34</v>
      </c>
      <c r="I1003">
        <v>10</v>
      </c>
      <c r="J1003" t="s">
        <v>75</v>
      </c>
      <c r="K1003" t="s">
        <v>77</v>
      </c>
      <c r="L1003">
        <v>361.7</v>
      </c>
      <c r="M1003">
        <v>36.170000000000009</v>
      </c>
      <c r="N1003">
        <v>325.52999999999997</v>
      </c>
      <c r="O1003"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03" s="9" t="str">
        <f ca="1">IF(OR(ISNUMBER(Table1[[#This Row],[Order_Date]])=FALSE,Table1[[#This Row],[Order_Date]]&lt;DATE(2000,1,1),Table1[[#This Row],[Order_Date]]&gt;TODAY()),"YES","NO")</f>
        <v>NO</v>
      </c>
    </row>
    <row r="1004" spans="1:16" x14ac:dyDescent="0.3">
      <c r="A1004">
        <v>100999</v>
      </c>
      <c r="B1004" s="8">
        <v>45333.583333333343</v>
      </c>
      <c r="C1004" t="s">
        <v>15</v>
      </c>
      <c r="D1004" t="s">
        <v>43</v>
      </c>
      <c r="E1004" t="s">
        <v>69</v>
      </c>
      <c r="F1004" t="s">
        <v>72</v>
      </c>
      <c r="G1004">
        <v>5</v>
      </c>
      <c r="H1004">
        <v>67.599999999999994</v>
      </c>
      <c r="I1004">
        <v>5</v>
      </c>
      <c r="J1004" t="s">
        <v>73</v>
      </c>
      <c r="K1004" t="s">
        <v>77</v>
      </c>
      <c r="L1004">
        <v>338</v>
      </c>
      <c r="M1004">
        <v>16.899999999999999</v>
      </c>
      <c r="N1004">
        <v>321.10000000000002</v>
      </c>
      <c r="O1004"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04" s="9" t="str">
        <f ca="1">IF(OR(ISNUMBER(Table1[[#This Row],[Order_Date]])=FALSE,Table1[[#This Row],[Order_Date]]&lt;DATE(2000,1,1),Table1[[#This Row],[Order_Date]]&gt;TODAY()),"YES","NO")</f>
        <v>NO</v>
      </c>
    </row>
    <row r="1005" spans="1:16" x14ac:dyDescent="0.3">
      <c r="A1005">
        <v>101000</v>
      </c>
      <c r="B1005" s="8">
        <v>45333.625</v>
      </c>
      <c r="C1005" t="s">
        <v>14</v>
      </c>
      <c r="D1005" t="s">
        <v>20</v>
      </c>
      <c r="E1005" t="s">
        <v>68</v>
      </c>
      <c r="F1005" t="s">
        <v>72</v>
      </c>
      <c r="G1005">
        <v>4</v>
      </c>
      <c r="H1005">
        <v>31.88</v>
      </c>
      <c r="I1005">
        <v>15</v>
      </c>
      <c r="J1005" t="s">
        <v>75</v>
      </c>
      <c r="K1005" t="s">
        <v>77</v>
      </c>
      <c r="L1005">
        <v>127.52</v>
      </c>
      <c r="M1005">
        <v>19.128</v>
      </c>
      <c r="N1005">
        <v>108.392</v>
      </c>
      <c r="O1005" t="str">
        <f>IF(OR(ISBLANK(Table1[[#This Row],[Gross_Sales]]),ISBLANK(Table1[[#This Row],[Net_Sales]]),ISBLANK(Table1[[#This Row],[Quantity]]),Table1[[#This Row],[Gross_Sales]]&lt;0,Table1[[#This Row],[Net_Sales]]&lt;0,Table1[[#This Row],[Quantity]]&lt;0,AND(OR(Table1[[#This Row],[Order_Status]]="Cancelled",Table1[[#This Row],[Order_Status]]="Returned"),Table1[[#This Row],[Net_Sales]]&lt;&gt;0)),"YES","NO")</f>
        <v>NO</v>
      </c>
      <c r="P1005" s="9" t="str">
        <f ca="1">IF(OR(ISNUMBER(Table1[[#This Row],[Order_Date]])=FALSE,Table1[[#This Row],[Order_Date]]&lt;DATE(2000,1,1),Table1[[#This Row],[Order_Date]]&gt;TODAY()),"YES","NO")</f>
        <v>NO</v>
      </c>
    </row>
  </sheetData>
  <mergeCells count="2">
    <mergeCell ref="A1:L4"/>
    <mergeCell ref="M1:P4"/>
  </mergeCells>
  <conditionalFormatting sqref="O5:O1048576 P5:P1005">
    <cfRule type="cellIs" dxfId="11" priority="2" operator="equal">
      <formula>"""YES"""</formula>
    </cfRule>
    <cfRule type="cellIs" dxfId="10" priority="3" operator="equal">
      <formula>"""YES"""</formula>
    </cfRule>
    <cfRule type="cellIs" dxfId="9" priority="4" operator="equal">
      <formula>"""YES"""</formula>
    </cfRule>
  </conditionalFormatting>
  <conditionalFormatting sqref="O6:P1005">
    <cfRule type="cellIs" dxfId="8" priority="1" operator="equal">
      <formula>"YES"</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EBAA-06D9-4B25-81DE-D062697D1759}">
  <dimension ref="A1:Z1005"/>
  <sheetViews>
    <sheetView topLeftCell="D1" workbookViewId="0">
      <selection activeCell="Q11" sqref="Q11"/>
    </sheetView>
  </sheetViews>
  <sheetFormatPr defaultRowHeight="14.4" x14ac:dyDescent="0.3"/>
  <cols>
    <col min="2" max="2" width="18.33203125" customWidth="1"/>
    <col min="3" max="3" width="12.5546875" customWidth="1"/>
    <col min="4" max="4" width="18.21875" customWidth="1"/>
    <col min="6" max="6" width="10.6640625" customWidth="1"/>
    <col min="7" max="8" width="12.44140625" customWidth="1"/>
    <col min="9" max="9" width="16.6640625" customWidth="1"/>
    <col min="11" max="11" width="15" customWidth="1"/>
    <col min="12" max="12" width="16.5546875" customWidth="1"/>
    <col min="13" max="13" width="19.77734375" customWidth="1"/>
    <col min="14" max="14" width="15.21875" customWidth="1"/>
    <col min="15" max="15" width="13.21875" customWidth="1"/>
    <col min="16" max="16" width="10.5546875" customWidth="1"/>
    <col min="17" max="17" width="18" customWidth="1"/>
    <col min="18" max="18" width="14.21875" customWidth="1"/>
    <col min="23" max="23" width="26.88671875" customWidth="1"/>
    <col min="24" max="24" width="11.88671875" customWidth="1"/>
    <col min="25" max="25" width="22.109375" customWidth="1"/>
    <col min="26" max="26" width="12.77734375" customWidth="1"/>
  </cols>
  <sheetData>
    <row r="1" spans="1:26" x14ac:dyDescent="0.3">
      <c r="A1" s="81" t="s">
        <v>107</v>
      </c>
      <c r="B1" s="81"/>
      <c r="C1" s="81"/>
      <c r="D1" s="81"/>
      <c r="E1" s="81"/>
      <c r="F1" s="81"/>
      <c r="G1" s="81"/>
      <c r="H1" s="81"/>
      <c r="I1" s="81"/>
      <c r="J1" s="81"/>
      <c r="K1" s="81"/>
      <c r="L1" s="81"/>
      <c r="M1" s="81"/>
      <c r="N1" s="81"/>
      <c r="O1" s="81"/>
      <c r="P1" s="81"/>
      <c r="Q1" s="81"/>
      <c r="R1" s="81"/>
    </row>
    <row r="2" spans="1:26" x14ac:dyDescent="0.3">
      <c r="A2" s="81"/>
      <c r="B2" s="81"/>
      <c r="C2" s="81"/>
      <c r="D2" s="81"/>
      <c r="E2" s="81"/>
      <c r="F2" s="81"/>
      <c r="G2" s="81"/>
      <c r="H2" s="81"/>
      <c r="I2" s="81"/>
      <c r="J2" s="81"/>
      <c r="K2" s="81"/>
      <c r="L2" s="81"/>
      <c r="M2" s="81"/>
      <c r="N2" s="81"/>
      <c r="O2" s="81"/>
      <c r="P2" s="81"/>
      <c r="Q2" s="81"/>
      <c r="R2" s="81"/>
    </row>
    <row r="3" spans="1:26" x14ac:dyDescent="0.3">
      <c r="A3" s="81"/>
      <c r="B3" s="81"/>
      <c r="C3" s="81"/>
      <c r="D3" s="81"/>
      <c r="E3" s="81"/>
      <c r="F3" s="81"/>
      <c r="G3" s="81"/>
      <c r="H3" s="81"/>
      <c r="I3" s="81"/>
      <c r="J3" s="81"/>
      <c r="K3" s="81"/>
      <c r="L3" s="81"/>
      <c r="M3" s="81"/>
      <c r="N3" s="81"/>
      <c r="O3" s="81"/>
      <c r="P3" s="81"/>
      <c r="Q3" s="81"/>
      <c r="R3" s="81"/>
    </row>
    <row r="4" spans="1:26" x14ac:dyDescent="0.3">
      <c r="A4" s="81"/>
      <c r="B4" s="81"/>
      <c r="C4" s="81"/>
      <c r="D4" s="81"/>
      <c r="E4" s="81"/>
      <c r="F4" s="81"/>
      <c r="G4" s="81"/>
      <c r="H4" s="81"/>
      <c r="I4" s="81"/>
      <c r="J4" s="81"/>
      <c r="K4" s="81"/>
      <c r="L4" s="81"/>
      <c r="M4" s="81"/>
      <c r="N4" s="81"/>
      <c r="O4" s="81"/>
      <c r="P4" s="81"/>
      <c r="Q4" s="81"/>
      <c r="R4" s="81"/>
    </row>
    <row r="5" spans="1:26" x14ac:dyDescent="0.3">
      <c r="A5" s="3" t="s">
        <v>0</v>
      </c>
      <c r="B5" s="7" t="s">
        <v>1</v>
      </c>
      <c r="C5" s="3" t="s">
        <v>2</v>
      </c>
      <c r="D5" s="3" t="s">
        <v>3</v>
      </c>
      <c r="E5" s="3" t="s">
        <v>4</v>
      </c>
      <c r="F5" s="3" t="s">
        <v>5</v>
      </c>
      <c r="G5" s="3" t="s">
        <v>6</v>
      </c>
      <c r="H5" s="3" t="s">
        <v>7</v>
      </c>
      <c r="I5" s="3" t="s">
        <v>8</v>
      </c>
      <c r="J5" s="3" t="s">
        <v>9</v>
      </c>
      <c r="K5" s="3" t="s">
        <v>10</v>
      </c>
      <c r="L5" s="3" t="s">
        <v>11</v>
      </c>
      <c r="M5" s="3" t="s">
        <v>12</v>
      </c>
      <c r="N5" s="3" t="s">
        <v>13</v>
      </c>
      <c r="O5" s="3" t="s">
        <v>80</v>
      </c>
      <c r="P5" s="3" t="s">
        <v>82</v>
      </c>
      <c r="Q5" s="3" t="s">
        <v>83</v>
      </c>
      <c r="R5" s="3" t="s">
        <v>84</v>
      </c>
    </row>
    <row r="6" spans="1:26" x14ac:dyDescent="0.3">
      <c r="A6">
        <v>100001</v>
      </c>
      <c r="B6" s="8">
        <v>45292</v>
      </c>
      <c r="C6" t="s">
        <v>14</v>
      </c>
      <c r="D6" t="s">
        <v>16</v>
      </c>
      <c r="E6" t="s">
        <v>66</v>
      </c>
      <c r="F6" t="s">
        <v>71</v>
      </c>
      <c r="G6">
        <v>4</v>
      </c>
      <c r="H6">
        <v>31.4</v>
      </c>
      <c r="I6">
        <v>5</v>
      </c>
      <c r="J6" t="s">
        <v>73</v>
      </c>
      <c r="K6" t="s">
        <v>77</v>
      </c>
      <c r="L6">
        <v>125.6</v>
      </c>
      <c r="M6">
        <v>6.28</v>
      </c>
      <c r="N6">
        <v>119.32</v>
      </c>
      <c r="O6" t="str">
        <f ca="1">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Row],[Net_Sales]]&lt;&gt;0),Table13[[#This Row],[Order_Date]]&lt;DATE(2000,1,1),Table13[[#This Row],[Order_Date]]&gt;TODAY()),"YES","NO")</f>
        <v>NO</v>
      </c>
      <c r="P6" s="9" t="str">
        <f ca="1">IF(OR(ISNUMBER(Table13[[#This Row],[Order_Date]])=FALSE,Table13[[#This Row],[Order_Date]]&lt;DATE(2000,1,1),Table13[[#This Row],[Order_Date]]&gt;TODAY()),"YES","NO")</f>
        <v>NO</v>
      </c>
      <c r="Q6" s="9">
        <f>IF(Table13[[#This Row],[Order_Status]] = "Cancelled",0,IF(Table13[[#This Row],[Order_Status]] = "Returned",Table13[[#This Row],[Net_Sales]] * -1,Table13[[#This Row],[Net_Sales]]))</f>
        <v>119.32</v>
      </c>
      <c r="R6" s="9" t="str">
        <f>IF(Table13[[#This Row],[Gross_Sales]]&gt;=500, "YES","NO")</f>
        <v>NO</v>
      </c>
    </row>
    <row r="7" spans="1:26" x14ac:dyDescent="0.3">
      <c r="A7">
        <v>100002</v>
      </c>
      <c r="B7" s="8">
        <v>45292.041666666657</v>
      </c>
      <c r="C7" t="s">
        <v>15</v>
      </c>
      <c r="D7" t="s">
        <v>17</v>
      </c>
      <c r="E7" t="s">
        <v>67</v>
      </c>
      <c r="F7" t="s">
        <v>71</v>
      </c>
      <c r="G7">
        <v>5</v>
      </c>
      <c r="H7">
        <v>18.52</v>
      </c>
      <c r="I7">
        <v>5</v>
      </c>
      <c r="J7" t="s">
        <v>74</v>
      </c>
      <c r="K7" t="s">
        <v>77</v>
      </c>
      <c r="L7">
        <v>92.6</v>
      </c>
      <c r="M7">
        <v>4.63</v>
      </c>
      <c r="N7">
        <v>87.97</v>
      </c>
      <c r="O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 s="9" t="str">
        <f ca="1">IF(OR(ISNUMBER(Table13[[#This Row],[Order_Date]])=FALSE,Table13[[#This Row],[Order_Date]]&lt;DATE(2000,1,1),Table13[[#This Row],[Order_Date]]&gt;TODAY()),"YES","NO")</f>
        <v>NO</v>
      </c>
      <c r="Q7" s="9">
        <f>IF(Table13[[#This Row],[Order_Status]] = "Cancelled",0,IF(Table13[[#This Row],[Order_Status]] = "Returned",Table13[[#This Row],[Net_Sales]] * -1,Table13[[#This Row],[Net_Sales]]))</f>
        <v>87.97</v>
      </c>
      <c r="R7" s="9" t="str">
        <f>IF(Table13[[#This Row],[Gross_Sales]]&gt;=500, "YES","NO")</f>
        <v>NO</v>
      </c>
    </row>
    <row r="8" spans="1:26" x14ac:dyDescent="0.3">
      <c r="A8">
        <v>100003</v>
      </c>
      <c r="B8" s="8">
        <v>45292.083333333343</v>
      </c>
      <c r="C8" t="s">
        <v>14</v>
      </c>
      <c r="D8" t="s">
        <v>18</v>
      </c>
      <c r="E8" t="s">
        <v>68</v>
      </c>
      <c r="F8" t="s">
        <v>72</v>
      </c>
      <c r="G8">
        <v>5</v>
      </c>
      <c r="H8">
        <v>24.01</v>
      </c>
      <c r="I8">
        <v>10</v>
      </c>
      <c r="J8" t="s">
        <v>75</v>
      </c>
      <c r="K8" t="s">
        <v>77</v>
      </c>
      <c r="L8">
        <v>120.05</v>
      </c>
      <c r="M8">
        <v>12.005000000000001</v>
      </c>
      <c r="N8">
        <v>108.045</v>
      </c>
      <c r="O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 s="9" t="str">
        <f ca="1">IF(OR(ISNUMBER(Table13[[#This Row],[Order_Date]])=FALSE,Table13[[#This Row],[Order_Date]]&lt;DATE(2000,1,1),Table13[[#This Row],[Order_Date]]&gt;TODAY()),"YES","NO")</f>
        <v>NO</v>
      </c>
      <c r="Q8" s="9">
        <f>IF(Table13[[#This Row],[Order_Status]] = "Cancelled",0,IF(Table13[[#This Row],[Order_Status]] = "Returned",Table13[[#This Row],[Net_Sales]] * -1,Table13[[#This Row],[Net_Sales]]))</f>
        <v>108.045</v>
      </c>
      <c r="R8" s="9" t="str">
        <f>IF(Table13[[#This Row],[Gross_Sales]]&gt;=500, "YES","NO")</f>
        <v>NO</v>
      </c>
    </row>
    <row r="9" spans="1:26" x14ac:dyDescent="0.3">
      <c r="A9">
        <v>100004</v>
      </c>
      <c r="B9" s="8">
        <v>45292.125</v>
      </c>
      <c r="C9" t="s">
        <v>14</v>
      </c>
      <c r="D9" t="s">
        <v>19</v>
      </c>
      <c r="E9" t="s">
        <v>69</v>
      </c>
      <c r="F9" t="s">
        <v>71</v>
      </c>
      <c r="G9">
        <v>1</v>
      </c>
      <c r="H9">
        <v>5.23</v>
      </c>
      <c r="I9">
        <v>10</v>
      </c>
      <c r="J9" t="s">
        <v>75</v>
      </c>
      <c r="K9" t="s">
        <v>77</v>
      </c>
      <c r="L9">
        <v>5.23</v>
      </c>
      <c r="M9">
        <v>0.52300000000000002</v>
      </c>
      <c r="N9">
        <v>4.7070000000000007</v>
      </c>
      <c r="O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 s="9" t="str">
        <f ca="1">IF(OR(ISNUMBER(Table13[[#This Row],[Order_Date]])=FALSE,Table13[[#This Row],[Order_Date]]&lt;DATE(2000,1,1),Table13[[#This Row],[Order_Date]]&gt;TODAY()),"YES","NO")</f>
        <v>NO</v>
      </c>
      <c r="Q9" s="9">
        <f>IF(Table13[[#This Row],[Order_Status]] = "Cancelled",0,IF(Table13[[#This Row],[Order_Status]] = "Returned",Table13[[#This Row],[Net_Sales]] * -1,Table13[[#This Row],[Net_Sales]]))</f>
        <v>4.7070000000000007</v>
      </c>
      <c r="R9" s="9" t="str">
        <f>IF(Table13[[#This Row],[Gross_Sales]]&gt;=500, "YES","NO")</f>
        <v>NO</v>
      </c>
      <c r="W9" s="10" t="s">
        <v>85</v>
      </c>
      <c r="X9" s="5" t="s">
        <v>81</v>
      </c>
      <c r="Y9" s="6" t="s">
        <v>81</v>
      </c>
      <c r="Z9" s="13" t="s">
        <v>91</v>
      </c>
    </row>
    <row r="10" spans="1:26" x14ac:dyDescent="0.3">
      <c r="A10">
        <v>100005</v>
      </c>
      <c r="B10" s="8">
        <v>45292.166666666657</v>
      </c>
      <c r="C10" t="s">
        <v>14</v>
      </c>
      <c r="D10" t="s">
        <v>20</v>
      </c>
      <c r="E10" t="s">
        <v>67</v>
      </c>
      <c r="F10" t="s">
        <v>72</v>
      </c>
      <c r="G10">
        <v>1</v>
      </c>
      <c r="H10">
        <v>87.66</v>
      </c>
      <c r="I10">
        <v>5</v>
      </c>
      <c r="J10" t="s">
        <v>75</v>
      </c>
      <c r="K10" t="s">
        <v>77</v>
      </c>
      <c r="L10">
        <v>87.66</v>
      </c>
      <c r="M10">
        <v>4.383</v>
      </c>
      <c r="N10">
        <v>83.277000000000001</v>
      </c>
      <c r="O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 s="9" t="str">
        <f ca="1">IF(OR(ISNUMBER(Table13[[#This Row],[Order_Date]])=FALSE,Table13[[#This Row],[Order_Date]]&lt;DATE(2000,1,1),Table13[[#This Row],[Order_Date]]&gt;TODAY()),"YES","NO")</f>
        <v>NO</v>
      </c>
      <c r="Q10" s="9">
        <f>IF(Table13[[#This Row],[Order_Status]] = "Cancelled",0,IF(Table13[[#This Row],[Order_Status]] = "Returned",Table13[[#This Row],[Net_Sales]] * -1,Table13[[#This Row],[Net_Sales]]))</f>
        <v>83.277000000000001</v>
      </c>
      <c r="R10" s="9" t="str">
        <f>IF(Table13[[#This Row],[Gross_Sales]]&gt;=500, "YES","NO")</f>
        <v>NO</v>
      </c>
      <c r="W10">
        <f>COUNTIF(R6:R1005,"YES")</f>
        <v>29</v>
      </c>
      <c r="X10">
        <f ca="1">COUNTIF(O5:O1005,"YES")</f>
        <v>148</v>
      </c>
      <c r="Y10">
        <f ca="1">COUNTIF(O5:O1005,"NO")</f>
        <v>851</v>
      </c>
      <c r="Z10">
        <f>COUNTIF(K6:K1005,"Returned")</f>
        <v>88</v>
      </c>
    </row>
    <row r="11" spans="1:26" x14ac:dyDescent="0.3">
      <c r="A11">
        <v>100006</v>
      </c>
      <c r="B11" s="8">
        <v>45292.208333333343</v>
      </c>
      <c r="C11" t="s">
        <v>15</v>
      </c>
      <c r="D11" t="s">
        <v>21</v>
      </c>
      <c r="E11" t="s">
        <v>68</v>
      </c>
      <c r="F11" t="s">
        <v>72</v>
      </c>
      <c r="G11">
        <v>5</v>
      </c>
      <c r="H11">
        <v>89.23</v>
      </c>
      <c r="I11">
        <v>5</v>
      </c>
      <c r="J11" t="s">
        <v>73</v>
      </c>
      <c r="K11" t="s">
        <v>77</v>
      </c>
      <c r="L11">
        <v>446.15</v>
      </c>
      <c r="M11">
        <v>22.307500000000001</v>
      </c>
      <c r="N11">
        <v>423.84249999999997</v>
      </c>
      <c r="O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 s="9" t="str">
        <f ca="1">IF(OR(ISNUMBER(Table13[[#This Row],[Order_Date]])=FALSE,Table13[[#This Row],[Order_Date]]&lt;DATE(2000,1,1),Table13[[#This Row],[Order_Date]]&gt;TODAY()),"YES","NO")</f>
        <v>NO</v>
      </c>
      <c r="Q11" s="9">
        <f>IF(Table13[[#This Row],[Order_Status]] = "Cancelled",0,IF(Table13[[#This Row],[Order_Status]] = "Returned",Table13[[#This Row],[Net_Sales]] * -1,Table13[[#This Row],[Net_Sales]]))</f>
        <v>423.84249999999997</v>
      </c>
      <c r="R11" s="9" t="str">
        <f>IF(Table13[[#This Row],[Gross_Sales]]&gt;=500, "YES","NO")</f>
        <v>NO</v>
      </c>
    </row>
    <row r="12" spans="1:26" x14ac:dyDescent="0.3">
      <c r="A12">
        <v>100007</v>
      </c>
      <c r="B12" s="8">
        <v>100007</v>
      </c>
      <c r="C12" t="s">
        <v>14</v>
      </c>
      <c r="D12" t="s">
        <v>22</v>
      </c>
      <c r="E12" t="s">
        <v>68</v>
      </c>
      <c r="F12" t="s">
        <v>71</v>
      </c>
      <c r="G12">
        <v>2</v>
      </c>
      <c r="H12">
        <v>64.22</v>
      </c>
      <c r="I12">
        <v>10</v>
      </c>
      <c r="J12" t="s">
        <v>74</v>
      </c>
      <c r="K12" t="s">
        <v>77</v>
      </c>
      <c r="L12">
        <v>128.44</v>
      </c>
      <c r="M12">
        <v>12.843999999999999</v>
      </c>
      <c r="N12">
        <v>115.596</v>
      </c>
      <c r="O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 s="9" t="str">
        <f ca="1">IF(OR(ISNUMBER(Table13[[#This Row],[Order_Date]])=FALSE,Table13[[#This Row],[Order_Date]]&lt;DATE(2000,1,1),Table13[[#This Row],[Order_Date]]&gt;TODAY()),"YES","NO")</f>
        <v>YES</v>
      </c>
      <c r="Q12" s="9">
        <f>IF(Table13[[#This Row],[Order_Status]] = "Cancelled",0,IF(Table13[[#This Row],[Order_Status]] = "Returned",Table13[[#This Row],[Net_Sales]] * -1,Table13[[#This Row],[Net_Sales]]))</f>
        <v>115.596</v>
      </c>
      <c r="R12" s="9" t="str">
        <f>IF(Table13[[#This Row],[Gross_Sales]]&gt;=500, "YES","NO")</f>
        <v>NO</v>
      </c>
    </row>
    <row r="13" spans="1:26" x14ac:dyDescent="0.3">
      <c r="A13">
        <v>100008</v>
      </c>
      <c r="B13" s="8">
        <v>45292.291666666657</v>
      </c>
      <c r="C13" t="s">
        <v>14</v>
      </c>
      <c r="D13" t="s">
        <v>23</v>
      </c>
      <c r="E13" t="s">
        <v>67</v>
      </c>
      <c r="F13" t="s">
        <v>72</v>
      </c>
      <c r="G13">
        <v>5</v>
      </c>
      <c r="H13">
        <v>23.56</v>
      </c>
      <c r="I13">
        <v>10</v>
      </c>
      <c r="J13" t="s">
        <v>73</v>
      </c>
      <c r="K13" t="s">
        <v>77</v>
      </c>
      <c r="L13">
        <v>117.8</v>
      </c>
      <c r="M13">
        <v>11.78</v>
      </c>
      <c r="N13">
        <v>106.02</v>
      </c>
      <c r="O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 s="9" t="str">
        <f ca="1">IF(OR(ISNUMBER(Table13[[#This Row],[Order_Date]])=FALSE,Table13[[#This Row],[Order_Date]]&lt;DATE(2000,1,1),Table13[[#This Row],[Order_Date]]&gt;TODAY()),"YES","NO")</f>
        <v>NO</v>
      </c>
      <c r="Q13" s="9">
        <f>IF(Table13[[#This Row],[Order_Status]] = "Cancelled",0,IF(Table13[[#This Row],[Order_Status]] = "Returned",Table13[[#This Row],[Net_Sales]] * -1,Table13[[#This Row],[Net_Sales]]))</f>
        <v>106.02</v>
      </c>
      <c r="R13" s="9" t="str">
        <f>IF(Table13[[#This Row],[Gross_Sales]]&gt;=500, "YES","NO")</f>
        <v>NO</v>
      </c>
    </row>
    <row r="14" spans="1:26" x14ac:dyDescent="0.3">
      <c r="A14">
        <v>100009</v>
      </c>
      <c r="B14" s="8">
        <v>45292.333333333343</v>
      </c>
      <c r="C14" t="s">
        <v>14</v>
      </c>
      <c r="D14" t="s">
        <v>20</v>
      </c>
      <c r="E14" t="s">
        <v>66</v>
      </c>
      <c r="F14" t="s">
        <v>72</v>
      </c>
      <c r="G14">
        <v>5</v>
      </c>
      <c r="H14">
        <v>14.61</v>
      </c>
      <c r="I14">
        <v>15</v>
      </c>
      <c r="J14" t="s">
        <v>73</v>
      </c>
      <c r="K14" t="s">
        <v>77</v>
      </c>
      <c r="L14">
        <v>73.05</v>
      </c>
      <c r="M14">
        <v>10.9575</v>
      </c>
      <c r="N14">
        <v>62.092500000000001</v>
      </c>
      <c r="O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 s="9" t="str">
        <f ca="1">IF(OR(ISNUMBER(Table13[[#This Row],[Order_Date]])=FALSE,Table13[[#This Row],[Order_Date]]&lt;DATE(2000,1,1),Table13[[#This Row],[Order_Date]]&gt;TODAY()),"YES","NO")</f>
        <v>NO</v>
      </c>
      <c r="Q14" s="9">
        <f>IF(Table13[[#This Row],[Order_Status]] = "Cancelled",0,IF(Table13[[#This Row],[Order_Status]] = "Returned",Table13[[#This Row],[Net_Sales]] * -1,Table13[[#This Row],[Net_Sales]]))</f>
        <v>62.092500000000001</v>
      </c>
      <c r="R14" s="9" t="str">
        <f>IF(Table13[[#This Row],[Gross_Sales]]&gt;=500, "YES","NO")</f>
        <v>NO</v>
      </c>
    </row>
    <row r="15" spans="1:26" x14ac:dyDescent="0.3">
      <c r="A15">
        <v>100010</v>
      </c>
      <c r="B15" s="8">
        <v>45292.375</v>
      </c>
      <c r="C15" t="s">
        <v>15</v>
      </c>
      <c r="D15" t="s">
        <v>24</v>
      </c>
      <c r="E15" t="s">
        <v>68</v>
      </c>
      <c r="F15" t="s">
        <v>72</v>
      </c>
      <c r="G15">
        <v>3</v>
      </c>
      <c r="H15">
        <v>7.2</v>
      </c>
      <c r="I15">
        <v>5</v>
      </c>
      <c r="J15" t="s">
        <v>73</v>
      </c>
      <c r="K15" t="s">
        <v>77</v>
      </c>
      <c r="L15">
        <v>21.6</v>
      </c>
      <c r="M15">
        <v>1.08</v>
      </c>
      <c r="N15">
        <v>20.52</v>
      </c>
      <c r="O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 s="9" t="str">
        <f ca="1">IF(OR(ISNUMBER(Table13[[#This Row],[Order_Date]])=FALSE,Table13[[#This Row],[Order_Date]]&lt;DATE(2000,1,1),Table13[[#This Row],[Order_Date]]&gt;TODAY()),"YES","NO")</f>
        <v>NO</v>
      </c>
      <c r="Q15" s="9">
        <f>IF(Table13[[#This Row],[Order_Status]] = "Cancelled",0,IF(Table13[[#This Row],[Order_Status]] = "Returned",Table13[[#This Row],[Net_Sales]] * -1,Table13[[#This Row],[Net_Sales]]))</f>
        <v>20.52</v>
      </c>
      <c r="R15" s="9" t="str">
        <f>IF(Table13[[#This Row],[Gross_Sales]]&gt;=500, "YES","NO")</f>
        <v>NO</v>
      </c>
    </row>
    <row r="16" spans="1:26" x14ac:dyDescent="0.3">
      <c r="A16">
        <v>100011</v>
      </c>
      <c r="B16" s="8">
        <v>45292.416666666657</v>
      </c>
      <c r="C16" t="s">
        <v>14</v>
      </c>
      <c r="D16" t="s">
        <v>25</v>
      </c>
      <c r="E16" t="s">
        <v>66</v>
      </c>
      <c r="F16" t="s">
        <v>72</v>
      </c>
      <c r="G16">
        <v>3</v>
      </c>
      <c r="H16">
        <v>24.06</v>
      </c>
      <c r="I16">
        <v>5</v>
      </c>
      <c r="J16" t="s">
        <v>76</v>
      </c>
      <c r="K16" t="s">
        <v>77</v>
      </c>
      <c r="L16">
        <v>72.179999999999993</v>
      </c>
      <c r="M16">
        <v>3.609</v>
      </c>
      <c r="N16">
        <v>68.570999999999998</v>
      </c>
      <c r="O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 s="9" t="str">
        <f ca="1">IF(OR(ISNUMBER(Table13[[#This Row],[Order_Date]])=FALSE,Table13[[#This Row],[Order_Date]]&lt;DATE(2000,1,1),Table13[[#This Row],[Order_Date]]&gt;TODAY()),"YES","NO")</f>
        <v>NO</v>
      </c>
      <c r="Q16" s="9">
        <f>IF(Table13[[#This Row],[Order_Status]] = "Cancelled",0,IF(Table13[[#This Row],[Order_Status]] = "Returned",Table13[[#This Row],[Net_Sales]] * -1,Table13[[#This Row],[Net_Sales]]))</f>
        <v>68.570999999999998</v>
      </c>
      <c r="R16" s="9" t="str">
        <f>IF(Table13[[#This Row],[Gross_Sales]]&gt;=500, "YES","NO")</f>
        <v>NO</v>
      </c>
    </row>
    <row r="17" spans="1:18" x14ac:dyDescent="0.3">
      <c r="A17">
        <v>100012</v>
      </c>
      <c r="B17" s="8">
        <v>45292.458333333343</v>
      </c>
      <c r="C17" t="s">
        <v>14</v>
      </c>
      <c r="D17" t="s">
        <v>26</v>
      </c>
      <c r="E17" t="s">
        <v>67</v>
      </c>
      <c r="F17" t="s">
        <v>71</v>
      </c>
      <c r="G17">
        <v>3</v>
      </c>
      <c r="H17">
        <v>107.45</v>
      </c>
      <c r="I17">
        <v>15</v>
      </c>
      <c r="J17" t="s">
        <v>76</v>
      </c>
      <c r="K17" t="s">
        <v>77</v>
      </c>
      <c r="L17">
        <v>322.35000000000002</v>
      </c>
      <c r="M17">
        <v>48.352499999999999</v>
      </c>
      <c r="N17">
        <v>273.9975</v>
      </c>
      <c r="O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 s="9" t="str">
        <f ca="1">IF(OR(ISNUMBER(Table13[[#This Row],[Order_Date]])=FALSE,Table13[[#This Row],[Order_Date]]&lt;DATE(2000,1,1),Table13[[#This Row],[Order_Date]]&gt;TODAY()),"YES","NO")</f>
        <v>NO</v>
      </c>
      <c r="Q17" s="9">
        <f>IF(Table13[[#This Row],[Order_Status]] = "Cancelled",0,IF(Table13[[#This Row],[Order_Status]] = "Returned",Table13[[#This Row],[Net_Sales]] * -1,Table13[[#This Row],[Net_Sales]]))</f>
        <v>273.9975</v>
      </c>
      <c r="R17" s="9" t="str">
        <f>IF(Table13[[#This Row],[Gross_Sales]]&gt;=500, "YES","NO")</f>
        <v>NO</v>
      </c>
    </row>
    <row r="18" spans="1:18" x14ac:dyDescent="0.3">
      <c r="A18">
        <v>100013</v>
      </c>
      <c r="B18" s="8">
        <v>45292.5</v>
      </c>
      <c r="C18" t="s">
        <v>14</v>
      </c>
      <c r="D18" t="s">
        <v>27</v>
      </c>
      <c r="E18" t="s">
        <v>66</v>
      </c>
      <c r="F18" t="s">
        <v>71</v>
      </c>
      <c r="G18">
        <v>2</v>
      </c>
      <c r="H18">
        <v>32.78</v>
      </c>
      <c r="I18">
        <v>5</v>
      </c>
      <c r="J18" t="s">
        <v>76</v>
      </c>
      <c r="K18" t="s">
        <v>77</v>
      </c>
      <c r="L18">
        <v>65.56</v>
      </c>
      <c r="M18">
        <v>3.278</v>
      </c>
      <c r="N18">
        <v>62.281999999999996</v>
      </c>
      <c r="O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 s="9" t="str">
        <f ca="1">IF(OR(ISNUMBER(Table13[[#This Row],[Order_Date]])=FALSE,Table13[[#This Row],[Order_Date]]&lt;DATE(2000,1,1),Table13[[#This Row],[Order_Date]]&gt;TODAY()),"YES","NO")</f>
        <v>NO</v>
      </c>
      <c r="Q18" s="9">
        <f>IF(Table13[[#This Row],[Order_Status]] = "Cancelled",0,IF(Table13[[#This Row],[Order_Status]] = "Returned",Table13[[#This Row],[Net_Sales]] * -1,Table13[[#This Row],[Net_Sales]]))</f>
        <v>62.281999999999996</v>
      </c>
      <c r="R18" s="9" t="str">
        <f>IF(Table13[[#This Row],[Gross_Sales]]&gt;=500, "YES","NO")</f>
        <v>NO</v>
      </c>
    </row>
    <row r="19" spans="1:18" x14ac:dyDescent="0.3">
      <c r="A19">
        <v>100014</v>
      </c>
      <c r="B19" s="8">
        <v>45292.541666666657</v>
      </c>
      <c r="C19" t="s">
        <v>14</v>
      </c>
      <c r="D19" t="s">
        <v>28</v>
      </c>
      <c r="E19" t="s">
        <v>70</v>
      </c>
      <c r="F19" t="s">
        <v>72</v>
      </c>
      <c r="G19">
        <v>2</v>
      </c>
      <c r="H19">
        <v>45.74</v>
      </c>
      <c r="I19">
        <v>0</v>
      </c>
      <c r="J19" t="s">
        <v>74</v>
      </c>
      <c r="K19" t="s">
        <v>78</v>
      </c>
      <c r="L19">
        <v>91.48</v>
      </c>
      <c r="M19">
        <v>0</v>
      </c>
      <c r="N19">
        <v>91.48</v>
      </c>
      <c r="O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9" s="9" t="str">
        <f ca="1">IF(OR(ISNUMBER(Table13[[#This Row],[Order_Date]])=FALSE,Table13[[#This Row],[Order_Date]]&lt;DATE(2000,1,1),Table13[[#This Row],[Order_Date]]&gt;TODAY()),"YES","NO")</f>
        <v>NO</v>
      </c>
      <c r="Q19" s="9">
        <f>IF(Table13[[#This Row],[Order_Status]] = "Cancelled",0,IF(Table13[[#This Row],[Order_Status]] = "Returned",Table13[[#This Row],[Net_Sales]] * -1,Table13[[#This Row],[Net_Sales]]))</f>
        <v>-91.48</v>
      </c>
      <c r="R19" s="9" t="str">
        <f>IF(Table13[[#This Row],[Gross_Sales]]&gt;=500, "YES","NO")</f>
        <v>NO</v>
      </c>
    </row>
    <row r="20" spans="1:18" x14ac:dyDescent="0.3">
      <c r="A20">
        <v>100015</v>
      </c>
      <c r="B20" s="8">
        <v>45292.583333333343</v>
      </c>
      <c r="C20" t="s">
        <v>15</v>
      </c>
      <c r="D20" t="s">
        <v>29</v>
      </c>
      <c r="E20" t="s">
        <v>69</v>
      </c>
      <c r="F20" t="s">
        <v>72</v>
      </c>
      <c r="G20">
        <v>5</v>
      </c>
      <c r="H20">
        <v>17.11</v>
      </c>
      <c r="I20">
        <v>5</v>
      </c>
      <c r="J20" t="s">
        <v>73</v>
      </c>
      <c r="K20" t="s">
        <v>77</v>
      </c>
      <c r="L20">
        <v>85.55</v>
      </c>
      <c r="M20">
        <v>4.2774999999999999</v>
      </c>
      <c r="N20">
        <v>81.272499999999994</v>
      </c>
      <c r="O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 s="9" t="str">
        <f ca="1">IF(OR(ISNUMBER(Table13[[#This Row],[Order_Date]])=FALSE,Table13[[#This Row],[Order_Date]]&lt;DATE(2000,1,1),Table13[[#This Row],[Order_Date]]&gt;TODAY()),"YES","NO")</f>
        <v>NO</v>
      </c>
      <c r="Q20" s="9">
        <f>IF(Table13[[#This Row],[Order_Status]] = "Cancelled",0,IF(Table13[[#This Row],[Order_Status]] = "Returned",Table13[[#This Row],[Net_Sales]] * -1,Table13[[#This Row],[Net_Sales]]))</f>
        <v>81.272499999999994</v>
      </c>
      <c r="R20" s="9" t="str">
        <f>IF(Table13[[#This Row],[Gross_Sales]]&gt;=500, "YES","NO")</f>
        <v>NO</v>
      </c>
    </row>
    <row r="21" spans="1:18" x14ac:dyDescent="0.3">
      <c r="A21">
        <v>100016</v>
      </c>
      <c r="B21" s="8">
        <v>45292.625</v>
      </c>
      <c r="C21" t="s">
        <v>14</v>
      </c>
      <c r="D21" t="s">
        <v>30</v>
      </c>
      <c r="E21" t="s">
        <v>68</v>
      </c>
      <c r="F21" t="s">
        <v>71</v>
      </c>
      <c r="G21">
        <v>3</v>
      </c>
      <c r="H21">
        <v>30.57</v>
      </c>
      <c r="I21">
        <v>15</v>
      </c>
      <c r="J21" t="s">
        <v>73</v>
      </c>
      <c r="K21" t="s">
        <v>77</v>
      </c>
      <c r="L21">
        <v>91.710000000000008</v>
      </c>
      <c r="M21">
        <v>13.756500000000001</v>
      </c>
      <c r="N21">
        <v>77.953500000000005</v>
      </c>
      <c r="O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 s="9" t="str">
        <f ca="1">IF(OR(ISNUMBER(Table13[[#This Row],[Order_Date]])=FALSE,Table13[[#This Row],[Order_Date]]&lt;DATE(2000,1,1),Table13[[#This Row],[Order_Date]]&gt;TODAY()),"YES","NO")</f>
        <v>NO</v>
      </c>
      <c r="Q21" s="9">
        <f>IF(Table13[[#This Row],[Order_Status]] = "Cancelled",0,IF(Table13[[#This Row],[Order_Status]] = "Returned",Table13[[#This Row],[Net_Sales]] * -1,Table13[[#This Row],[Net_Sales]]))</f>
        <v>77.953500000000005</v>
      </c>
      <c r="R21" s="9" t="str">
        <f>IF(Table13[[#This Row],[Gross_Sales]]&gt;=500, "YES","NO")</f>
        <v>NO</v>
      </c>
    </row>
    <row r="22" spans="1:18" x14ac:dyDescent="0.3">
      <c r="A22">
        <v>100017</v>
      </c>
      <c r="B22" s="8">
        <v>45292.666666666657</v>
      </c>
      <c r="C22" t="s">
        <v>15</v>
      </c>
      <c r="D22" t="s">
        <v>31</v>
      </c>
      <c r="E22" t="s">
        <v>69</v>
      </c>
      <c r="F22" t="s">
        <v>72</v>
      </c>
      <c r="G22">
        <v>2</v>
      </c>
      <c r="H22">
        <v>64.709999999999994</v>
      </c>
      <c r="I22">
        <v>0</v>
      </c>
      <c r="J22" t="s">
        <v>76</v>
      </c>
      <c r="K22" t="s">
        <v>77</v>
      </c>
      <c r="L22">
        <v>129.41999999999999</v>
      </c>
      <c r="M22">
        <v>0</v>
      </c>
      <c r="N22">
        <v>129.41999999999999</v>
      </c>
      <c r="O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 s="9" t="str">
        <f ca="1">IF(OR(ISNUMBER(Table13[[#This Row],[Order_Date]])=FALSE,Table13[[#This Row],[Order_Date]]&lt;DATE(2000,1,1),Table13[[#This Row],[Order_Date]]&gt;TODAY()),"YES","NO")</f>
        <v>NO</v>
      </c>
      <c r="Q22" s="9">
        <f>IF(Table13[[#This Row],[Order_Status]] = "Cancelled",0,IF(Table13[[#This Row],[Order_Status]] = "Returned",Table13[[#This Row],[Net_Sales]] * -1,Table13[[#This Row],[Net_Sales]]))</f>
        <v>129.41999999999999</v>
      </c>
      <c r="R22" s="9" t="str">
        <f>IF(Table13[[#This Row],[Gross_Sales]]&gt;=500, "YES","NO")</f>
        <v>NO</v>
      </c>
    </row>
    <row r="23" spans="1:18" x14ac:dyDescent="0.3">
      <c r="A23">
        <v>100018</v>
      </c>
      <c r="B23" s="8">
        <v>45292.708333333343</v>
      </c>
      <c r="C23" t="s">
        <v>15</v>
      </c>
      <c r="D23" t="s">
        <v>32</v>
      </c>
      <c r="E23" t="s">
        <v>66</v>
      </c>
      <c r="F23" t="s">
        <v>71</v>
      </c>
      <c r="G23">
        <v>1</v>
      </c>
      <c r="H23">
        <v>74.89</v>
      </c>
      <c r="I23">
        <v>10</v>
      </c>
      <c r="J23" t="s">
        <v>73</v>
      </c>
      <c r="K23" t="s">
        <v>77</v>
      </c>
      <c r="L23">
        <v>74.89</v>
      </c>
      <c r="M23">
        <v>7.4890000000000008</v>
      </c>
      <c r="N23">
        <v>67.400999999999996</v>
      </c>
      <c r="O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 s="9" t="str">
        <f ca="1">IF(OR(ISNUMBER(Table13[[#This Row],[Order_Date]])=FALSE,Table13[[#This Row],[Order_Date]]&lt;DATE(2000,1,1),Table13[[#This Row],[Order_Date]]&gt;TODAY()),"YES","NO")</f>
        <v>NO</v>
      </c>
      <c r="Q23" s="9">
        <f>IF(Table13[[#This Row],[Order_Status]] = "Cancelled",0,IF(Table13[[#This Row],[Order_Status]] = "Returned",Table13[[#This Row],[Net_Sales]] * -1,Table13[[#This Row],[Net_Sales]]))</f>
        <v>67.400999999999996</v>
      </c>
      <c r="R23" s="9" t="str">
        <f>IF(Table13[[#This Row],[Gross_Sales]]&gt;=500, "YES","NO")</f>
        <v>NO</v>
      </c>
    </row>
    <row r="24" spans="1:18" x14ac:dyDescent="0.3">
      <c r="A24">
        <v>100019</v>
      </c>
      <c r="B24" s="8">
        <v>45292.75</v>
      </c>
      <c r="C24" t="s">
        <v>15</v>
      </c>
      <c r="D24" t="s">
        <v>33</v>
      </c>
      <c r="E24" t="s">
        <v>68</v>
      </c>
      <c r="F24" t="s">
        <v>72</v>
      </c>
      <c r="G24">
        <v>5</v>
      </c>
      <c r="H24">
        <v>33.22</v>
      </c>
      <c r="I24">
        <v>15</v>
      </c>
      <c r="J24" t="s">
        <v>73</v>
      </c>
      <c r="K24" t="s">
        <v>77</v>
      </c>
      <c r="L24">
        <v>166.1</v>
      </c>
      <c r="M24">
        <v>24.914999999999999</v>
      </c>
      <c r="N24">
        <v>141.185</v>
      </c>
      <c r="O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 s="9" t="str">
        <f ca="1">IF(OR(ISNUMBER(Table13[[#This Row],[Order_Date]])=FALSE,Table13[[#This Row],[Order_Date]]&lt;DATE(2000,1,1),Table13[[#This Row],[Order_Date]]&gt;TODAY()),"YES","NO")</f>
        <v>NO</v>
      </c>
      <c r="Q24" s="9">
        <f>IF(Table13[[#This Row],[Order_Status]] = "Cancelled",0,IF(Table13[[#This Row],[Order_Status]] = "Returned",Table13[[#This Row],[Net_Sales]] * -1,Table13[[#This Row],[Net_Sales]]))</f>
        <v>141.185</v>
      </c>
      <c r="R24" s="9" t="str">
        <f>IF(Table13[[#This Row],[Gross_Sales]]&gt;=500, "YES","NO")</f>
        <v>NO</v>
      </c>
    </row>
    <row r="25" spans="1:18" x14ac:dyDescent="0.3">
      <c r="A25">
        <v>100020</v>
      </c>
      <c r="B25" s="8">
        <v>45292.791666666657</v>
      </c>
      <c r="C25" t="s">
        <v>14</v>
      </c>
      <c r="D25" t="s">
        <v>34</v>
      </c>
      <c r="E25" t="s">
        <v>66</v>
      </c>
      <c r="F25" t="s">
        <v>72</v>
      </c>
      <c r="G25">
        <v>4</v>
      </c>
      <c r="H25">
        <v>11.64</v>
      </c>
      <c r="I25">
        <v>15</v>
      </c>
      <c r="J25" t="s">
        <v>75</v>
      </c>
      <c r="K25" t="s">
        <v>77</v>
      </c>
      <c r="L25">
        <v>46.56</v>
      </c>
      <c r="M25">
        <v>6.984</v>
      </c>
      <c r="N25">
        <v>39.576000000000001</v>
      </c>
      <c r="O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 s="9" t="str">
        <f ca="1">IF(OR(ISNUMBER(Table13[[#This Row],[Order_Date]])=FALSE,Table13[[#This Row],[Order_Date]]&lt;DATE(2000,1,1),Table13[[#This Row],[Order_Date]]&gt;TODAY()),"YES","NO")</f>
        <v>NO</v>
      </c>
      <c r="Q25" s="9">
        <f>IF(Table13[[#This Row],[Order_Status]] = "Cancelled",0,IF(Table13[[#This Row],[Order_Status]] = "Returned",Table13[[#This Row],[Net_Sales]] * -1,Table13[[#This Row],[Net_Sales]]))</f>
        <v>39.576000000000001</v>
      </c>
      <c r="R25" s="9" t="str">
        <f>IF(Table13[[#This Row],[Gross_Sales]]&gt;=500, "YES","NO")</f>
        <v>NO</v>
      </c>
    </row>
    <row r="26" spans="1:18" x14ac:dyDescent="0.3">
      <c r="A26">
        <v>100021</v>
      </c>
      <c r="B26" s="8">
        <v>45292.833333333343</v>
      </c>
      <c r="C26" t="s">
        <v>15</v>
      </c>
      <c r="D26" t="s">
        <v>35</v>
      </c>
      <c r="E26" t="s">
        <v>70</v>
      </c>
      <c r="F26" t="s">
        <v>71</v>
      </c>
      <c r="G26">
        <v>5</v>
      </c>
      <c r="H26">
        <v>49.97</v>
      </c>
      <c r="I26">
        <v>10</v>
      </c>
      <c r="J26" t="s">
        <v>73</v>
      </c>
      <c r="K26" t="s">
        <v>77</v>
      </c>
      <c r="L26">
        <v>249.85</v>
      </c>
      <c r="M26">
        <v>24.984999999999999</v>
      </c>
      <c r="N26">
        <v>224.86500000000001</v>
      </c>
      <c r="O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 s="9" t="str">
        <f ca="1">IF(OR(ISNUMBER(Table13[[#This Row],[Order_Date]])=FALSE,Table13[[#This Row],[Order_Date]]&lt;DATE(2000,1,1),Table13[[#This Row],[Order_Date]]&gt;TODAY()),"YES","NO")</f>
        <v>NO</v>
      </c>
      <c r="Q26" s="9">
        <f>IF(Table13[[#This Row],[Order_Status]] = "Cancelled",0,IF(Table13[[#This Row],[Order_Status]] = "Returned",Table13[[#This Row],[Net_Sales]] * -1,Table13[[#This Row],[Net_Sales]]))</f>
        <v>224.86500000000001</v>
      </c>
      <c r="R26" s="9" t="str">
        <f>IF(Table13[[#This Row],[Gross_Sales]]&gt;=500, "YES","NO")</f>
        <v>NO</v>
      </c>
    </row>
    <row r="27" spans="1:18" x14ac:dyDescent="0.3">
      <c r="A27">
        <v>100022</v>
      </c>
      <c r="B27" s="8">
        <v>45292.875</v>
      </c>
      <c r="C27" t="s">
        <v>14</v>
      </c>
      <c r="D27" t="s">
        <v>28</v>
      </c>
      <c r="E27" t="s">
        <v>67</v>
      </c>
      <c r="F27" t="s">
        <v>71</v>
      </c>
      <c r="G27">
        <v>4</v>
      </c>
      <c r="H27">
        <v>31.93</v>
      </c>
      <c r="I27">
        <v>15</v>
      </c>
      <c r="J27" t="s">
        <v>75</v>
      </c>
      <c r="K27" t="s">
        <v>77</v>
      </c>
      <c r="L27">
        <v>127.72</v>
      </c>
      <c r="M27">
        <v>19.158000000000001</v>
      </c>
      <c r="N27">
        <v>108.562</v>
      </c>
      <c r="O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 s="9" t="str">
        <f ca="1">IF(OR(ISNUMBER(Table13[[#This Row],[Order_Date]])=FALSE,Table13[[#This Row],[Order_Date]]&lt;DATE(2000,1,1),Table13[[#This Row],[Order_Date]]&gt;TODAY()),"YES","NO")</f>
        <v>NO</v>
      </c>
      <c r="Q27" s="9">
        <f>IF(Table13[[#This Row],[Order_Status]] = "Cancelled",0,IF(Table13[[#This Row],[Order_Status]] = "Returned",Table13[[#This Row],[Net_Sales]] * -1,Table13[[#This Row],[Net_Sales]]))</f>
        <v>108.562</v>
      </c>
      <c r="R27" s="9" t="str">
        <f>IF(Table13[[#This Row],[Gross_Sales]]&gt;=500, "YES","NO")</f>
        <v>NO</v>
      </c>
    </row>
    <row r="28" spans="1:18" x14ac:dyDescent="0.3">
      <c r="A28">
        <v>100023</v>
      </c>
      <c r="B28" s="8">
        <v>45292.916666666657</v>
      </c>
      <c r="C28" t="s">
        <v>15</v>
      </c>
      <c r="D28" t="s">
        <v>18</v>
      </c>
      <c r="E28" t="s">
        <v>68</v>
      </c>
      <c r="F28" t="s">
        <v>71</v>
      </c>
      <c r="G28">
        <v>3</v>
      </c>
      <c r="H28">
        <v>30.25</v>
      </c>
      <c r="I28">
        <v>5</v>
      </c>
      <c r="J28" t="s">
        <v>73</v>
      </c>
      <c r="K28" t="s">
        <v>77</v>
      </c>
      <c r="L28">
        <v>90.75</v>
      </c>
      <c r="M28">
        <v>4.5375000000000014</v>
      </c>
      <c r="N28">
        <v>86.212500000000006</v>
      </c>
      <c r="O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 s="9" t="str">
        <f ca="1">IF(OR(ISNUMBER(Table13[[#This Row],[Order_Date]])=FALSE,Table13[[#This Row],[Order_Date]]&lt;DATE(2000,1,1),Table13[[#This Row],[Order_Date]]&gt;TODAY()),"YES","NO")</f>
        <v>NO</v>
      </c>
      <c r="Q28" s="9">
        <f>IF(Table13[[#This Row],[Order_Status]] = "Cancelled",0,IF(Table13[[#This Row],[Order_Status]] = "Returned",Table13[[#This Row],[Net_Sales]] * -1,Table13[[#This Row],[Net_Sales]]))</f>
        <v>86.212500000000006</v>
      </c>
      <c r="R28" s="9" t="str">
        <f>IF(Table13[[#This Row],[Gross_Sales]]&gt;=500, "YES","NO")</f>
        <v>NO</v>
      </c>
    </row>
    <row r="29" spans="1:18" x14ac:dyDescent="0.3">
      <c r="A29">
        <v>100024</v>
      </c>
      <c r="B29" s="8">
        <v>45292.958333333343</v>
      </c>
      <c r="C29" t="s">
        <v>15</v>
      </c>
      <c r="D29" t="s">
        <v>36</v>
      </c>
      <c r="E29" t="s">
        <v>70</v>
      </c>
      <c r="F29" t="s">
        <v>71</v>
      </c>
      <c r="G29">
        <v>4</v>
      </c>
      <c r="H29">
        <v>115.38</v>
      </c>
      <c r="I29">
        <v>10</v>
      </c>
      <c r="J29" t="s">
        <v>74</v>
      </c>
      <c r="K29" t="s">
        <v>77</v>
      </c>
      <c r="L29">
        <v>461.52</v>
      </c>
      <c r="M29">
        <v>46.152000000000001</v>
      </c>
      <c r="N29">
        <v>415.36799999999999</v>
      </c>
      <c r="O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 s="9" t="str">
        <f ca="1">IF(OR(ISNUMBER(Table13[[#This Row],[Order_Date]])=FALSE,Table13[[#This Row],[Order_Date]]&lt;DATE(2000,1,1),Table13[[#This Row],[Order_Date]]&gt;TODAY()),"YES","NO")</f>
        <v>NO</v>
      </c>
      <c r="Q29" s="9">
        <f>IF(Table13[[#This Row],[Order_Status]] = "Cancelled",0,IF(Table13[[#This Row],[Order_Status]] = "Returned",Table13[[#This Row],[Net_Sales]] * -1,Table13[[#This Row],[Net_Sales]]))</f>
        <v>415.36799999999999</v>
      </c>
      <c r="R29" s="9" t="str">
        <f>IF(Table13[[#This Row],[Gross_Sales]]&gt;=500, "YES","NO")</f>
        <v>NO</v>
      </c>
    </row>
    <row r="30" spans="1:18" x14ac:dyDescent="0.3">
      <c r="A30">
        <v>100025</v>
      </c>
      <c r="B30" s="8">
        <v>45293</v>
      </c>
      <c r="C30" t="s">
        <v>15</v>
      </c>
      <c r="D30" t="s">
        <v>27</v>
      </c>
      <c r="E30" t="s">
        <v>70</v>
      </c>
      <c r="F30" t="s">
        <v>72</v>
      </c>
      <c r="G30">
        <v>3</v>
      </c>
      <c r="H30">
        <v>75.87</v>
      </c>
      <c r="I30">
        <v>15</v>
      </c>
      <c r="J30" t="s">
        <v>76</v>
      </c>
      <c r="K30" t="s">
        <v>77</v>
      </c>
      <c r="L30">
        <v>227.61</v>
      </c>
      <c r="M30">
        <v>34.141500000000001</v>
      </c>
      <c r="N30">
        <v>193.46850000000001</v>
      </c>
      <c r="O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 s="9" t="str">
        <f ca="1">IF(OR(ISNUMBER(Table13[[#This Row],[Order_Date]])=FALSE,Table13[[#This Row],[Order_Date]]&lt;DATE(2000,1,1),Table13[[#This Row],[Order_Date]]&gt;TODAY()),"YES","NO")</f>
        <v>NO</v>
      </c>
      <c r="Q30" s="9">
        <f>IF(Table13[[#This Row],[Order_Status]] = "Cancelled",0,IF(Table13[[#This Row],[Order_Status]] = "Returned",Table13[[#This Row],[Net_Sales]] * -1,Table13[[#This Row],[Net_Sales]]))</f>
        <v>193.46850000000001</v>
      </c>
      <c r="R30" s="9" t="str">
        <f>IF(Table13[[#This Row],[Gross_Sales]]&gt;=500, "YES","NO")</f>
        <v>NO</v>
      </c>
    </row>
    <row r="31" spans="1:18" x14ac:dyDescent="0.3">
      <c r="A31">
        <v>100026</v>
      </c>
      <c r="B31" s="8">
        <v>45293.041666666657</v>
      </c>
      <c r="C31" t="s">
        <v>15</v>
      </c>
      <c r="D31" t="s">
        <v>37</v>
      </c>
      <c r="E31" t="s">
        <v>68</v>
      </c>
      <c r="F31" t="s">
        <v>71</v>
      </c>
      <c r="G31">
        <v>1</v>
      </c>
      <c r="H31">
        <v>69.040000000000006</v>
      </c>
      <c r="I31">
        <v>10</v>
      </c>
      <c r="J31" t="s">
        <v>75</v>
      </c>
      <c r="K31" t="s">
        <v>77</v>
      </c>
      <c r="L31">
        <v>69.040000000000006</v>
      </c>
      <c r="M31">
        <v>6.9040000000000008</v>
      </c>
      <c r="N31">
        <v>62.136000000000003</v>
      </c>
      <c r="O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 s="9" t="str">
        <f ca="1">IF(OR(ISNUMBER(Table13[[#This Row],[Order_Date]])=FALSE,Table13[[#This Row],[Order_Date]]&lt;DATE(2000,1,1),Table13[[#This Row],[Order_Date]]&gt;TODAY()),"YES","NO")</f>
        <v>NO</v>
      </c>
      <c r="Q31" s="9">
        <f>IF(Table13[[#This Row],[Order_Status]] = "Cancelled",0,IF(Table13[[#This Row],[Order_Status]] = "Returned",Table13[[#This Row],[Net_Sales]] * -1,Table13[[#This Row],[Net_Sales]]))</f>
        <v>62.136000000000003</v>
      </c>
      <c r="R31" s="9" t="str">
        <f>IF(Table13[[#This Row],[Gross_Sales]]&gt;=500, "YES","NO")</f>
        <v>NO</v>
      </c>
    </row>
    <row r="32" spans="1:18" x14ac:dyDescent="0.3">
      <c r="A32">
        <v>100027</v>
      </c>
      <c r="B32" s="8">
        <v>45293.083333333343</v>
      </c>
      <c r="C32" t="s">
        <v>15</v>
      </c>
      <c r="D32" t="s">
        <v>29</v>
      </c>
      <c r="E32" t="s">
        <v>66</v>
      </c>
      <c r="F32" t="s">
        <v>72</v>
      </c>
      <c r="G32">
        <v>4</v>
      </c>
      <c r="H32">
        <v>52.81</v>
      </c>
      <c r="I32">
        <v>10</v>
      </c>
      <c r="J32" t="s">
        <v>76</v>
      </c>
      <c r="K32" t="s">
        <v>79</v>
      </c>
      <c r="L32">
        <v>211.24</v>
      </c>
      <c r="M32">
        <v>21.123999999999999</v>
      </c>
      <c r="N32">
        <v>190.11600000000001</v>
      </c>
      <c r="O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2" s="9" t="str">
        <f ca="1">IF(OR(ISNUMBER(Table13[[#This Row],[Order_Date]])=FALSE,Table13[[#This Row],[Order_Date]]&lt;DATE(2000,1,1),Table13[[#This Row],[Order_Date]]&gt;TODAY()),"YES","NO")</f>
        <v>NO</v>
      </c>
      <c r="Q32" s="9">
        <f>IF(Table13[[#This Row],[Order_Status]] = "Cancelled",0,IF(Table13[[#This Row],[Order_Status]] = "Returned",Table13[[#This Row],[Net_Sales]] * -1,Table13[[#This Row],[Net_Sales]]))</f>
        <v>0</v>
      </c>
      <c r="R32" s="9" t="str">
        <f>IF(Table13[[#This Row],[Gross_Sales]]&gt;=500, "YES","NO")</f>
        <v>NO</v>
      </c>
    </row>
    <row r="33" spans="1:18" x14ac:dyDescent="0.3">
      <c r="A33">
        <v>100028</v>
      </c>
      <c r="B33" s="8">
        <v>45293.125</v>
      </c>
      <c r="C33" t="s">
        <v>15</v>
      </c>
      <c r="D33" t="s">
        <v>38</v>
      </c>
      <c r="E33" t="s">
        <v>70</v>
      </c>
      <c r="F33" t="s">
        <v>71</v>
      </c>
      <c r="G33">
        <v>5</v>
      </c>
      <c r="H33">
        <v>54.33</v>
      </c>
      <c r="I33">
        <v>10</v>
      </c>
      <c r="J33" t="s">
        <v>75</v>
      </c>
      <c r="K33" t="s">
        <v>77</v>
      </c>
      <c r="L33">
        <v>271.64999999999998</v>
      </c>
      <c r="M33">
        <v>27.164999999999999</v>
      </c>
      <c r="N33">
        <v>244.48500000000001</v>
      </c>
      <c r="O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 s="9" t="str">
        <f ca="1">IF(OR(ISNUMBER(Table13[[#This Row],[Order_Date]])=FALSE,Table13[[#This Row],[Order_Date]]&lt;DATE(2000,1,1),Table13[[#This Row],[Order_Date]]&gt;TODAY()),"YES","NO")</f>
        <v>NO</v>
      </c>
      <c r="Q33" s="9">
        <f>IF(Table13[[#This Row],[Order_Status]] = "Cancelled",0,IF(Table13[[#This Row],[Order_Status]] = "Returned",Table13[[#This Row],[Net_Sales]] * -1,Table13[[#This Row],[Net_Sales]]))</f>
        <v>244.48500000000001</v>
      </c>
      <c r="R33" s="9" t="str">
        <f>IF(Table13[[#This Row],[Gross_Sales]]&gt;=500, "YES","NO")</f>
        <v>NO</v>
      </c>
    </row>
    <row r="34" spans="1:18" x14ac:dyDescent="0.3">
      <c r="A34">
        <v>100029</v>
      </c>
      <c r="B34" s="8">
        <v>45293.166666666657</v>
      </c>
      <c r="C34" t="s">
        <v>15</v>
      </c>
      <c r="D34" t="s">
        <v>39</v>
      </c>
      <c r="E34" t="s">
        <v>69</v>
      </c>
      <c r="F34" t="s">
        <v>71</v>
      </c>
      <c r="G34">
        <v>3</v>
      </c>
      <c r="H34">
        <v>67.2</v>
      </c>
      <c r="I34">
        <v>0</v>
      </c>
      <c r="J34" t="s">
        <v>75</v>
      </c>
      <c r="K34" t="s">
        <v>77</v>
      </c>
      <c r="L34">
        <v>201.6</v>
      </c>
      <c r="M34">
        <v>0</v>
      </c>
      <c r="N34">
        <v>201.6</v>
      </c>
      <c r="O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 s="9" t="str">
        <f ca="1">IF(OR(ISNUMBER(Table13[[#This Row],[Order_Date]])=FALSE,Table13[[#This Row],[Order_Date]]&lt;DATE(2000,1,1),Table13[[#This Row],[Order_Date]]&gt;TODAY()),"YES","NO")</f>
        <v>NO</v>
      </c>
      <c r="Q34" s="9">
        <f>IF(Table13[[#This Row],[Order_Status]] = "Cancelled",0,IF(Table13[[#This Row],[Order_Status]] = "Returned",Table13[[#This Row],[Net_Sales]] * -1,Table13[[#This Row],[Net_Sales]]))</f>
        <v>201.6</v>
      </c>
      <c r="R34" s="9" t="str">
        <f>IF(Table13[[#This Row],[Gross_Sales]]&gt;=500, "YES","NO")</f>
        <v>NO</v>
      </c>
    </row>
    <row r="35" spans="1:18" x14ac:dyDescent="0.3">
      <c r="A35">
        <v>100030</v>
      </c>
      <c r="B35" s="8">
        <v>45293.208333333343</v>
      </c>
      <c r="C35" t="s">
        <v>15</v>
      </c>
      <c r="D35" t="s">
        <v>40</v>
      </c>
      <c r="E35" t="s">
        <v>70</v>
      </c>
      <c r="F35" t="s">
        <v>72</v>
      </c>
      <c r="G35">
        <v>5</v>
      </c>
      <c r="H35">
        <v>85.09</v>
      </c>
      <c r="I35">
        <v>15</v>
      </c>
      <c r="J35" t="s">
        <v>75</v>
      </c>
      <c r="K35" t="s">
        <v>78</v>
      </c>
      <c r="L35">
        <v>425.45</v>
      </c>
      <c r="M35">
        <v>63.817500000000003</v>
      </c>
      <c r="N35">
        <v>361.63250000000011</v>
      </c>
      <c r="O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5" s="9" t="str">
        <f ca="1">IF(OR(ISNUMBER(Table13[[#This Row],[Order_Date]])=FALSE,Table13[[#This Row],[Order_Date]]&lt;DATE(2000,1,1),Table13[[#This Row],[Order_Date]]&gt;TODAY()),"YES","NO")</f>
        <v>NO</v>
      </c>
      <c r="Q35" s="9">
        <f>IF(Table13[[#This Row],[Order_Status]] = "Cancelled",0,IF(Table13[[#This Row],[Order_Status]] = "Returned",Table13[[#This Row],[Net_Sales]] * -1,Table13[[#This Row],[Net_Sales]]))</f>
        <v>-361.63250000000011</v>
      </c>
      <c r="R35" s="9" t="str">
        <f>IF(Table13[[#This Row],[Gross_Sales]]&gt;=500, "YES","NO")</f>
        <v>NO</v>
      </c>
    </row>
    <row r="36" spans="1:18" x14ac:dyDescent="0.3">
      <c r="A36">
        <v>100031</v>
      </c>
      <c r="B36" s="8">
        <v>45293.25</v>
      </c>
      <c r="C36" t="s">
        <v>14</v>
      </c>
      <c r="D36" t="s">
        <v>41</v>
      </c>
      <c r="E36" t="s">
        <v>66</v>
      </c>
      <c r="F36" t="s">
        <v>71</v>
      </c>
      <c r="G36">
        <v>2</v>
      </c>
      <c r="H36">
        <v>85.75</v>
      </c>
      <c r="I36">
        <v>0</v>
      </c>
      <c r="J36" t="s">
        <v>74</v>
      </c>
      <c r="K36" t="s">
        <v>77</v>
      </c>
      <c r="L36">
        <v>171.5</v>
      </c>
      <c r="M36">
        <v>0</v>
      </c>
      <c r="N36">
        <v>171.5</v>
      </c>
      <c r="O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 s="9" t="str">
        <f ca="1">IF(OR(ISNUMBER(Table13[[#This Row],[Order_Date]])=FALSE,Table13[[#This Row],[Order_Date]]&lt;DATE(2000,1,1),Table13[[#This Row],[Order_Date]]&gt;TODAY()),"YES","NO")</f>
        <v>NO</v>
      </c>
      <c r="Q36" s="9">
        <f>IF(Table13[[#This Row],[Order_Status]] = "Cancelled",0,IF(Table13[[#This Row],[Order_Status]] = "Returned",Table13[[#This Row],[Net_Sales]] * -1,Table13[[#This Row],[Net_Sales]]))</f>
        <v>171.5</v>
      </c>
      <c r="R36" s="9" t="str">
        <f>IF(Table13[[#This Row],[Gross_Sales]]&gt;=500, "YES","NO")</f>
        <v>NO</v>
      </c>
    </row>
    <row r="37" spans="1:18" x14ac:dyDescent="0.3">
      <c r="A37">
        <v>100032</v>
      </c>
      <c r="B37" s="8">
        <v>45293.291666666657</v>
      </c>
      <c r="C37" t="s">
        <v>14</v>
      </c>
      <c r="D37" t="s">
        <v>30</v>
      </c>
      <c r="E37" t="s">
        <v>66</v>
      </c>
      <c r="F37" t="s">
        <v>71</v>
      </c>
      <c r="G37">
        <v>3</v>
      </c>
      <c r="H37">
        <v>24.74</v>
      </c>
      <c r="I37">
        <v>15</v>
      </c>
      <c r="J37" t="s">
        <v>73</v>
      </c>
      <c r="K37" t="s">
        <v>77</v>
      </c>
      <c r="L37">
        <v>74.22</v>
      </c>
      <c r="M37">
        <v>11.132999999999999</v>
      </c>
      <c r="N37">
        <v>63.087000000000003</v>
      </c>
      <c r="O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 s="9" t="str">
        <f ca="1">IF(OR(ISNUMBER(Table13[[#This Row],[Order_Date]])=FALSE,Table13[[#This Row],[Order_Date]]&lt;DATE(2000,1,1),Table13[[#This Row],[Order_Date]]&gt;TODAY()),"YES","NO")</f>
        <v>NO</v>
      </c>
      <c r="Q37" s="9">
        <f>IF(Table13[[#This Row],[Order_Status]] = "Cancelled",0,IF(Table13[[#This Row],[Order_Status]] = "Returned",Table13[[#This Row],[Net_Sales]] * -1,Table13[[#This Row],[Net_Sales]]))</f>
        <v>63.087000000000003</v>
      </c>
      <c r="R37" s="9" t="str">
        <f>IF(Table13[[#This Row],[Gross_Sales]]&gt;=500, "YES","NO")</f>
        <v>NO</v>
      </c>
    </row>
    <row r="38" spans="1:18" x14ac:dyDescent="0.3">
      <c r="A38">
        <v>100033</v>
      </c>
      <c r="B38" s="8">
        <v>45293.333333333343</v>
      </c>
      <c r="C38" t="s">
        <v>15</v>
      </c>
      <c r="D38" t="s">
        <v>42</v>
      </c>
      <c r="E38" t="s">
        <v>69</v>
      </c>
      <c r="F38" t="s">
        <v>71</v>
      </c>
      <c r="G38">
        <v>4</v>
      </c>
      <c r="H38">
        <v>62.51</v>
      </c>
      <c r="I38">
        <v>5</v>
      </c>
      <c r="J38" t="s">
        <v>75</v>
      </c>
      <c r="K38" t="s">
        <v>77</v>
      </c>
      <c r="L38">
        <v>250.04</v>
      </c>
      <c r="M38">
        <v>12.502000000000001</v>
      </c>
      <c r="N38">
        <v>237.53800000000001</v>
      </c>
      <c r="O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 s="9" t="str">
        <f ca="1">IF(OR(ISNUMBER(Table13[[#This Row],[Order_Date]])=FALSE,Table13[[#This Row],[Order_Date]]&lt;DATE(2000,1,1),Table13[[#This Row],[Order_Date]]&gt;TODAY()),"YES","NO")</f>
        <v>NO</v>
      </c>
      <c r="Q38" s="9">
        <f>IF(Table13[[#This Row],[Order_Status]] = "Cancelled",0,IF(Table13[[#This Row],[Order_Status]] = "Returned",Table13[[#This Row],[Net_Sales]] * -1,Table13[[#This Row],[Net_Sales]]))</f>
        <v>237.53800000000001</v>
      </c>
      <c r="R38" s="9" t="str">
        <f>IF(Table13[[#This Row],[Gross_Sales]]&gt;=500, "YES","NO")</f>
        <v>NO</v>
      </c>
    </row>
    <row r="39" spans="1:18" x14ac:dyDescent="0.3">
      <c r="A39">
        <v>100034</v>
      </c>
      <c r="B39" s="8">
        <v>45293.375</v>
      </c>
      <c r="C39" t="s">
        <v>15</v>
      </c>
      <c r="D39" t="s">
        <v>43</v>
      </c>
      <c r="E39" t="s">
        <v>70</v>
      </c>
      <c r="F39" t="s">
        <v>71</v>
      </c>
      <c r="G39">
        <v>3</v>
      </c>
      <c r="H39">
        <v>52.38</v>
      </c>
      <c r="I39">
        <v>5</v>
      </c>
      <c r="J39" t="s">
        <v>74</v>
      </c>
      <c r="K39" t="s">
        <v>78</v>
      </c>
      <c r="L39">
        <v>157.13999999999999</v>
      </c>
      <c r="M39">
        <v>7.8570000000000011</v>
      </c>
      <c r="N39">
        <v>149.28299999999999</v>
      </c>
      <c r="O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9" s="9" t="str">
        <f ca="1">IF(OR(ISNUMBER(Table13[[#This Row],[Order_Date]])=FALSE,Table13[[#This Row],[Order_Date]]&lt;DATE(2000,1,1),Table13[[#This Row],[Order_Date]]&gt;TODAY()),"YES","NO")</f>
        <v>NO</v>
      </c>
      <c r="Q39" s="9">
        <f>IF(Table13[[#This Row],[Order_Status]] = "Cancelled",0,IF(Table13[[#This Row],[Order_Status]] = "Returned",Table13[[#This Row],[Net_Sales]] * -1,Table13[[#This Row],[Net_Sales]]))</f>
        <v>-149.28299999999999</v>
      </c>
      <c r="R39" s="9" t="str">
        <f>IF(Table13[[#This Row],[Gross_Sales]]&gt;=500, "YES","NO")</f>
        <v>NO</v>
      </c>
    </row>
    <row r="40" spans="1:18" x14ac:dyDescent="0.3">
      <c r="A40">
        <v>100035</v>
      </c>
      <c r="B40" s="8">
        <v>45293.416666666657</v>
      </c>
      <c r="C40" t="s">
        <v>15</v>
      </c>
      <c r="D40" t="s">
        <v>38</v>
      </c>
      <c r="E40" t="s">
        <v>66</v>
      </c>
      <c r="F40" t="s">
        <v>72</v>
      </c>
      <c r="G40">
        <v>5</v>
      </c>
      <c r="H40">
        <v>105.11</v>
      </c>
      <c r="I40">
        <v>5</v>
      </c>
      <c r="J40" t="s">
        <v>75</v>
      </c>
      <c r="K40" t="s">
        <v>77</v>
      </c>
      <c r="L40">
        <v>525.54999999999995</v>
      </c>
      <c r="M40">
        <v>26.2775</v>
      </c>
      <c r="N40">
        <v>499.27249999999998</v>
      </c>
      <c r="O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 s="9" t="str">
        <f ca="1">IF(OR(ISNUMBER(Table13[[#This Row],[Order_Date]])=FALSE,Table13[[#This Row],[Order_Date]]&lt;DATE(2000,1,1),Table13[[#This Row],[Order_Date]]&gt;TODAY()),"YES","NO")</f>
        <v>NO</v>
      </c>
      <c r="Q40" s="9">
        <f>IF(Table13[[#This Row],[Order_Status]] = "Cancelled",0,IF(Table13[[#This Row],[Order_Status]] = "Returned",Table13[[#This Row],[Net_Sales]] * -1,Table13[[#This Row],[Net_Sales]]))</f>
        <v>499.27249999999998</v>
      </c>
      <c r="R40" s="9" t="str">
        <f>IF(Table13[[#This Row],[Gross_Sales]]&gt;=500, "YES","NO")</f>
        <v>YES</v>
      </c>
    </row>
    <row r="41" spans="1:18" x14ac:dyDescent="0.3">
      <c r="A41">
        <v>100036</v>
      </c>
      <c r="B41" s="8">
        <v>45293.458333333343</v>
      </c>
      <c r="C41" t="s">
        <v>14</v>
      </c>
      <c r="D41" t="s">
        <v>20</v>
      </c>
      <c r="E41" t="s">
        <v>68</v>
      </c>
      <c r="F41" t="s">
        <v>72</v>
      </c>
      <c r="G41">
        <v>1</v>
      </c>
      <c r="H41">
        <v>77.61</v>
      </c>
      <c r="I41">
        <v>15</v>
      </c>
      <c r="J41" t="s">
        <v>73</v>
      </c>
      <c r="K41" t="s">
        <v>77</v>
      </c>
      <c r="L41">
        <v>77.61</v>
      </c>
      <c r="M41">
        <v>11.641500000000001</v>
      </c>
      <c r="N41">
        <v>65.968500000000006</v>
      </c>
      <c r="O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 s="9" t="str">
        <f ca="1">IF(OR(ISNUMBER(Table13[[#This Row],[Order_Date]])=FALSE,Table13[[#This Row],[Order_Date]]&lt;DATE(2000,1,1),Table13[[#This Row],[Order_Date]]&gt;TODAY()),"YES","NO")</f>
        <v>NO</v>
      </c>
      <c r="Q41" s="9">
        <f>IF(Table13[[#This Row],[Order_Status]] = "Cancelled",0,IF(Table13[[#This Row],[Order_Status]] = "Returned",Table13[[#This Row],[Net_Sales]] * -1,Table13[[#This Row],[Net_Sales]]))</f>
        <v>65.968500000000006</v>
      </c>
      <c r="R41" s="9" t="str">
        <f>IF(Table13[[#This Row],[Gross_Sales]]&gt;=500, "YES","NO")</f>
        <v>NO</v>
      </c>
    </row>
    <row r="42" spans="1:18" x14ac:dyDescent="0.3">
      <c r="A42">
        <v>100037</v>
      </c>
      <c r="B42" s="8">
        <v>45293.5</v>
      </c>
      <c r="C42" t="s">
        <v>15</v>
      </c>
      <c r="D42" t="s">
        <v>18</v>
      </c>
      <c r="E42" t="s">
        <v>67</v>
      </c>
      <c r="F42" t="s">
        <v>71</v>
      </c>
      <c r="G42">
        <v>3</v>
      </c>
      <c r="H42">
        <v>66.239999999999995</v>
      </c>
      <c r="I42">
        <v>10</v>
      </c>
      <c r="J42" t="s">
        <v>75</v>
      </c>
      <c r="K42" t="s">
        <v>77</v>
      </c>
      <c r="L42">
        <v>198.72</v>
      </c>
      <c r="M42">
        <v>19.872</v>
      </c>
      <c r="N42">
        <v>178.84800000000001</v>
      </c>
      <c r="O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 s="9" t="str">
        <f ca="1">IF(OR(ISNUMBER(Table13[[#This Row],[Order_Date]])=FALSE,Table13[[#This Row],[Order_Date]]&lt;DATE(2000,1,1),Table13[[#This Row],[Order_Date]]&gt;TODAY()),"YES","NO")</f>
        <v>NO</v>
      </c>
      <c r="Q42" s="9">
        <f>IF(Table13[[#This Row],[Order_Status]] = "Cancelled",0,IF(Table13[[#This Row],[Order_Status]] = "Returned",Table13[[#This Row],[Net_Sales]] * -1,Table13[[#This Row],[Net_Sales]]))</f>
        <v>178.84800000000001</v>
      </c>
      <c r="R42" s="9" t="str">
        <f>IF(Table13[[#This Row],[Gross_Sales]]&gt;=500, "YES","NO")</f>
        <v>NO</v>
      </c>
    </row>
    <row r="43" spans="1:18" x14ac:dyDescent="0.3">
      <c r="A43">
        <v>100038</v>
      </c>
      <c r="B43" s="8">
        <v>45293.541666666657</v>
      </c>
      <c r="C43" t="s">
        <v>14</v>
      </c>
      <c r="D43" t="s">
        <v>44</v>
      </c>
      <c r="E43" t="s">
        <v>67</v>
      </c>
      <c r="F43" t="s">
        <v>71</v>
      </c>
      <c r="G43">
        <v>4</v>
      </c>
      <c r="H43">
        <v>18.27</v>
      </c>
      <c r="I43">
        <v>10</v>
      </c>
      <c r="J43" t="s">
        <v>74</v>
      </c>
      <c r="K43" t="s">
        <v>79</v>
      </c>
      <c r="L43">
        <v>73.08</v>
      </c>
      <c r="M43">
        <v>7.3079999999999998</v>
      </c>
      <c r="N43">
        <v>65.771999999999991</v>
      </c>
      <c r="O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3" s="9" t="str">
        <f ca="1">IF(OR(ISNUMBER(Table13[[#This Row],[Order_Date]])=FALSE,Table13[[#This Row],[Order_Date]]&lt;DATE(2000,1,1),Table13[[#This Row],[Order_Date]]&gt;TODAY()),"YES","NO")</f>
        <v>NO</v>
      </c>
      <c r="Q43" s="9">
        <f>IF(Table13[[#This Row],[Order_Status]] = "Cancelled",0,IF(Table13[[#This Row],[Order_Status]] = "Returned",Table13[[#This Row],[Net_Sales]] * -1,Table13[[#This Row],[Net_Sales]]))</f>
        <v>0</v>
      </c>
      <c r="R43" s="9" t="str">
        <f>IF(Table13[[#This Row],[Gross_Sales]]&gt;=500, "YES","NO")</f>
        <v>NO</v>
      </c>
    </row>
    <row r="44" spans="1:18" x14ac:dyDescent="0.3">
      <c r="A44">
        <v>100039</v>
      </c>
      <c r="B44" s="8">
        <v>45293.583333333343</v>
      </c>
      <c r="C44" t="s">
        <v>14</v>
      </c>
      <c r="D44" t="s">
        <v>45</v>
      </c>
      <c r="E44" t="s">
        <v>67</v>
      </c>
      <c r="F44" t="s">
        <v>71</v>
      </c>
      <c r="G44">
        <v>2</v>
      </c>
      <c r="H44">
        <v>74.650000000000006</v>
      </c>
      <c r="I44">
        <v>0</v>
      </c>
      <c r="J44" t="s">
        <v>73</v>
      </c>
      <c r="K44" t="s">
        <v>77</v>
      </c>
      <c r="L44">
        <v>149.30000000000001</v>
      </c>
      <c r="M44">
        <v>0</v>
      </c>
      <c r="N44">
        <v>149.30000000000001</v>
      </c>
      <c r="O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 s="9" t="str">
        <f ca="1">IF(OR(ISNUMBER(Table13[[#This Row],[Order_Date]])=FALSE,Table13[[#This Row],[Order_Date]]&lt;DATE(2000,1,1),Table13[[#This Row],[Order_Date]]&gt;TODAY()),"YES","NO")</f>
        <v>NO</v>
      </c>
      <c r="Q44" s="9">
        <f>IF(Table13[[#This Row],[Order_Status]] = "Cancelled",0,IF(Table13[[#This Row],[Order_Status]] = "Returned",Table13[[#This Row],[Net_Sales]] * -1,Table13[[#This Row],[Net_Sales]]))</f>
        <v>149.30000000000001</v>
      </c>
      <c r="R44" s="9" t="str">
        <f>IF(Table13[[#This Row],[Gross_Sales]]&gt;=500, "YES","NO")</f>
        <v>NO</v>
      </c>
    </row>
    <row r="45" spans="1:18" x14ac:dyDescent="0.3">
      <c r="A45">
        <v>100040</v>
      </c>
      <c r="B45" s="8">
        <v>45293.625</v>
      </c>
      <c r="C45" t="s">
        <v>14</v>
      </c>
      <c r="D45" t="s">
        <v>25</v>
      </c>
      <c r="E45" t="s">
        <v>70</v>
      </c>
      <c r="F45" t="s">
        <v>72</v>
      </c>
      <c r="G45">
        <v>1</v>
      </c>
      <c r="H45">
        <v>18.48</v>
      </c>
      <c r="I45">
        <v>0</v>
      </c>
      <c r="J45" t="s">
        <v>74</v>
      </c>
      <c r="K45" t="s">
        <v>77</v>
      </c>
      <c r="L45">
        <v>18.48</v>
      </c>
      <c r="M45">
        <v>0</v>
      </c>
      <c r="N45">
        <v>18.48</v>
      </c>
      <c r="O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 s="9" t="str">
        <f ca="1">IF(OR(ISNUMBER(Table13[[#This Row],[Order_Date]])=FALSE,Table13[[#This Row],[Order_Date]]&lt;DATE(2000,1,1),Table13[[#This Row],[Order_Date]]&gt;TODAY()),"YES","NO")</f>
        <v>NO</v>
      </c>
      <c r="Q45" s="9">
        <f>IF(Table13[[#This Row],[Order_Status]] = "Cancelled",0,IF(Table13[[#This Row],[Order_Status]] = "Returned",Table13[[#This Row],[Net_Sales]] * -1,Table13[[#This Row],[Net_Sales]]))</f>
        <v>18.48</v>
      </c>
      <c r="R45" s="9" t="str">
        <f>IF(Table13[[#This Row],[Gross_Sales]]&gt;=500, "YES","NO")</f>
        <v>NO</v>
      </c>
    </row>
    <row r="46" spans="1:18" x14ac:dyDescent="0.3">
      <c r="A46">
        <v>100041</v>
      </c>
      <c r="B46" s="8">
        <v>45293.666666666657</v>
      </c>
      <c r="C46" t="s">
        <v>14</v>
      </c>
      <c r="D46" t="s">
        <v>36</v>
      </c>
      <c r="E46" t="s">
        <v>69</v>
      </c>
      <c r="F46" t="s">
        <v>72</v>
      </c>
      <c r="G46">
        <v>2</v>
      </c>
      <c r="H46">
        <v>43.78</v>
      </c>
      <c r="I46">
        <v>5</v>
      </c>
      <c r="J46" t="s">
        <v>73</v>
      </c>
      <c r="K46" t="s">
        <v>78</v>
      </c>
      <c r="L46">
        <v>87.56</v>
      </c>
      <c r="M46">
        <v>4.3780000000000001</v>
      </c>
      <c r="N46">
        <v>83.182000000000002</v>
      </c>
      <c r="O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6" s="9" t="str">
        <f ca="1">IF(OR(ISNUMBER(Table13[[#This Row],[Order_Date]])=FALSE,Table13[[#This Row],[Order_Date]]&lt;DATE(2000,1,1),Table13[[#This Row],[Order_Date]]&gt;TODAY()),"YES","NO")</f>
        <v>NO</v>
      </c>
      <c r="Q46" s="9">
        <f>IF(Table13[[#This Row],[Order_Status]] = "Cancelled",0,IF(Table13[[#This Row],[Order_Status]] = "Returned",Table13[[#This Row],[Net_Sales]] * -1,Table13[[#This Row],[Net_Sales]]))</f>
        <v>-83.182000000000002</v>
      </c>
      <c r="R46" s="9" t="str">
        <f>IF(Table13[[#This Row],[Gross_Sales]]&gt;=500, "YES","NO")</f>
        <v>NO</v>
      </c>
    </row>
    <row r="47" spans="1:18" x14ac:dyDescent="0.3">
      <c r="A47">
        <v>100042</v>
      </c>
      <c r="B47" s="8">
        <v>45293.708333333343</v>
      </c>
      <c r="C47" t="s">
        <v>14</v>
      </c>
      <c r="D47" t="s">
        <v>40</v>
      </c>
      <c r="E47" t="s">
        <v>66</v>
      </c>
      <c r="F47" t="s">
        <v>72</v>
      </c>
      <c r="G47">
        <v>3</v>
      </c>
      <c r="H47">
        <v>21.43</v>
      </c>
      <c r="I47">
        <v>0</v>
      </c>
      <c r="J47" t="s">
        <v>73</v>
      </c>
      <c r="K47" t="s">
        <v>77</v>
      </c>
      <c r="L47">
        <v>64.289999999999992</v>
      </c>
      <c r="M47">
        <v>0</v>
      </c>
      <c r="N47">
        <v>64.289999999999992</v>
      </c>
      <c r="O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 s="9" t="str">
        <f ca="1">IF(OR(ISNUMBER(Table13[[#This Row],[Order_Date]])=FALSE,Table13[[#This Row],[Order_Date]]&lt;DATE(2000,1,1),Table13[[#This Row],[Order_Date]]&gt;TODAY()),"YES","NO")</f>
        <v>NO</v>
      </c>
      <c r="Q47" s="9">
        <f>IF(Table13[[#This Row],[Order_Status]] = "Cancelled",0,IF(Table13[[#This Row],[Order_Status]] = "Returned",Table13[[#This Row],[Net_Sales]] * -1,Table13[[#This Row],[Net_Sales]]))</f>
        <v>64.289999999999992</v>
      </c>
      <c r="R47" s="9" t="str">
        <f>IF(Table13[[#This Row],[Gross_Sales]]&gt;=500, "YES","NO")</f>
        <v>NO</v>
      </c>
    </row>
    <row r="48" spans="1:18" x14ac:dyDescent="0.3">
      <c r="A48">
        <v>100043</v>
      </c>
      <c r="B48" s="8">
        <v>45293.75</v>
      </c>
      <c r="C48" t="s">
        <v>15</v>
      </c>
      <c r="D48" t="s">
        <v>22</v>
      </c>
      <c r="E48" t="s">
        <v>68</v>
      </c>
      <c r="F48" t="s">
        <v>72</v>
      </c>
      <c r="G48">
        <v>5</v>
      </c>
      <c r="H48">
        <v>84.59</v>
      </c>
      <c r="I48">
        <v>15</v>
      </c>
      <c r="J48" t="s">
        <v>76</v>
      </c>
      <c r="K48" t="s">
        <v>77</v>
      </c>
      <c r="L48">
        <v>422.95</v>
      </c>
      <c r="M48">
        <v>63.442500000000003</v>
      </c>
      <c r="N48">
        <v>359.50750000000011</v>
      </c>
      <c r="O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 s="9" t="str">
        <f ca="1">IF(OR(ISNUMBER(Table13[[#This Row],[Order_Date]])=FALSE,Table13[[#This Row],[Order_Date]]&lt;DATE(2000,1,1),Table13[[#This Row],[Order_Date]]&gt;TODAY()),"YES","NO")</f>
        <v>NO</v>
      </c>
      <c r="Q48" s="9">
        <f>IF(Table13[[#This Row],[Order_Status]] = "Cancelled",0,IF(Table13[[#This Row],[Order_Status]] = "Returned",Table13[[#This Row],[Net_Sales]] * -1,Table13[[#This Row],[Net_Sales]]))</f>
        <v>359.50750000000011</v>
      </c>
      <c r="R48" s="9" t="str">
        <f>IF(Table13[[#This Row],[Gross_Sales]]&gt;=500, "YES","NO")</f>
        <v>NO</v>
      </c>
    </row>
    <row r="49" spans="1:18" x14ac:dyDescent="0.3">
      <c r="A49">
        <v>100044</v>
      </c>
      <c r="B49" s="8">
        <v>45293.791666666657</v>
      </c>
      <c r="C49" t="s">
        <v>15</v>
      </c>
      <c r="D49" t="s">
        <v>26</v>
      </c>
      <c r="E49" t="s">
        <v>68</v>
      </c>
      <c r="F49" t="s">
        <v>71</v>
      </c>
      <c r="G49">
        <v>5</v>
      </c>
      <c r="H49">
        <v>28.72</v>
      </c>
      <c r="I49">
        <v>15</v>
      </c>
      <c r="J49" t="s">
        <v>76</v>
      </c>
      <c r="K49" t="s">
        <v>77</v>
      </c>
      <c r="L49">
        <v>143.6</v>
      </c>
      <c r="M49">
        <v>21.54</v>
      </c>
      <c r="N49">
        <v>122.06</v>
      </c>
      <c r="O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 s="9" t="str">
        <f ca="1">IF(OR(ISNUMBER(Table13[[#This Row],[Order_Date]])=FALSE,Table13[[#This Row],[Order_Date]]&lt;DATE(2000,1,1),Table13[[#This Row],[Order_Date]]&gt;TODAY()),"YES","NO")</f>
        <v>NO</v>
      </c>
      <c r="Q49" s="9">
        <f>IF(Table13[[#This Row],[Order_Status]] = "Cancelled",0,IF(Table13[[#This Row],[Order_Status]] = "Returned",Table13[[#This Row],[Net_Sales]] * -1,Table13[[#This Row],[Net_Sales]]))</f>
        <v>122.06</v>
      </c>
      <c r="R49" s="9" t="str">
        <f>IF(Table13[[#This Row],[Gross_Sales]]&gt;=500, "YES","NO")</f>
        <v>NO</v>
      </c>
    </row>
    <row r="50" spans="1:18" x14ac:dyDescent="0.3">
      <c r="A50">
        <v>100045</v>
      </c>
      <c r="B50" s="8">
        <v>45293.833333333343</v>
      </c>
      <c r="C50" t="s">
        <v>15</v>
      </c>
      <c r="D50" t="s">
        <v>21</v>
      </c>
      <c r="E50" t="s">
        <v>70</v>
      </c>
      <c r="F50" t="s">
        <v>71</v>
      </c>
      <c r="G50">
        <v>4</v>
      </c>
      <c r="H50">
        <v>50.06</v>
      </c>
      <c r="I50">
        <v>0</v>
      </c>
      <c r="J50" t="s">
        <v>76</v>
      </c>
      <c r="K50" t="s">
        <v>77</v>
      </c>
      <c r="L50">
        <v>200.24</v>
      </c>
      <c r="M50">
        <v>0</v>
      </c>
      <c r="N50">
        <v>200.24</v>
      </c>
      <c r="O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 s="9" t="str">
        <f ca="1">IF(OR(ISNUMBER(Table13[[#This Row],[Order_Date]])=FALSE,Table13[[#This Row],[Order_Date]]&lt;DATE(2000,1,1),Table13[[#This Row],[Order_Date]]&gt;TODAY()),"YES","NO")</f>
        <v>NO</v>
      </c>
      <c r="Q50" s="9">
        <f>IF(Table13[[#This Row],[Order_Status]] = "Cancelled",0,IF(Table13[[#This Row],[Order_Status]] = "Returned",Table13[[#This Row],[Net_Sales]] * -1,Table13[[#This Row],[Net_Sales]]))</f>
        <v>200.24</v>
      </c>
      <c r="R50" s="9" t="str">
        <f>IF(Table13[[#This Row],[Gross_Sales]]&gt;=500, "YES","NO")</f>
        <v>NO</v>
      </c>
    </row>
    <row r="51" spans="1:18" x14ac:dyDescent="0.3">
      <c r="A51">
        <v>100046</v>
      </c>
      <c r="B51" s="8">
        <v>45293.875</v>
      </c>
      <c r="C51" t="s">
        <v>15</v>
      </c>
      <c r="D51" t="s">
        <v>16</v>
      </c>
      <c r="E51" t="s">
        <v>67</v>
      </c>
      <c r="F51" t="s">
        <v>71</v>
      </c>
      <c r="G51">
        <v>5</v>
      </c>
      <c r="H51">
        <v>108</v>
      </c>
      <c r="I51">
        <v>0</v>
      </c>
      <c r="J51" t="s">
        <v>73</v>
      </c>
      <c r="K51" t="s">
        <v>78</v>
      </c>
      <c r="L51">
        <v>540</v>
      </c>
      <c r="M51">
        <v>0</v>
      </c>
      <c r="N51">
        <v>540</v>
      </c>
      <c r="O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1" s="9" t="str">
        <f ca="1">IF(OR(ISNUMBER(Table13[[#This Row],[Order_Date]])=FALSE,Table13[[#This Row],[Order_Date]]&lt;DATE(2000,1,1),Table13[[#This Row],[Order_Date]]&gt;TODAY()),"YES","NO")</f>
        <v>NO</v>
      </c>
      <c r="Q51" s="9">
        <f>IF(Table13[[#This Row],[Order_Status]] = "Cancelled",0,IF(Table13[[#This Row],[Order_Status]] = "Returned",Table13[[#This Row],[Net_Sales]] * -1,Table13[[#This Row],[Net_Sales]]))</f>
        <v>-540</v>
      </c>
      <c r="R51" s="9" t="str">
        <f>IF(Table13[[#This Row],[Gross_Sales]]&gt;=500, "YES","NO")</f>
        <v>YES</v>
      </c>
    </row>
    <row r="52" spans="1:18" x14ac:dyDescent="0.3">
      <c r="A52">
        <v>100047</v>
      </c>
      <c r="B52" s="8">
        <v>45293.916666666657</v>
      </c>
      <c r="C52" t="s">
        <v>15</v>
      </c>
      <c r="D52" t="s">
        <v>28</v>
      </c>
      <c r="E52" t="s">
        <v>70</v>
      </c>
      <c r="F52" t="s">
        <v>72</v>
      </c>
      <c r="G52">
        <v>1</v>
      </c>
      <c r="H52">
        <v>28.5</v>
      </c>
      <c r="I52">
        <v>0</v>
      </c>
      <c r="J52" t="s">
        <v>75</v>
      </c>
      <c r="K52" t="s">
        <v>77</v>
      </c>
      <c r="L52">
        <v>28.5</v>
      </c>
      <c r="M52">
        <v>0</v>
      </c>
      <c r="N52">
        <v>28.5</v>
      </c>
      <c r="O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 s="9" t="str">
        <f ca="1">IF(OR(ISNUMBER(Table13[[#This Row],[Order_Date]])=FALSE,Table13[[#This Row],[Order_Date]]&lt;DATE(2000,1,1),Table13[[#This Row],[Order_Date]]&gt;TODAY()),"YES","NO")</f>
        <v>NO</v>
      </c>
      <c r="Q52" s="9">
        <f>IF(Table13[[#This Row],[Order_Status]] = "Cancelled",0,IF(Table13[[#This Row],[Order_Status]] = "Returned",Table13[[#This Row],[Net_Sales]] * -1,Table13[[#This Row],[Net_Sales]]))</f>
        <v>28.5</v>
      </c>
      <c r="R52" s="9" t="str">
        <f>IF(Table13[[#This Row],[Gross_Sales]]&gt;=500, "YES","NO")</f>
        <v>NO</v>
      </c>
    </row>
    <row r="53" spans="1:18" x14ac:dyDescent="0.3">
      <c r="A53">
        <v>100048</v>
      </c>
      <c r="B53" s="8">
        <v>45293.958333333343</v>
      </c>
      <c r="C53" t="s">
        <v>14</v>
      </c>
      <c r="D53" t="s">
        <v>46</v>
      </c>
      <c r="E53" t="s">
        <v>69</v>
      </c>
      <c r="F53" t="s">
        <v>71</v>
      </c>
      <c r="G53">
        <v>5</v>
      </c>
      <c r="H53">
        <v>63.4</v>
      </c>
      <c r="I53">
        <v>0</v>
      </c>
      <c r="J53" t="s">
        <v>74</v>
      </c>
      <c r="K53" t="s">
        <v>77</v>
      </c>
      <c r="L53">
        <v>317</v>
      </c>
      <c r="M53">
        <v>0</v>
      </c>
      <c r="N53">
        <v>317</v>
      </c>
      <c r="O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 s="9" t="str">
        <f ca="1">IF(OR(ISNUMBER(Table13[[#This Row],[Order_Date]])=FALSE,Table13[[#This Row],[Order_Date]]&lt;DATE(2000,1,1),Table13[[#This Row],[Order_Date]]&gt;TODAY()),"YES","NO")</f>
        <v>NO</v>
      </c>
      <c r="Q53" s="9">
        <f>IF(Table13[[#This Row],[Order_Status]] = "Cancelled",0,IF(Table13[[#This Row],[Order_Status]] = "Returned",Table13[[#This Row],[Net_Sales]] * -1,Table13[[#This Row],[Net_Sales]]))</f>
        <v>317</v>
      </c>
      <c r="R53" s="9" t="str">
        <f>IF(Table13[[#This Row],[Gross_Sales]]&gt;=500, "YES","NO")</f>
        <v>NO</v>
      </c>
    </row>
    <row r="54" spans="1:18" x14ac:dyDescent="0.3">
      <c r="A54">
        <v>100049</v>
      </c>
      <c r="B54" s="8">
        <v>45294</v>
      </c>
      <c r="C54" t="s">
        <v>15</v>
      </c>
      <c r="D54" t="s">
        <v>28</v>
      </c>
      <c r="E54" t="s">
        <v>69</v>
      </c>
      <c r="F54" t="s">
        <v>72</v>
      </c>
      <c r="G54">
        <v>4</v>
      </c>
      <c r="H54">
        <v>53.22</v>
      </c>
      <c r="I54">
        <v>5</v>
      </c>
      <c r="J54" t="s">
        <v>74</v>
      </c>
      <c r="K54" t="s">
        <v>77</v>
      </c>
      <c r="L54">
        <v>212.88</v>
      </c>
      <c r="M54">
        <v>10.644</v>
      </c>
      <c r="N54">
        <v>202.23599999999999</v>
      </c>
      <c r="O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 s="9" t="str">
        <f ca="1">IF(OR(ISNUMBER(Table13[[#This Row],[Order_Date]])=FALSE,Table13[[#This Row],[Order_Date]]&lt;DATE(2000,1,1),Table13[[#This Row],[Order_Date]]&gt;TODAY()),"YES","NO")</f>
        <v>NO</v>
      </c>
      <c r="Q54" s="9">
        <f>IF(Table13[[#This Row],[Order_Status]] = "Cancelled",0,IF(Table13[[#This Row],[Order_Status]] = "Returned",Table13[[#This Row],[Net_Sales]] * -1,Table13[[#This Row],[Net_Sales]]))</f>
        <v>202.23599999999999</v>
      </c>
      <c r="R54" s="9" t="str">
        <f>IF(Table13[[#This Row],[Gross_Sales]]&gt;=500, "YES","NO")</f>
        <v>NO</v>
      </c>
    </row>
    <row r="55" spans="1:18" x14ac:dyDescent="0.3">
      <c r="A55">
        <v>100050</v>
      </c>
      <c r="B55" s="8">
        <v>45294.041666666657</v>
      </c>
      <c r="C55" t="s">
        <v>15</v>
      </c>
      <c r="D55" t="s">
        <v>47</v>
      </c>
      <c r="E55" t="s">
        <v>66</v>
      </c>
      <c r="F55" t="s">
        <v>72</v>
      </c>
      <c r="G55">
        <v>3</v>
      </c>
      <c r="H55">
        <v>7.08</v>
      </c>
      <c r="I55">
        <v>5</v>
      </c>
      <c r="J55" t="s">
        <v>74</v>
      </c>
      <c r="K55" t="s">
        <v>77</v>
      </c>
      <c r="L55">
        <v>21.24</v>
      </c>
      <c r="M55">
        <v>1.0620000000000001</v>
      </c>
      <c r="N55">
        <v>20.178000000000001</v>
      </c>
      <c r="O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 s="9" t="str">
        <f ca="1">IF(OR(ISNUMBER(Table13[[#This Row],[Order_Date]])=FALSE,Table13[[#This Row],[Order_Date]]&lt;DATE(2000,1,1),Table13[[#This Row],[Order_Date]]&gt;TODAY()),"YES","NO")</f>
        <v>NO</v>
      </c>
      <c r="Q55" s="9">
        <f>IF(Table13[[#This Row],[Order_Status]] = "Cancelled",0,IF(Table13[[#This Row],[Order_Status]] = "Returned",Table13[[#This Row],[Net_Sales]] * -1,Table13[[#This Row],[Net_Sales]]))</f>
        <v>20.178000000000001</v>
      </c>
      <c r="R55" s="9" t="str">
        <f>IF(Table13[[#This Row],[Gross_Sales]]&gt;=500, "YES","NO")</f>
        <v>NO</v>
      </c>
    </row>
    <row r="56" spans="1:18" x14ac:dyDescent="0.3">
      <c r="A56">
        <v>100051</v>
      </c>
      <c r="B56" s="8">
        <v>45294.083333333343</v>
      </c>
      <c r="C56" t="s">
        <v>14</v>
      </c>
      <c r="D56" t="s">
        <v>48</v>
      </c>
      <c r="E56" t="s">
        <v>66</v>
      </c>
      <c r="F56" t="s">
        <v>71</v>
      </c>
      <c r="G56">
        <v>3</v>
      </c>
      <c r="H56">
        <v>96.17</v>
      </c>
      <c r="I56">
        <v>0</v>
      </c>
      <c r="J56" t="s">
        <v>76</v>
      </c>
      <c r="K56" t="s">
        <v>79</v>
      </c>
      <c r="L56">
        <v>288.51</v>
      </c>
      <c r="M56">
        <v>0</v>
      </c>
      <c r="N56">
        <v>288.51</v>
      </c>
      <c r="O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6" s="9" t="str">
        <f ca="1">IF(OR(ISNUMBER(Table13[[#This Row],[Order_Date]])=FALSE,Table13[[#This Row],[Order_Date]]&lt;DATE(2000,1,1),Table13[[#This Row],[Order_Date]]&gt;TODAY()),"YES","NO")</f>
        <v>NO</v>
      </c>
      <c r="Q56" s="9">
        <f>IF(Table13[[#This Row],[Order_Status]] = "Cancelled",0,IF(Table13[[#This Row],[Order_Status]] = "Returned",Table13[[#This Row],[Net_Sales]] * -1,Table13[[#This Row],[Net_Sales]]))</f>
        <v>0</v>
      </c>
      <c r="R56" s="9" t="str">
        <f>IF(Table13[[#This Row],[Gross_Sales]]&gt;=500, "YES","NO")</f>
        <v>NO</v>
      </c>
    </row>
    <row r="57" spans="1:18" x14ac:dyDescent="0.3">
      <c r="A57">
        <v>100052</v>
      </c>
      <c r="B57" s="8">
        <v>45294.125</v>
      </c>
      <c r="C57" t="s">
        <v>15</v>
      </c>
      <c r="D57" t="s">
        <v>49</v>
      </c>
      <c r="E57" t="s">
        <v>69</v>
      </c>
      <c r="F57" t="s">
        <v>71</v>
      </c>
      <c r="G57">
        <v>5</v>
      </c>
      <c r="H57">
        <v>12.94</v>
      </c>
      <c r="I57">
        <v>15</v>
      </c>
      <c r="J57" t="s">
        <v>73</v>
      </c>
      <c r="K57" t="s">
        <v>77</v>
      </c>
      <c r="L57">
        <v>64.7</v>
      </c>
      <c r="M57">
        <v>9.7050000000000001</v>
      </c>
      <c r="N57">
        <v>54.994999999999997</v>
      </c>
      <c r="O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 s="9" t="str">
        <f ca="1">IF(OR(ISNUMBER(Table13[[#This Row],[Order_Date]])=FALSE,Table13[[#This Row],[Order_Date]]&lt;DATE(2000,1,1),Table13[[#This Row],[Order_Date]]&gt;TODAY()),"YES","NO")</f>
        <v>NO</v>
      </c>
      <c r="Q57" s="9">
        <f>IF(Table13[[#This Row],[Order_Status]] = "Cancelled",0,IF(Table13[[#This Row],[Order_Status]] = "Returned",Table13[[#This Row],[Net_Sales]] * -1,Table13[[#This Row],[Net_Sales]]))</f>
        <v>54.994999999999997</v>
      </c>
      <c r="R57" s="9" t="str">
        <f>IF(Table13[[#This Row],[Gross_Sales]]&gt;=500, "YES","NO")</f>
        <v>NO</v>
      </c>
    </row>
    <row r="58" spans="1:18" x14ac:dyDescent="0.3">
      <c r="A58">
        <v>100053</v>
      </c>
      <c r="B58" s="8">
        <v>45294.166666666657</v>
      </c>
      <c r="C58" t="s">
        <v>14</v>
      </c>
      <c r="D58" t="s">
        <v>50</v>
      </c>
      <c r="E58" t="s">
        <v>69</v>
      </c>
      <c r="F58" t="s">
        <v>71</v>
      </c>
      <c r="G58">
        <v>2</v>
      </c>
      <c r="H58">
        <v>59.54</v>
      </c>
      <c r="I58">
        <v>5</v>
      </c>
      <c r="J58" t="s">
        <v>76</v>
      </c>
      <c r="K58" t="s">
        <v>77</v>
      </c>
      <c r="L58">
        <v>119.08</v>
      </c>
      <c r="M58">
        <v>5.9540000000000006</v>
      </c>
      <c r="N58">
        <v>113.126</v>
      </c>
      <c r="O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 s="9" t="str">
        <f ca="1">IF(OR(ISNUMBER(Table13[[#This Row],[Order_Date]])=FALSE,Table13[[#This Row],[Order_Date]]&lt;DATE(2000,1,1),Table13[[#This Row],[Order_Date]]&gt;TODAY()),"YES","NO")</f>
        <v>NO</v>
      </c>
      <c r="Q58" s="9">
        <f>IF(Table13[[#This Row],[Order_Status]] = "Cancelled",0,IF(Table13[[#This Row],[Order_Status]] = "Returned",Table13[[#This Row],[Net_Sales]] * -1,Table13[[#This Row],[Net_Sales]]))</f>
        <v>113.126</v>
      </c>
      <c r="R58" s="9" t="str">
        <f>IF(Table13[[#This Row],[Gross_Sales]]&gt;=500, "YES","NO")</f>
        <v>NO</v>
      </c>
    </row>
    <row r="59" spans="1:18" x14ac:dyDescent="0.3">
      <c r="A59">
        <v>100054</v>
      </c>
      <c r="B59" s="8">
        <v>45294.208333333343</v>
      </c>
      <c r="C59" t="s">
        <v>15</v>
      </c>
      <c r="D59" t="s">
        <v>50</v>
      </c>
      <c r="E59" t="s">
        <v>69</v>
      </c>
      <c r="F59" t="s">
        <v>72</v>
      </c>
      <c r="G59">
        <v>3</v>
      </c>
      <c r="H59">
        <v>69.48</v>
      </c>
      <c r="I59">
        <v>15</v>
      </c>
      <c r="J59" t="s">
        <v>75</v>
      </c>
      <c r="K59" t="s">
        <v>77</v>
      </c>
      <c r="L59">
        <v>208.44</v>
      </c>
      <c r="M59">
        <v>31.265999999999998</v>
      </c>
      <c r="N59">
        <v>177.17400000000001</v>
      </c>
      <c r="O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 s="9" t="str">
        <f ca="1">IF(OR(ISNUMBER(Table13[[#This Row],[Order_Date]])=FALSE,Table13[[#This Row],[Order_Date]]&lt;DATE(2000,1,1),Table13[[#This Row],[Order_Date]]&gt;TODAY()),"YES","NO")</f>
        <v>NO</v>
      </c>
      <c r="Q59" s="9">
        <f>IF(Table13[[#This Row],[Order_Status]] = "Cancelled",0,IF(Table13[[#This Row],[Order_Status]] = "Returned",Table13[[#This Row],[Net_Sales]] * -1,Table13[[#This Row],[Net_Sales]]))</f>
        <v>177.17400000000001</v>
      </c>
      <c r="R59" s="9" t="str">
        <f>IF(Table13[[#This Row],[Gross_Sales]]&gt;=500, "YES","NO")</f>
        <v>NO</v>
      </c>
    </row>
    <row r="60" spans="1:18" x14ac:dyDescent="0.3">
      <c r="A60">
        <v>100055</v>
      </c>
      <c r="B60" s="8">
        <v>45294.25</v>
      </c>
      <c r="C60" t="s">
        <v>14</v>
      </c>
      <c r="D60" t="s">
        <v>32</v>
      </c>
      <c r="E60" t="s">
        <v>70</v>
      </c>
      <c r="F60" t="s">
        <v>72</v>
      </c>
      <c r="G60">
        <v>5</v>
      </c>
      <c r="H60">
        <v>77.27</v>
      </c>
      <c r="I60">
        <v>10</v>
      </c>
      <c r="J60" t="s">
        <v>73</v>
      </c>
      <c r="K60" t="s">
        <v>78</v>
      </c>
      <c r="L60">
        <v>386.35</v>
      </c>
      <c r="M60">
        <v>38.634999999999998</v>
      </c>
      <c r="N60">
        <v>347.71499999999997</v>
      </c>
      <c r="O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0" s="9" t="str">
        <f ca="1">IF(OR(ISNUMBER(Table13[[#This Row],[Order_Date]])=FALSE,Table13[[#This Row],[Order_Date]]&lt;DATE(2000,1,1),Table13[[#This Row],[Order_Date]]&gt;TODAY()),"YES","NO")</f>
        <v>NO</v>
      </c>
      <c r="Q60" s="9">
        <f>IF(Table13[[#This Row],[Order_Status]] = "Cancelled",0,IF(Table13[[#This Row],[Order_Status]] = "Returned",Table13[[#This Row],[Net_Sales]] * -1,Table13[[#This Row],[Net_Sales]]))</f>
        <v>-347.71499999999997</v>
      </c>
      <c r="R60" s="9" t="str">
        <f>IF(Table13[[#This Row],[Gross_Sales]]&gt;=500, "YES","NO")</f>
        <v>NO</v>
      </c>
    </row>
    <row r="61" spans="1:18" x14ac:dyDescent="0.3">
      <c r="A61">
        <v>100056</v>
      </c>
      <c r="B61" s="8">
        <v>45294.291666666657</v>
      </c>
      <c r="C61" t="s">
        <v>15</v>
      </c>
      <c r="D61" t="s">
        <v>32</v>
      </c>
      <c r="E61" t="s">
        <v>69</v>
      </c>
      <c r="F61" t="s">
        <v>71</v>
      </c>
      <c r="G61">
        <v>4</v>
      </c>
      <c r="H61">
        <v>84.19</v>
      </c>
      <c r="I61">
        <v>15</v>
      </c>
      <c r="J61" t="s">
        <v>74</v>
      </c>
      <c r="K61" t="s">
        <v>77</v>
      </c>
      <c r="L61">
        <v>336.76</v>
      </c>
      <c r="M61">
        <v>50.514000000000003</v>
      </c>
      <c r="N61">
        <v>286.24599999999998</v>
      </c>
      <c r="O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 s="9" t="str">
        <f ca="1">IF(OR(ISNUMBER(Table13[[#This Row],[Order_Date]])=FALSE,Table13[[#This Row],[Order_Date]]&lt;DATE(2000,1,1),Table13[[#This Row],[Order_Date]]&gt;TODAY()),"YES","NO")</f>
        <v>NO</v>
      </c>
      <c r="Q61" s="9">
        <f>IF(Table13[[#This Row],[Order_Status]] = "Cancelled",0,IF(Table13[[#This Row],[Order_Status]] = "Returned",Table13[[#This Row],[Net_Sales]] * -1,Table13[[#This Row],[Net_Sales]]))</f>
        <v>286.24599999999998</v>
      </c>
      <c r="R61" s="9" t="str">
        <f>IF(Table13[[#This Row],[Gross_Sales]]&gt;=500, "YES","NO")</f>
        <v>NO</v>
      </c>
    </row>
    <row r="62" spans="1:18" x14ac:dyDescent="0.3">
      <c r="A62">
        <v>100057</v>
      </c>
      <c r="B62" s="8">
        <v>45294.333333333343</v>
      </c>
      <c r="C62" t="s">
        <v>15</v>
      </c>
      <c r="D62" t="s">
        <v>51</v>
      </c>
      <c r="E62" t="s">
        <v>68</v>
      </c>
      <c r="F62" t="s">
        <v>71</v>
      </c>
      <c r="G62">
        <v>5</v>
      </c>
      <c r="H62">
        <v>34.130000000000003</v>
      </c>
      <c r="I62">
        <v>0</v>
      </c>
      <c r="J62" t="s">
        <v>76</v>
      </c>
      <c r="K62" t="s">
        <v>77</v>
      </c>
      <c r="L62">
        <v>170.65</v>
      </c>
      <c r="M62">
        <v>0</v>
      </c>
      <c r="N62">
        <v>170.65</v>
      </c>
      <c r="O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 s="9" t="str">
        <f ca="1">IF(OR(ISNUMBER(Table13[[#This Row],[Order_Date]])=FALSE,Table13[[#This Row],[Order_Date]]&lt;DATE(2000,1,1),Table13[[#This Row],[Order_Date]]&gt;TODAY()),"YES","NO")</f>
        <v>NO</v>
      </c>
      <c r="Q62" s="9">
        <f>IF(Table13[[#This Row],[Order_Status]] = "Cancelled",0,IF(Table13[[#This Row],[Order_Status]] = "Returned",Table13[[#This Row],[Net_Sales]] * -1,Table13[[#This Row],[Net_Sales]]))</f>
        <v>170.65</v>
      </c>
      <c r="R62" s="9" t="str">
        <f>IF(Table13[[#This Row],[Gross_Sales]]&gt;=500, "YES","NO")</f>
        <v>NO</v>
      </c>
    </row>
    <row r="63" spans="1:18" x14ac:dyDescent="0.3">
      <c r="A63">
        <v>100058</v>
      </c>
      <c r="B63" s="8">
        <v>45294.375</v>
      </c>
      <c r="C63" t="s">
        <v>14</v>
      </c>
      <c r="D63" t="s">
        <v>16</v>
      </c>
      <c r="E63" t="s">
        <v>67</v>
      </c>
      <c r="F63" t="s">
        <v>72</v>
      </c>
      <c r="G63">
        <v>3</v>
      </c>
      <c r="H63">
        <v>6.15</v>
      </c>
      <c r="I63">
        <v>10</v>
      </c>
      <c r="J63" t="s">
        <v>76</v>
      </c>
      <c r="K63" t="s">
        <v>77</v>
      </c>
      <c r="L63">
        <v>18.45</v>
      </c>
      <c r="M63">
        <v>1.845</v>
      </c>
      <c r="N63">
        <v>16.605</v>
      </c>
      <c r="O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 s="9" t="str">
        <f ca="1">IF(OR(ISNUMBER(Table13[[#This Row],[Order_Date]])=FALSE,Table13[[#This Row],[Order_Date]]&lt;DATE(2000,1,1),Table13[[#This Row],[Order_Date]]&gt;TODAY()),"YES","NO")</f>
        <v>NO</v>
      </c>
      <c r="Q63" s="9">
        <f>IF(Table13[[#This Row],[Order_Status]] = "Cancelled",0,IF(Table13[[#This Row],[Order_Status]] = "Returned",Table13[[#This Row],[Net_Sales]] * -1,Table13[[#This Row],[Net_Sales]]))</f>
        <v>16.605</v>
      </c>
      <c r="R63" s="9" t="str">
        <f>IF(Table13[[#This Row],[Gross_Sales]]&gt;=500, "YES","NO")</f>
        <v>NO</v>
      </c>
    </row>
    <row r="64" spans="1:18" x14ac:dyDescent="0.3">
      <c r="A64">
        <v>100059</v>
      </c>
      <c r="B64" s="8">
        <v>45294.416666666657</v>
      </c>
      <c r="C64" t="s">
        <v>14</v>
      </c>
      <c r="D64" t="s">
        <v>40</v>
      </c>
      <c r="E64" t="s">
        <v>69</v>
      </c>
      <c r="F64" t="s">
        <v>71</v>
      </c>
      <c r="G64">
        <v>4</v>
      </c>
      <c r="H64">
        <v>88.2</v>
      </c>
      <c r="I64">
        <v>5</v>
      </c>
      <c r="J64" t="s">
        <v>75</v>
      </c>
      <c r="K64" t="s">
        <v>77</v>
      </c>
      <c r="L64">
        <v>352.8</v>
      </c>
      <c r="M64">
        <v>17.64</v>
      </c>
      <c r="N64">
        <v>335.16</v>
      </c>
      <c r="O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 s="9" t="str">
        <f ca="1">IF(OR(ISNUMBER(Table13[[#This Row],[Order_Date]])=FALSE,Table13[[#This Row],[Order_Date]]&lt;DATE(2000,1,1),Table13[[#This Row],[Order_Date]]&gt;TODAY()),"YES","NO")</f>
        <v>NO</v>
      </c>
      <c r="Q64" s="9">
        <f>IF(Table13[[#This Row],[Order_Status]] = "Cancelled",0,IF(Table13[[#This Row],[Order_Status]] = "Returned",Table13[[#This Row],[Net_Sales]] * -1,Table13[[#This Row],[Net_Sales]]))</f>
        <v>335.16</v>
      </c>
      <c r="R64" s="9" t="str">
        <f>IF(Table13[[#This Row],[Gross_Sales]]&gt;=500, "YES","NO")</f>
        <v>NO</v>
      </c>
    </row>
    <row r="65" spans="1:18" x14ac:dyDescent="0.3">
      <c r="A65">
        <v>100060</v>
      </c>
      <c r="B65" s="8">
        <v>45294.458333333343</v>
      </c>
      <c r="C65" t="s">
        <v>14</v>
      </c>
      <c r="D65" t="s">
        <v>52</v>
      </c>
      <c r="E65" t="s">
        <v>67</v>
      </c>
      <c r="F65" t="s">
        <v>72</v>
      </c>
      <c r="G65">
        <v>5</v>
      </c>
      <c r="H65">
        <v>66.599999999999994</v>
      </c>
      <c r="I65">
        <v>5</v>
      </c>
      <c r="J65" t="s">
        <v>75</v>
      </c>
      <c r="K65" t="s">
        <v>77</v>
      </c>
      <c r="L65">
        <v>333</v>
      </c>
      <c r="M65">
        <v>16.649999999999999</v>
      </c>
      <c r="N65">
        <v>316.35000000000002</v>
      </c>
      <c r="O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 s="9" t="str">
        <f ca="1">IF(OR(ISNUMBER(Table13[[#This Row],[Order_Date]])=FALSE,Table13[[#This Row],[Order_Date]]&lt;DATE(2000,1,1),Table13[[#This Row],[Order_Date]]&gt;TODAY()),"YES","NO")</f>
        <v>NO</v>
      </c>
      <c r="Q65" s="9">
        <f>IF(Table13[[#This Row],[Order_Status]] = "Cancelled",0,IF(Table13[[#This Row],[Order_Status]] = "Returned",Table13[[#This Row],[Net_Sales]] * -1,Table13[[#This Row],[Net_Sales]]))</f>
        <v>316.35000000000002</v>
      </c>
      <c r="R65" s="9" t="str">
        <f>IF(Table13[[#This Row],[Gross_Sales]]&gt;=500, "YES","NO")</f>
        <v>NO</v>
      </c>
    </row>
    <row r="66" spans="1:18" x14ac:dyDescent="0.3">
      <c r="A66">
        <v>100061</v>
      </c>
      <c r="B66" s="8">
        <v>45294.5</v>
      </c>
      <c r="C66" t="s">
        <v>14</v>
      </c>
      <c r="D66" t="s">
        <v>17</v>
      </c>
      <c r="E66" t="s">
        <v>70</v>
      </c>
      <c r="F66" t="s">
        <v>72</v>
      </c>
      <c r="G66">
        <v>1</v>
      </c>
      <c r="H66">
        <v>101.15</v>
      </c>
      <c r="I66">
        <v>10</v>
      </c>
      <c r="J66" t="s">
        <v>76</v>
      </c>
      <c r="K66" t="s">
        <v>77</v>
      </c>
      <c r="L66">
        <v>101.15</v>
      </c>
      <c r="M66">
        <v>10.115</v>
      </c>
      <c r="N66">
        <v>91.034999999999997</v>
      </c>
      <c r="O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 s="9" t="str">
        <f ca="1">IF(OR(ISNUMBER(Table13[[#This Row],[Order_Date]])=FALSE,Table13[[#This Row],[Order_Date]]&lt;DATE(2000,1,1),Table13[[#This Row],[Order_Date]]&gt;TODAY()),"YES","NO")</f>
        <v>NO</v>
      </c>
      <c r="Q66" s="9">
        <f>IF(Table13[[#This Row],[Order_Status]] = "Cancelled",0,IF(Table13[[#This Row],[Order_Status]] = "Returned",Table13[[#This Row],[Net_Sales]] * -1,Table13[[#This Row],[Net_Sales]]))</f>
        <v>91.034999999999997</v>
      </c>
      <c r="R66" s="9" t="str">
        <f>IF(Table13[[#This Row],[Gross_Sales]]&gt;=500, "YES","NO")</f>
        <v>NO</v>
      </c>
    </row>
    <row r="67" spans="1:18" x14ac:dyDescent="0.3">
      <c r="A67">
        <v>100062</v>
      </c>
      <c r="B67" s="8">
        <v>45294.541666666657</v>
      </c>
      <c r="C67" t="s">
        <v>14</v>
      </c>
      <c r="D67" t="s">
        <v>24</v>
      </c>
      <c r="E67" t="s">
        <v>67</v>
      </c>
      <c r="F67" t="s">
        <v>71</v>
      </c>
      <c r="G67">
        <v>4</v>
      </c>
      <c r="H67">
        <v>99.46</v>
      </c>
      <c r="I67">
        <v>15</v>
      </c>
      <c r="J67" t="s">
        <v>75</v>
      </c>
      <c r="K67" t="s">
        <v>77</v>
      </c>
      <c r="L67">
        <v>397.84</v>
      </c>
      <c r="M67">
        <v>59.675999999999988</v>
      </c>
      <c r="N67">
        <v>338.16399999999999</v>
      </c>
      <c r="O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 s="9" t="str">
        <f ca="1">IF(OR(ISNUMBER(Table13[[#This Row],[Order_Date]])=FALSE,Table13[[#This Row],[Order_Date]]&lt;DATE(2000,1,1),Table13[[#This Row],[Order_Date]]&gt;TODAY()),"YES","NO")</f>
        <v>NO</v>
      </c>
      <c r="Q67" s="9">
        <f>IF(Table13[[#This Row],[Order_Status]] = "Cancelled",0,IF(Table13[[#This Row],[Order_Status]] = "Returned",Table13[[#This Row],[Net_Sales]] * -1,Table13[[#This Row],[Net_Sales]]))</f>
        <v>338.16399999999999</v>
      </c>
      <c r="R67" s="9" t="str">
        <f>IF(Table13[[#This Row],[Gross_Sales]]&gt;=500, "YES","NO")</f>
        <v>NO</v>
      </c>
    </row>
    <row r="68" spans="1:18" x14ac:dyDescent="0.3">
      <c r="A68">
        <v>100063</v>
      </c>
      <c r="B68" s="8">
        <v>45294.583333333343</v>
      </c>
      <c r="C68" t="s">
        <v>14</v>
      </c>
      <c r="D68" t="s">
        <v>36</v>
      </c>
      <c r="E68" t="s">
        <v>70</v>
      </c>
      <c r="F68" t="s">
        <v>71</v>
      </c>
      <c r="G68">
        <v>1</v>
      </c>
      <c r="H68">
        <v>101.98</v>
      </c>
      <c r="I68">
        <v>5</v>
      </c>
      <c r="J68" t="s">
        <v>74</v>
      </c>
      <c r="K68" t="s">
        <v>77</v>
      </c>
      <c r="L68">
        <v>101.98</v>
      </c>
      <c r="M68">
        <v>5.0990000000000002</v>
      </c>
      <c r="N68">
        <v>96.881</v>
      </c>
      <c r="O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 s="9" t="str">
        <f ca="1">IF(OR(ISNUMBER(Table13[[#This Row],[Order_Date]])=FALSE,Table13[[#This Row],[Order_Date]]&lt;DATE(2000,1,1),Table13[[#This Row],[Order_Date]]&gt;TODAY()),"YES","NO")</f>
        <v>NO</v>
      </c>
      <c r="Q68" s="9">
        <f>IF(Table13[[#This Row],[Order_Status]] = "Cancelled",0,IF(Table13[[#This Row],[Order_Status]] = "Returned",Table13[[#This Row],[Net_Sales]] * -1,Table13[[#This Row],[Net_Sales]]))</f>
        <v>96.881</v>
      </c>
      <c r="R68" s="9" t="str">
        <f>IF(Table13[[#This Row],[Gross_Sales]]&gt;=500, "YES","NO")</f>
        <v>NO</v>
      </c>
    </row>
    <row r="69" spans="1:18" x14ac:dyDescent="0.3">
      <c r="A69">
        <v>100064</v>
      </c>
      <c r="B69" s="8">
        <v>45294.625</v>
      </c>
      <c r="C69" t="s">
        <v>14</v>
      </c>
      <c r="D69" t="s">
        <v>35</v>
      </c>
      <c r="E69" t="s">
        <v>68</v>
      </c>
      <c r="F69" t="s">
        <v>71</v>
      </c>
      <c r="G69">
        <v>2</v>
      </c>
      <c r="H69">
        <v>60.79</v>
      </c>
      <c r="I69">
        <v>0</v>
      </c>
      <c r="J69" t="s">
        <v>75</v>
      </c>
      <c r="K69" t="s">
        <v>77</v>
      </c>
      <c r="L69">
        <v>121.58</v>
      </c>
      <c r="M69">
        <v>0</v>
      </c>
      <c r="N69">
        <v>121.58</v>
      </c>
      <c r="O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 s="9" t="str">
        <f ca="1">IF(OR(ISNUMBER(Table13[[#This Row],[Order_Date]])=FALSE,Table13[[#This Row],[Order_Date]]&lt;DATE(2000,1,1),Table13[[#This Row],[Order_Date]]&gt;TODAY()),"YES","NO")</f>
        <v>NO</v>
      </c>
      <c r="Q69" s="9">
        <f>IF(Table13[[#This Row],[Order_Status]] = "Cancelled",0,IF(Table13[[#This Row],[Order_Status]] = "Returned",Table13[[#This Row],[Net_Sales]] * -1,Table13[[#This Row],[Net_Sales]]))</f>
        <v>121.58</v>
      </c>
      <c r="R69" s="9" t="str">
        <f>IF(Table13[[#This Row],[Gross_Sales]]&gt;=500, "YES","NO")</f>
        <v>NO</v>
      </c>
    </row>
    <row r="70" spans="1:18" x14ac:dyDescent="0.3">
      <c r="A70">
        <v>100065</v>
      </c>
      <c r="B70" s="8">
        <v>45294.666666666657</v>
      </c>
      <c r="C70" t="s">
        <v>14</v>
      </c>
      <c r="D70" t="s">
        <v>20</v>
      </c>
      <c r="E70" t="s">
        <v>70</v>
      </c>
      <c r="F70" t="s">
        <v>71</v>
      </c>
      <c r="G70">
        <v>4</v>
      </c>
      <c r="H70">
        <v>43.37</v>
      </c>
      <c r="I70">
        <v>10</v>
      </c>
      <c r="J70" t="s">
        <v>75</v>
      </c>
      <c r="K70" t="s">
        <v>78</v>
      </c>
      <c r="L70">
        <v>173.48</v>
      </c>
      <c r="M70">
        <v>17.347999999999999</v>
      </c>
      <c r="N70">
        <v>156.13200000000001</v>
      </c>
      <c r="O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0" s="9" t="str">
        <f ca="1">IF(OR(ISNUMBER(Table13[[#This Row],[Order_Date]])=FALSE,Table13[[#This Row],[Order_Date]]&lt;DATE(2000,1,1),Table13[[#This Row],[Order_Date]]&gt;TODAY()),"YES","NO")</f>
        <v>NO</v>
      </c>
      <c r="Q70" s="9">
        <f>IF(Table13[[#This Row],[Order_Status]] = "Cancelled",0,IF(Table13[[#This Row],[Order_Status]] = "Returned",Table13[[#This Row],[Net_Sales]] * -1,Table13[[#This Row],[Net_Sales]]))</f>
        <v>-156.13200000000001</v>
      </c>
      <c r="R70" s="9" t="str">
        <f>IF(Table13[[#This Row],[Gross_Sales]]&gt;=500, "YES","NO")</f>
        <v>NO</v>
      </c>
    </row>
    <row r="71" spans="1:18" x14ac:dyDescent="0.3">
      <c r="A71">
        <v>100066</v>
      </c>
      <c r="B71" s="8">
        <v>45294.708333333343</v>
      </c>
      <c r="C71" t="s">
        <v>15</v>
      </c>
      <c r="D71" t="s">
        <v>53</v>
      </c>
      <c r="E71" t="s">
        <v>70</v>
      </c>
      <c r="F71" t="s">
        <v>72</v>
      </c>
      <c r="G71">
        <v>1</v>
      </c>
      <c r="H71">
        <v>96.03</v>
      </c>
      <c r="I71">
        <v>0</v>
      </c>
      <c r="J71" t="s">
        <v>76</v>
      </c>
      <c r="K71" t="s">
        <v>77</v>
      </c>
      <c r="L71">
        <v>96.03</v>
      </c>
      <c r="M71">
        <v>0</v>
      </c>
      <c r="N71">
        <v>96.03</v>
      </c>
      <c r="O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 s="9" t="str">
        <f ca="1">IF(OR(ISNUMBER(Table13[[#This Row],[Order_Date]])=FALSE,Table13[[#This Row],[Order_Date]]&lt;DATE(2000,1,1),Table13[[#This Row],[Order_Date]]&gt;TODAY()),"YES","NO")</f>
        <v>NO</v>
      </c>
      <c r="Q71" s="9">
        <f>IF(Table13[[#This Row],[Order_Status]] = "Cancelled",0,IF(Table13[[#This Row],[Order_Status]] = "Returned",Table13[[#This Row],[Net_Sales]] * -1,Table13[[#This Row],[Net_Sales]]))</f>
        <v>96.03</v>
      </c>
      <c r="R71" s="9" t="str">
        <f>IF(Table13[[#This Row],[Gross_Sales]]&gt;=500, "YES","NO")</f>
        <v>NO</v>
      </c>
    </row>
    <row r="72" spans="1:18" x14ac:dyDescent="0.3">
      <c r="A72">
        <v>100067</v>
      </c>
      <c r="B72" s="8">
        <v>45294.75</v>
      </c>
      <c r="C72" t="s">
        <v>15</v>
      </c>
      <c r="D72" t="s">
        <v>36</v>
      </c>
      <c r="E72" t="s">
        <v>66</v>
      </c>
      <c r="F72" t="s">
        <v>72</v>
      </c>
      <c r="G72">
        <v>3</v>
      </c>
      <c r="H72">
        <v>56.9</v>
      </c>
      <c r="I72">
        <v>10</v>
      </c>
      <c r="J72" t="s">
        <v>76</v>
      </c>
      <c r="K72" t="s">
        <v>79</v>
      </c>
      <c r="L72">
        <v>170.7</v>
      </c>
      <c r="M72">
        <v>17.07</v>
      </c>
      <c r="N72">
        <v>153.63</v>
      </c>
      <c r="O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2" s="9" t="str">
        <f ca="1">IF(OR(ISNUMBER(Table13[[#This Row],[Order_Date]])=FALSE,Table13[[#This Row],[Order_Date]]&lt;DATE(2000,1,1),Table13[[#This Row],[Order_Date]]&gt;TODAY()),"YES","NO")</f>
        <v>NO</v>
      </c>
      <c r="Q72" s="9">
        <f>IF(Table13[[#This Row],[Order_Status]] = "Cancelled",0,IF(Table13[[#This Row],[Order_Status]] = "Returned",Table13[[#This Row],[Net_Sales]] * -1,Table13[[#This Row],[Net_Sales]]))</f>
        <v>0</v>
      </c>
      <c r="R72" s="9" t="str">
        <f>IF(Table13[[#This Row],[Gross_Sales]]&gt;=500, "YES","NO")</f>
        <v>NO</v>
      </c>
    </row>
    <row r="73" spans="1:18" x14ac:dyDescent="0.3">
      <c r="A73">
        <v>100068</v>
      </c>
      <c r="B73" s="8">
        <v>45294.791666666657</v>
      </c>
      <c r="C73" t="s">
        <v>14</v>
      </c>
      <c r="D73" t="s">
        <v>38</v>
      </c>
      <c r="E73" t="s">
        <v>69</v>
      </c>
      <c r="F73" t="s">
        <v>72</v>
      </c>
      <c r="G73">
        <v>3</v>
      </c>
      <c r="H73">
        <v>26.1</v>
      </c>
      <c r="I73">
        <v>5</v>
      </c>
      <c r="J73" t="s">
        <v>73</v>
      </c>
      <c r="K73" t="s">
        <v>77</v>
      </c>
      <c r="L73">
        <v>78.300000000000011</v>
      </c>
      <c r="M73">
        <v>3.9150000000000009</v>
      </c>
      <c r="N73">
        <v>74.385000000000005</v>
      </c>
      <c r="O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 s="9" t="str">
        <f ca="1">IF(OR(ISNUMBER(Table13[[#This Row],[Order_Date]])=FALSE,Table13[[#This Row],[Order_Date]]&lt;DATE(2000,1,1),Table13[[#This Row],[Order_Date]]&gt;TODAY()),"YES","NO")</f>
        <v>NO</v>
      </c>
      <c r="Q73" s="9">
        <f>IF(Table13[[#This Row],[Order_Status]] = "Cancelled",0,IF(Table13[[#This Row],[Order_Status]] = "Returned",Table13[[#This Row],[Net_Sales]] * -1,Table13[[#This Row],[Net_Sales]]))</f>
        <v>74.385000000000005</v>
      </c>
      <c r="R73" s="9" t="str">
        <f>IF(Table13[[#This Row],[Gross_Sales]]&gt;=500, "YES","NO")</f>
        <v>NO</v>
      </c>
    </row>
    <row r="74" spans="1:18" x14ac:dyDescent="0.3">
      <c r="A74">
        <v>100069</v>
      </c>
      <c r="B74" s="8">
        <v>45294.833333333343</v>
      </c>
      <c r="C74" t="s">
        <v>15</v>
      </c>
      <c r="D74" t="s">
        <v>54</v>
      </c>
      <c r="E74" t="s">
        <v>69</v>
      </c>
      <c r="F74" t="s">
        <v>71</v>
      </c>
      <c r="G74">
        <v>2</v>
      </c>
      <c r="H74">
        <v>103.32</v>
      </c>
      <c r="I74">
        <v>15</v>
      </c>
      <c r="J74" t="s">
        <v>73</v>
      </c>
      <c r="K74" t="s">
        <v>77</v>
      </c>
      <c r="L74">
        <v>206.64</v>
      </c>
      <c r="M74">
        <v>30.995999999999999</v>
      </c>
      <c r="N74">
        <v>175.64400000000001</v>
      </c>
      <c r="O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 s="9" t="str">
        <f ca="1">IF(OR(ISNUMBER(Table13[[#This Row],[Order_Date]])=FALSE,Table13[[#This Row],[Order_Date]]&lt;DATE(2000,1,1),Table13[[#This Row],[Order_Date]]&gt;TODAY()),"YES","NO")</f>
        <v>NO</v>
      </c>
      <c r="Q74" s="9">
        <f>IF(Table13[[#This Row],[Order_Status]] = "Cancelled",0,IF(Table13[[#This Row],[Order_Status]] = "Returned",Table13[[#This Row],[Net_Sales]] * -1,Table13[[#This Row],[Net_Sales]]))</f>
        <v>175.64400000000001</v>
      </c>
      <c r="R74" s="9" t="str">
        <f>IF(Table13[[#This Row],[Gross_Sales]]&gt;=500, "YES","NO")</f>
        <v>NO</v>
      </c>
    </row>
    <row r="75" spans="1:18" x14ac:dyDescent="0.3">
      <c r="A75">
        <v>100070</v>
      </c>
      <c r="B75" s="8">
        <v>45294.875</v>
      </c>
      <c r="C75" t="s">
        <v>15</v>
      </c>
      <c r="D75" t="s">
        <v>37</v>
      </c>
      <c r="E75" t="s">
        <v>68</v>
      </c>
      <c r="F75" t="s">
        <v>72</v>
      </c>
      <c r="G75">
        <v>4</v>
      </c>
      <c r="H75">
        <v>106.49</v>
      </c>
      <c r="I75">
        <v>10</v>
      </c>
      <c r="J75" t="s">
        <v>76</v>
      </c>
      <c r="K75" t="s">
        <v>78</v>
      </c>
      <c r="L75">
        <v>425.96</v>
      </c>
      <c r="M75">
        <v>42.595999999999997</v>
      </c>
      <c r="N75">
        <v>383.36399999999998</v>
      </c>
      <c r="O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5" s="9" t="str">
        <f ca="1">IF(OR(ISNUMBER(Table13[[#This Row],[Order_Date]])=FALSE,Table13[[#This Row],[Order_Date]]&lt;DATE(2000,1,1),Table13[[#This Row],[Order_Date]]&gt;TODAY()),"YES","NO")</f>
        <v>NO</v>
      </c>
      <c r="Q75" s="9">
        <f>IF(Table13[[#This Row],[Order_Status]] = "Cancelled",0,IF(Table13[[#This Row],[Order_Status]] = "Returned",Table13[[#This Row],[Net_Sales]] * -1,Table13[[#This Row],[Net_Sales]]))</f>
        <v>-383.36399999999998</v>
      </c>
      <c r="R75" s="9" t="str">
        <f>IF(Table13[[#This Row],[Gross_Sales]]&gt;=500, "YES","NO")</f>
        <v>NO</v>
      </c>
    </row>
    <row r="76" spans="1:18" x14ac:dyDescent="0.3">
      <c r="A76">
        <v>100071</v>
      </c>
      <c r="B76" s="8">
        <v>45294.916666666657</v>
      </c>
      <c r="C76" t="s">
        <v>15</v>
      </c>
      <c r="D76" t="s">
        <v>44</v>
      </c>
      <c r="E76" t="s">
        <v>68</v>
      </c>
      <c r="F76" t="s">
        <v>71</v>
      </c>
      <c r="G76">
        <v>4</v>
      </c>
      <c r="H76">
        <v>58.63</v>
      </c>
      <c r="I76">
        <v>10</v>
      </c>
      <c r="J76" t="s">
        <v>75</v>
      </c>
      <c r="K76" t="s">
        <v>77</v>
      </c>
      <c r="L76">
        <v>234.52</v>
      </c>
      <c r="M76">
        <v>23.452000000000002</v>
      </c>
      <c r="N76">
        <v>211.06800000000001</v>
      </c>
      <c r="O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 s="9" t="str">
        <f ca="1">IF(OR(ISNUMBER(Table13[[#This Row],[Order_Date]])=FALSE,Table13[[#This Row],[Order_Date]]&lt;DATE(2000,1,1),Table13[[#This Row],[Order_Date]]&gt;TODAY()),"YES","NO")</f>
        <v>NO</v>
      </c>
      <c r="Q76" s="9">
        <f>IF(Table13[[#This Row],[Order_Status]] = "Cancelled",0,IF(Table13[[#This Row],[Order_Status]] = "Returned",Table13[[#This Row],[Net_Sales]] * -1,Table13[[#This Row],[Net_Sales]]))</f>
        <v>211.06800000000001</v>
      </c>
      <c r="R76" s="9" t="str">
        <f>IF(Table13[[#This Row],[Gross_Sales]]&gt;=500, "YES","NO")</f>
        <v>NO</v>
      </c>
    </row>
    <row r="77" spans="1:18" x14ac:dyDescent="0.3">
      <c r="A77">
        <v>100072</v>
      </c>
      <c r="B77" s="8">
        <v>45294.958333333343</v>
      </c>
      <c r="C77" t="s">
        <v>15</v>
      </c>
      <c r="D77" t="s">
        <v>21</v>
      </c>
      <c r="E77" t="s">
        <v>69</v>
      </c>
      <c r="F77" t="s">
        <v>71</v>
      </c>
      <c r="G77">
        <v>4</v>
      </c>
      <c r="H77">
        <v>13.71</v>
      </c>
      <c r="I77">
        <v>0</v>
      </c>
      <c r="J77" t="s">
        <v>75</v>
      </c>
      <c r="K77" t="s">
        <v>77</v>
      </c>
      <c r="L77">
        <v>54.84</v>
      </c>
      <c r="M77">
        <v>0</v>
      </c>
      <c r="N77">
        <v>54.84</v>
      </c>
      <c r="O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 s="9" t="str">
        <f ca="1">IF(OR(ISNUMBER(Table13[[#This Row],[Order_Date]])=FALSE,Table13[[#This Row],[Order_Date]]&lt;DATE(2000,1,1),Table13[[#This Row],[Order_Date]]&gt;TODAY()),"YES","NO")</f>
        <v>NO</v>
      </c>
      <c r="Q77" s="9">
        <f>IF(Table13[[#This Row],[Order_Status]] = "Cancelled",0,IF(Table13[[#This Row],[Order_Status]] = "Returned",Table13[[#This Row],[Net_Sales]] * -1,Table13[[#This Row],[Net_Sales]]))</f>
        <v>54.84</v>
      </c>
      <c r="R77" s="9" t="str">
        <f>IF(Table13[[#This Row],[Gross_Sales]]&gt;=500, "YES","NO")</f>
        <v>NO</v>
      </c>
    </row>
    <row r="78" spans="1:18" x14ac:dyDescent="0.3">
      <c r="A78">
        <v>100073</v>
      </c>
      <c r="B78" s="8">
        <v>45295</v>
      </c>
      <c r="C78" t="s">
        <v>14</v>
      </c>
      <c r="D78" t="s">
        <v>46</v>
      </c>
      <c r="E78" t="s">
        <v>66</v>
      </c>
      <c r="F78" t="s">
        <v>71</v>
      </c>
      <c r="G78">
        <v>2</v>
      </c>
      <c r="H78">
        <v>49.6</v>
      </c>
      <c r="I78">
        <v>5</v>
      </c>
      <c r="J78" t="s">
        <v>73</v>
      </c>
      <c r="K78" t="s">
        <v>79</v>
      </c>
      <c r="L78">
        <v>99.2</v>
      </c>
      <c r="M78">
        <v>4.9600000000000009</v>
      </c>
      <c r="N78">
        <v>94.240000000000009</v>
      </c>
      <c r="O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8" s="9" t="str">
        <f ca="1">IF(OR(ISNUMBER(Table13[[#This Row],[Order_Date]])=FALSE,Table13[[#This Row],[Order_Date]]&lt;DATE(2000,1,1),Table13[[#This Row],[Order_Date]]&gt;TODAY()),"YES","NO")</f>
        <v>NO</v>
      </c>
      <c r="Q78" s="9">
        <f>IF(Table13[[#This Row],[Order_Status]] = "Cancelled",0,IF(Table13[[#This Row],[Order_Status]] = "Returned",Table13[[#This Row],[Net_Sales]] * -1,Table13[[#This Row],[Net_Sales]]))</f>
        <v>0</v>
      </c>
      <c r="R78" s="9" t="str">
        <f>IF(Table13[[#This Row],[Gross_Sales]]&gt;=500, "YES","NO")</f>
        <v>NO</v>
      </c>
    </row>
    <row r="79" spans="1:18" x14ac:dyDescent="0.3">
      <c r="A79">
        <v>100074</v>
      </c>
      <c r="B79" s="8">
        <v>45295.041666666657</v>
      </c>
      <c r="C79" t="s">
        <v>15</v>
      </c>
      <c r="D79" t="s">
        <v>55</v>
      </c>
      <c r="E79" t="s">
        <v>69</v>
      </c>
      <c r="F79" t="s">
        <v>71</v>
      </c>
      <c r="G79">
        <v>4</v>
      </c>
      <c r="H79">
        <v>97.41</v>
      </c>
      <c r="I79">
        <v>0</v>
      </c>
      <c r="J79" t="s">
        <v>73</v>
      </c>
      <c r="K79" t="s">
        <v>77</v>
      </c>
      <c r="L79">
        <v>389.64</v>
      </c>
      <c r="M79">
        <v>0</v>
      </c>
      <c r="N79">
        <v>389.64</v>
      </c>
      <c r="O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 s="9" t="str">
        <f ca="1">IF(OR(ISNUMBER(Table13[[#This Row],[Order_Date]])=FALSE,Table13[[#This Row],[Order_Date]]&lt;DATE(2000,1,1),Table13[[#This Row],[Order_Date]]&gt;TODAY()),"YES","NO")</f>
        <v>NO</v>
      </c>
      <c r="Q79" s="9">
        <f>IF(Table13[[#This Row],[Order_Status]] = "Cancelled",0,IF(Table13[[#This Row],[Order_Status]] = "Returned",Table13[[#This Row],[Net_Sales]] * -1,Table13[[#This Row],[Net_Sales]]))</f>
        <v>389.64</v>
      </c>
      <c r="R79" s="9" t="str">
        <f>IF(Table13[[#This Row],[Gross_Sales]]&gt;=500, "YES","NO")</f>
        <v>NO</v>
      </c>
    </row>
    <row r="80" spans="1:18" x14ac:dyDescent="0.3">
      <c r="A80">
        <v>100075</v>
      </c>
      <c r="B80" s="8">
        <v>45295.083333333343</v>
      </c>
      <c r="C80" t="s">
        <v>14</v>
      </c>
      <c r="D80" t="s">
        <v>56</v>
      </c>
      <c r="E80" t="s">
        <v>66</v>
      </c>
      <c r="F80" t="s">
        <v>71</v>
      </c>
      <c r="G80">
        <v>3</v>
      </c>
      <c r="H80">
        <v>108.7</v>
      </c>
      <c r="I80">
        <v>5</v>
      </c>
      <c r="J80" t="s">
        <v>73</v>
      </c>
      <c r="K80" t="s">
        <v>77</v>
      </c>
      <c r="L80">
        <v>326.10000000000002</v>
      </c>
      <c r="M80">
        <v>16.305</v>
      </c>
      <c r="N80">
        <v>309.79500000000002</v>
      </c>
      <c r="O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 s="9" t="str">
        <f ca="1">IF(OR(ISNUMBER(Table13[[#This Row],[Order_Date]])=FALSE,Table13[[#This Row],[Order_Date]]&lt;DATE(2000,1,1),Table13[[#This Row],[Order_Date]]&gt;TODAY()),"YES","NO")</f>
        <v>NO</v>
      </c>
      <c r="Q80" s="9">
        <f>IF(Table13[[#This Row],[Order_Status]] = "Cancelled",0,IF(Table13[[#This Row],[Order_Status]] = "Returned",Table13[[#This Row],[Net_Sales]] * -1,Table13[[#This Row],[Net_Sales]]))</f>
        <v>309.79500000000002</v>
      </c>
      <c r="R80" s="9" t="str">
        <f>IF(Table13[[#This Row],[Gross_Sales]]&gt;=500, "YES","NO")</f>
        <v>NO</v>
      </c>
    </row>
    <row r="81" spans="1:18" x14ac:dyDescent="0.3">
      <c r="A81">
        <v>100076</v>
      </c>
      <c r="B81" s="8">
        <v>45295.125</v>
      </c>
      <c r="C81" t="s">
        <v>15</v>
      </c>
      <c r="D81" t="s">
        <v>41</v>
      </c>
      <c r="E81" t="s">
        <v>68</v>
      </c>
      <c r="F81" t="s">
        <v>71</v>
      </c>
      <c r="G81">
        <v>1</v>
      </c>
      <c r="H81">
        <v>28.4</v>
      </c>
      <c r="I81">
        <v>0</v>
      </c>
      <c r="J81" t="s">
        <v>74</v>
      </c>
      <c r="K81" t="s">
        <v>77</v>
      </c>
      <c r="L81">
        <v>28.4</v>
      </c>
      <c r="M81">
        <v>0</v>
      </c>
      <c r="N81">
        <v>28.4</v>
      </c>
      <c r="O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 s="9" t="str">
        <f ca="1">IF(OR(ISNUMBER(Table13[[#This Row],[Order_Date]])=FALSE,Table13[[#This Row],[Order_Date]]&lt;DATE(2000,1,1),Table13[[#This Row],[Order_Date]]&gt;TODAY()),"YES","NO")</f>
        <v>NO</v>
      </c>
      <c r="Q81" s="9">
        <f>IF(Table13[[#This Row],[Order_Status]] = "Cancelled",0,IF(Table13[[#This Row],[Order_Status]] = "Returned",Table13[[#This Row],[Net_Sales]] * -1,Table13[[#This Row],[Net_Sales]]))</f>
        <v>28.4</v>
      </c>
      <c r="R81" s="9" t="str">
        <f>IF(Table13[[#This Row],[Gross_Sales]]&gt;=500, "YES","NO")</f>
        <v>NO</v>
      </c>
    </row>
    <row r="82" spans="1:18" x14ac:dyDescent="0.3">
      <c r="A82">
        <v>100077</v>
      </c>
      <c r="B82" s="8">
        <v>45295.166666666657</v>
      </c>
      <c r="C82" t="s">
        <v>15</v>
      </c>
      <c r="D82" t="s">
        <v>44</v>
      </c>
      <c r="E82" t="s">
        <v>67</v>
      </c>
      <c r="F82" t="s">
        <v>72</v>
      </c>
      <c r="G82">
        <v>3</v>
      </c>
      <c r="H82">
        <v>12.7</v>
      </c>
      <c r="I82">
        <v>10</v>
      </c>
      <c r="J82" t="s">
        <v>74</v>
      </c>
      <c r="K82" t="s">
        <v>77</v>
      </c>
      <c r="L82">
        <v>38.099999999999987</v>
      </c>
      <c r="M82">
        <v>3.81</v>
      </c>
      <c r="N82">
        <v>34.289999999999992</v>
      </c>
      <c r="O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 s="9" t="str">
        <f ca="1">IF(OR(ISNUMBER(Table13[[#This Row],[Order_Date]])=FALSE,Table13[[#This Row],[Order_Date]]&lt;DATE(2000,1,1),Table13[[#This Row],[Order_Date]]&gt;TODAY()),"YES","NO")</f>
        <v>NO</v>
      </c>
      <c r="Q82" s="9">
        <f>IF(Table13[[#This Row],[Order_Status]] = "Cancelled",0,IF(Table13[[#This Row],[Order_Status]] = "Returned",Table13[[#This Row],[Net_Sales]] * -1,Table13[[#This Row],[Net_Sales]]))</f>
        <v>34.289999999999992</v>
      </c>
      <c r="R82" s="9" t="str">
        <f>IF(Table13[[#This Row],[Gross_Sales]]&gt;=500, "YES","NO")</f>
        <v>NO</v>
      </c>
    </row>
    <row r="83" spans="1:18" x14ac:dyDescent="0.3">
      <c r="A83">
        <v>100078</v>
      </c>
      <c r="B83" s="8">
        <v>45295.208333333343</v>
      </c>
      <c r="C83" t="s">
        <v>15</v>
      </c>
      <c r="D83" t="s">
        <v>48</v>
      </c>
      <c r="E83" t="s">
        <v>68</v>
      </c>
      <c r="F83" t="s">
        <v>71</v>
      </c>
      <c r="G83">
        <v>3</v>
      </c>
      <c r="H83">
        <v>105.9</v>
      </c>
      <c r="I83">
        <v>0</v>
      </c>
      <c r="J83" t="s">
        <v>73</v>
      </c>
      <c r="K83" t="s">
        <v>77</v>
      </c>
      <c r="L83">
        <v>317.7</v>
      </c>
      <c r="M83">
        <v>0</v>
      </c>
      <c r="N83">
        <v>317.7</v>
      </c>
      <c r="O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 s="9" t="str">
        <f ca="1">IF(OR(ISNUMBER(Table13[[#This Row],[Order_Date]])=FALSE,Table13[[#This Row],[Order_Date]]&lt;DATE(2000,1,1),Table13[[#This Row],[Order_Date]]&gt;TODAY()),"YES","NO")</f>
        <v>NO</v>
      </c>
      <c r="Q83" s="9">
        <f>IF(Table13[[#This Row],[Order_Status]] = "Cancelled",0,IF(Table13[[#This Row],[Order_Status]] = "Returned",Table13[[#This Row],[Net_Sales]] * -1,Table13[[#This Row],[Net_Sales]]))</f>
        <v>317.7</v>
      </c>
      <c r="R83" s="9" t="str">
        <f>IF(Table13[[#This Row],[Gross_Sales]]&gt;=500, "YES","NO")</f>
        <v>NO</v>
      </c>
    </row>
    <row r="84" spans="1:18" x14ac:dyDescent="0.3">
      <c r="A84">
        <v>100079</v>
      </c>
      <c r="B84" s="8">
        <v>45295.25</v>
      </c>
      <c r="C84" t="s">
        <v>14</v>
      </c>
      <c r="D84" t="s">
        <v>34</v>
      </c>
      <c r="E84" t="s">
        <v>68</v>
      </c>
      <c r="F84" t="s">
        <v>72</v>
      </c>
      <c r="G84">
        <v>1</v>
      </c>
      <c r="H84">
        <v>49.78</v>
      </c>
      <c r="I84">
        <v>15</v>
      </c>
      <c r="J84" t="s">
        <v>75</v>
      </c>
      <c r="K84" t="s">
        <v>77</v>
      </c>
      <c r="L84">
        <v>49.78</v>
      </c>
      <c r="M84">
        <v>7.4669999999999996</v>
      </c>
      <c r="N84">
        <v>42.313000000000002</v>
      </c>
      <c r="O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 s="9" t="str">
        <f ca="1">IF(OR(ISNUMBER(Table13[[#This Row],[Order_Date]])=FALSE,Table13[[#This Row],[Order_Date]]&lt;DATE(2000,1,1),Table13[[#This Row],[Order_Date]]&gt;TODAY()),"YES","NO")</f>
        <v>NO</v>
      </c>
      <c r="Q84" s="9">
        <f>IF(Table13[[#This Row],[Order_Status]] = "Cancelled",0,IF(Table13[[#This Row],[Order_Status]] = "Returned",Table13[[#This Row],[Net_Sales]] * -1,Table13[[#This Row],[Net_Sales]]))</f>
        <v>42.313000000000002</v>
      </c>
      <c r="R84" s="9" t="str">
        <f>IF(Table13[[#This Row],[Gross_Sales]]&gt;=500, "YES","NO")</f>
        <v>NO</v>
      </c>
    </row>
    <row r="85" spans="1:18" x14ac:dyDescent="0.3">
      <c r="A85">
        <v>100080</v>
      </c>
      <c r="B85" s="8">
        <v>45295.291666666657</v>
      </c>
      <c r="C85" t="s">
        <v>15</v>
      </c>
      <c r="D85" t="s">
        <v>57</v>
      </c>
      <c r="E85" t="s">
        <v>70</v>
      </c>
      <c r="F85" t="s">
        <v>72</v>
      </c>
      <c r="G85">
        <v>3</v>
      </c>
      <c r="H85">
        <v>67.3</v>
      </c>
      <c r="I85">
        <v>5</v>
      </c>
      <c r="J85" t="s">
        <v>73</v>
      </c>
      <c r="K85" t="s">
        <v>77</v>
      </c>
      <c r="L85">
        <v>201.9</v>
      </c>
      <c r="M85">
        <v>10.095000000000001</v>
      </c>
      <c r="N85">
        <v>191.80500000000001</v>
      </c>
      <c r="O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 s="9" t="str">
        <f ca="1">IF(OR(ISNUMBER(Table13[[#This Row],[Order_Date]])=FALSE,Table13[[#This Row],[Order_Date]]&lt;DATE(2000,1,1),Table13[[#This Row],[Order_Date]]&gt;TODAY()),"YES","NO")</f>
        <v>NO</v>
      </c>
      <c r="Q85" s="9">
        <f>IF(Table13[[#This Row],[Order_Status]] = "Cancelled",0,IF(Table13[[#This Row],[Order_Status]] = "Returned",Table13[[#This Row],[Net_Sales]] * -1,Table13[[#This Row],[Net_Sales]]))</f>
        <v>191.80500000000001</v>
      </c>
      <c r="R85" s="9" t="str">
        <f>IF(Table13[[#This Row],[Gross_Sales]]&gt;=500, "YES","NO")</f>
        <v>NO</v>
      </c>
    </row>
    <row r="86" spans="1:18" x14ac:dyDescent="0.3">
      <c r="A86">
        <v>100081</v>
      </c>
      <c r="B86" s="8">
        <v>45295.333333333343</v>
      </c>
      <c r="C86" t="s">
        <v>14</v>
      </c>
      <c r="D86" t="s">
        <v>36</v>
      </c>
      <c r="E86" t="s">
        <v>70</v>
      </c>
      <c r="F86" t="s">
        <v>71</v>
      </c>
      <c r="G86">
        <v>2</v>
      </c>
      <c r="H86">
        <v>116.33</v>
      </c>
      <c r="I86">
        <v>5</v>
      </c>
      <c r="J86" t="s">
        <v>74</v>
      </c>
      <c r="K86" t="s">
        <v>77</v>
      </c>
      <c r="L86">
        <v>232.66</v>
      </c>
      <c r="M86">
        <v>11.632999999999999</v>
      </c>
      <c r="N86">
        <v>221.02699999999999</v>
      </c>
      <c r="O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 s="9" t="str">
        <f ca="1">IF(OR(ISNUMBER(Table13[[#This Row],[Order_Date]])=FALSE,Table13[[#This Row],[Order_Date]]&lt;DATE(2000,1,1),Table13[[#This Row],[Order_Date]]&gt;TODAY()),"YES","NO")</f>
        <v>NO</v>
      </c>
      <c r="Q86" s="9">
        <f>IF(Table13[[#This Row],[Order_Status]] = "Cancelled",0,IF(Table13[[#This Row],[Order_Status]] = "Returned",Table13[[#This Row],[Net_Sales]] * -1,Table13[[#This Row],[Net_Sales]]))</f>
        <v>221.02699999999999</v>
      </c>
      <c r="R86" s="9" t="str">
        <f>IF(Table13[[#This Row],[Gross_Sales]]&gt;=500, "YES","NO")</f>
        <v>NO</v>
      </c>
    </row>
    <row r="87" spans="1:18" x14ac:dyDescent="0.3">
      <c r="A87">
        <v>100082</v>
      </c>
      <c r="B87" s="8">
        <v>45295.375</v>
      </c>
      <c r="C87" t="s">
        <v>15</v>
      </c>
      <c r="D87" t="s">
        <v>58</v>
      </c>
      <c r="E87" t="s">
        <v>70</v>
      </c>
      <c r="F87" t="s">
        <v>71</v>
      </c>
      <c r="G87">
        <v>1</v>
      </c>
      <c r="H87">
        <v>12.65</v>
      </c>
      <c r="I87">
        <v>10</v>
      </c>
      <c r="J87" t="s">
        <v>75</v>
      </c>
      <c r="K87" t="s">
        <v>77</v>
      </c>
      <c r="L87">
        <v>12.65</v>
      </c>
      <c r="M87">
        <v>1.2649999999999999</v>
      </c>
      <c r="N87">
        <v>11.385</v>
      </c>
      <c r="O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 s="9" t="str">
        <f ca="1">IF(OR(ISNUMBER(Table13[[#This Row],[Order_Date]])=FALSE,Table13[[#This Row],[Order_Date]]&lt;DATE(2000,1,1),Table13[[#This Row],[Order_Date]]&gt;TODAY()),"YES","NO")</f>
        <v>NO</v>
      </c>
      <c r="Q87" s="9">
        <f>IF(Table13[[#This Row],[Order_Status]] = "Cancelled",0,IF(Table13[[#This Row],[Order_Status]] = "Returned",Table13[[#This Row],[Net_Sales]] * -1,Table13[[#This Row],[Net_Sales]]))</f>
        <v>11.385</v>
      </c>
      <c r="R87" s="9" t="str">
        <f>IF(Table13[[#This Row],[Gross_Sales]]&gt;=500, "YES","NO")</f>
        <v>NO</v>
      </c>
    </row>
    <row r="88" spans="1:18" x14ac:dyDescent="0.3">
      <c r="A88">
        <v>100083</v>
      </c>
      <c r="B88" s="8">
        <v>45295.416666666657</v>
      </c>
      <c r="C88" t="s">
        <v>14</v>
      </c>
      <c r="D88" t="s">
        <v>28</v>
      </c>
      <c r="E88" t="s">
        <v>70</v>
      </c>
      <c r="F88" t="s">
        <v>71</v>
      </c>
      <c r="G88">
        <v>3</v>
      </c>
      <c r="H88">
        <v>79.56</v>
      </c>
      <c r="I88">
        <v>5</v>
      </c>
      <c r="J88" t="s">
        <v>74</v>
      </c>
      <c r="K88" t="s">
        <v>77</v>
      </c>
      <c r="L88">
        <v>238.68</v>
      </c>
      <c r="M88">
        <v>11.933999999999999</v>
      </c>
      <c r="N88">
        <v>226.74600000000001</v>
      </c>
      <c r="O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 s="9" t="str">
        <f ca="1">IF(OR(ISNUMBER(Table13[[#This Row],[Order_Date]])=FALSE,Table13[[#This Row],[Order_Date]]&lt;DATE(2000,1,1),Table13[[#This Row],[Order_Date]]&gt;TODAY()),"YES","NO")</f>
        <v>NO</v>
      </c>
      <c r="Q88" s="9">
        <f>IF(Table13[[#This Row],[Order_Status]] = "Cancelled",0,IF(Table13[[#This Row],[Order_Status]] = "Returned",Table13[[#This Row],[Net_Sales]] * -1,Table13[[#This Row],[Net_Sales]]))</f>
        <v>226.74600000000001</v>
      </c>
      <c r="R88" s="9" t="str">
        <f>IF(Table13[[#This Row],[Gross_Sales]]&gt;=500, "YES","NO")</f>
        <v>NO</v>
      </c>
    </row>
    <row r="89" spans="1:18" x14ac:dyDescent="0.3">
      <c r="A89">
        <v>100084</v>
      </c>
      <c r="B89" s="8">
        <v>45295.458333333343</v>
      </c>
      <c r="C89" t="s">
        <v>15</v>
      </c>
      <c r="D89" t="s">
        <v>33</v>
      </c>
      <c r="E89" t="s">
        <v>66</v>
      </c>
      <c r="F89" t="s">
        <v>72</v>
      </c>
      <c r="G89">
        <v>5</v>
      </c>
      <c r="H89">
        <v>13.52</v>
      </c>
      <c r="I89">
        <v>15</v>
      </c>
      <c r="J89" t="s">
        <v>75</v>
      </c>
      <c r="K89" t="s">
        <v>77</v>
      </c>
      <c r="L89">
        <v>67.599999999999994</v>
      </c>
      <c r="M89">
        <v>10.14</v>
      </c>
      <c r="N89">
        <v>57.459999999999987</v>
      </c>
      <c r="O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 s="9" t="str">
        <f ca="1">IF(OR(ISNUMBER(Table13[[#This Row],[Order_Date]])=FALSE,Table13[[#This Row],[Order_Date]]&lt;DATE(2000,1,1),Table13[[#This Row],[Order_Date]]&gt;TODAY()),"YES","NO")</f>
        <v>NO</v>
      </c>
      <c r="Q89" s="9">
        <f>IF(Table13[[#This Row],[Order_Status]] = "Cancelled",0,IF(Table13[[#This Row],[Order_Status]] = "Returned",Table13[[#This Row],[Net_Sales]] * -1,Table13[[#This Row],[Net_Sales]]))</f>
        <v>57.459999999999987</v>
      </c>
      <c r="R89" s="9" t="str">
        <f>IF(Table13[[#This Row],[Gross_Sales]]&gt;=500, "YES","NO")</f>
        <v>NO</v>
      </c>
    </row>
    <row r="90" spans="1:18" x14ac:dyDescent="0.3">
      <c r="A90">
        <v>100085</v>
      </c>
      <c r="B90" s="8">
        <v>45295.5</v>
      </c>
      <c r="C90" t="s">
        <v>14</v>
      </c>
      <c r="D90" t="s">
        <v>33</v>
      </c>
      <c r="E90" t="s">
        <v>69</v>
      </c>
      <c r="F90" t="s">
        <v>71</v>
      </c>
      <c r="G90">
        <v>3</v>
      </c>
      <c r="H90">
        <v>48.18</v>
      </c>
      <c r="I90">
        <v>0</v>
      </c>
      <c r="J90" t="s">
        <v>74</v>
      </c>
      <c r="K90" t="s">
        <v>77</v>
      </c>
      <c r="L90">
        <v>144.54</v>
      </c>
      <c r="M90">
        <v>0</v>
      </c>
      <c r="N90">
        <v>144.54</v>
      </c>
      <c r="O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 s="9" t="str">
        <f ca="1">IF(OR(ISNUMBER(Table13[[#This Row],[Order_Date]])=FALSE,Table13[[#This Row],[Order_Date]]&lt;DATE(2000,1,1),Table13[[#This Row],[Order_Date]]&gt;TODAY()),"YES","NO")</f>
        <v>NO</v>
      </c>
      <c r="Q90" s="9">
        <f>IF(Table13[[#This Row],[Order_Status]] = "Cancelled",0,IF(Table13[[#This Row],[Order_Status]] = "Returned",Table13[[#This Row],[Net_Sales]] * -1,Table13[[#This Row],[Net_Sales]]))</f>
        <v>144.54</v>
      </c>
      <c r="R90" s="9" t="str">
        <f>IF(Table13[[#This Row],[Gross_Sales]]&gt;=500, "YES","NO")</f>
        <v>NO</v>
      </c>
    </row>
    <row r="91" spans="1:18" x14ac:dyDescent="0.3">
      <c r="A91">
        <v>100086</v>
      </c>
      <c r="B91" s="8">
        <v>45295.541666666657</v>
      </c>
      <c r="C91" t="s">
        <v>14</v>
      </c>
      <c r="D91" t="s">
        <v>16</v>
      </c>
      <c r="E91" t="s">
        <v>67</v>
      </c>
      <c r="F91" t="s">
        <v>72</v>
      </c>
      <c r="G91">
        <v>2</v>
      </c>
      <c r="H91">
        <v>97.44</v>
      </c>
      <c r="I91">
        <v>10</v>
      </c>
      <c r="J91" t="s">
        <v>75</v>
      </c>
      <c r="K91" t="s">
        <v>77</v>
      </c>
      <c r="L91">
        <v>194.88</v>
      </c>
      <c r="M91">
        <v>19.488</v>
      </c>
      <c r="N91">
        <v>175.392</v>
      </c>
      <c r="O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 s="9" t="str">
        <f ca="1">IF(OR(ISNUMBER(Table13[[#This Row],[Order_Date]])=FALSE,Table13[[#This Row],[Order_Date]]&lt;DATE(2000,1,1),Table13[[#This Row],[Order_Date]]&gt;TODAY()),"YES","NO")</f>
        <v>NO</v>
      </c>
      <c r="Q91" s="9">
        <f>IF(Table13[[#This Row],[Order_Status]] = "Cancelled",0,IF(Table13[[#This Row],[Order_Status]] = "Returned",Table13[[#This Row],[Net_Sales]] * -1,Table13[[#This Row],[Net_Sales]]))</f>
        <v>175.392</v>
      </c>
      <c r="R91" s="9" t="str">
        <f>IF(Table13[[#This Row],[Gross_Sales]]&gt;=500, "YES","NO")</f>
        <v>NO</v>
      </c>
    </row>
    <row r="92" spans="1:18" x14ac:dyDescent="0.3">
      <c r="A92">
        <v>100087</v>
      </c>
      <c r="B92" s="8">
        <v>45295.583333333343</v>
      </c>
      <c r="C92" t="s">
        <v>15</v>
      </c>
      <c r="D92" t="s">
        <v>22</v>
      </c>
      <c r="E92" t="s">
        <v>68</v>
      </c>
      <c r="F92" t="s">
        <v>71</v>
      </c>
      <c r="G92">
        <v>4</v>
      </c>
      <c r="H92">
        <v>54.85</v>
      </c>
      <c r="I92">
        <v>15</v>
      </c>
      <c r="J92" t="s">
        <v>75</v>
      </c>
      <c r="K92" t="s">
        <v>77</v>
      </c>
      <c r="L92">
        <v>219.4</v>
      </c>
      <c r="M92">
        <v>32.909999999999997</v>
      </c>
      <c r="N92">
        <v>186.49</v>
      </c>
      <c r="O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 s="9" t="str">
        <f ca="1">IF(OR(ISNUMBER(Table13[[#This Row],[Order_Date]])=FALSE,Table13[[#This Row],[Order_Date]]&lt;DATE(2000,1,1),Table13[[#This Row],[Order_Date]]&gt;TODAY()),"YES","NO")</f>
        <v>NO</v>
      </c>
      <c r="Q92" s="9">
        <f>IF(Table13[[#This Row],[Order_Status]] = "Cancelled",0,IF(Table13[[#This Row],[Order_Status]] = "Returned",Table13[[#This Row],[Net_Sales]] * -1,Table13[[#This Row],[Net_Sales]]))</f>
        <v>186.49</v>
      </c>
      <c r="R92" s="9" t="str">
        <f>IF(Table13[[#This Row],[Gross_Sales]]&gt;=500, "YES","NO")</f>
        <v>NO</v>
      </c>
    </row>
    <row r="93" spans="1:18" x14ac:dyDescent="0.3">
      <c r="A93">
        <v>100088</v>
      </c>
      <c r="B93" s="8">
        <v>45295.625</v>
      </c>
      <c r="C93" t="s">
        <v>14</v>
      </c>
      <c r="D93" t="s">
        <v>29</v>
      </c>
      <c r="E93" t="s">
        <v>66</v>
      </c>
      <c r="F93" t="s">
        <v>71</v>
      </c>
      <c r="G93">
        <v>3</v>
      </c>
      <c r="H93">
        <v>119.68</v>
      </c>
      <c r="I93">
        <v>5</v>
      </c>
      <c r="J93" t="s">
        <v>75</v>
      </c>
      <c r="K93" t="s">
        <v>77</v>
      </c>
      <c r="L93">
        <v>359.04</v>
      </c>
      <c r="M93">
        <v>17.952000000000002</v>
      </c>
      <c r="N93">
        <v>341.08800000000002</v>
      </c>
      <c r="O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 s="9" t="str">
        <f ca="1">IF(OR(ISNUMBER(Table13[[#This Row],[Order_Date]])=FALSE,Table13[[#This Row],[Order_Date]]&lt;DATE(2000,1,1),Table13[[#This Row],[Order_Date]]&gt;TODAY()),"YES","NO")</f>
        <v>NO</v>
      </c>
      <c r="Q93" s="9">
        <f>IF(Table13[[#This Row],[Order_Status]] = "Cancelled",0,IF(Table13[[#This Row],[Order_Status]] = "Returned",Table13[[#This Row],[Net_Sales]] * -1,Table13[[#This Row],[Net_Sales]]))</f>
        <v>341.08800000000002</v>
      </c>
      <c r="R93" s="9" t="str">
        <f>IF(Table13[[#This Row],[Gross_Sales]]&gt;=500, "YES","NO")</f>
        <v>NO</v>
      </c>
    </row>
    <row r="94" spans="1:18" x14ac:dyDescent="0.3">
      <c r="A94">
        <v>100089</v>
      </c>
      <c r="B94" s="8">
        <v>45295.666666666657</v>
      </c>
      <c r="C94" t="s">
        <v>15</v>
      </c>
      <c r="D94" t="s">
        <v>49</v>
      </c>
      <c r="E94" t="s">
        <v>67</v>
      </c>
      <c r="F94" t="s">
        <v>72</v>
      </c>
      <c r="G94">
        <v>4</v>
      </c>
      <c r="H94">
        <v>69.290000000000006</v>
      </c>
      <c r="I94">
        <v>5</v>
      </c>
      <c r="J94" t="s">
        <v>75</v>
      </c>
      <c r="K94" t="s">
        <v>77</v>
      </c>
      <c r="L94">
        <v>277.16000000000003</v>
      </c>
      <c r="M94">
        <v>13.858000000000001</v>
      </c>
      <c r="N94">
        <v>263.30200000000002</v>
      </c>
      <c r="O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 s="9" t="str">
        <f ca="1">IF(OR(ISNUMBER(Table13[[#This Row],[Order_Date]])=FALSE,Table13[[#This Row],[Order_Date]]&lt;DATE(2000,1,1),Table13[[#This Row],[Order_Date]]&gt;TODAY()),"YES","NO")</f>
        <v>NO</v>
      </c>
      <c r="Q94" s="9">
        <f>IF(Table13[[#This Row],[Order_Status]] = "Cancelled",0,IF(Table13[[#This Row],[Order_Status]] = "Returned",Table13[[#This Row],[Net_Sales]] * -1,Table13[[#This Row],[Net_Sales]]))</f>
        <v>263.30200000000002</v>
      </c>
      <c r="R94" s="9" t="str">
        <f>IF(Table13[[#This Row],[Gross_Sales]]&gt;=500, "YES","NO")</f>
        <v>NO</v>
      </c>
    </row>
    <row r="95" spans="1:18" x14ac:dyDescent="0.3">
      <c r="A95">
        <v>100090</v>
      </c>
      <c r="B95" s="8">
        <v>45295.708333333343</v>
      </c>
      <c r="C95" t="s">
        <v>15</v>
      </c>
      <c r="D95" t="s">
        <v>59</v>
      </c>
      <c r="E95" t="s">
        <v>66</v>
      </c>
      <c r="F95" t="s">
        <v>72</v>
      </c>
      <c r="G95">
        <v>5</v>
      </c>
      <c r="H95">
        <v>41.93</v>
      </c>
      <c r="I95">
        <v>15</v>
      </c>
      <c r="J95" t="s">
        <v>76</v>
      </c>
      <c r="K95" t="s">
        <v>78</v>
      </c>
      <c r="L95">
        <v>209.65</v>
      </c>
      <c r="M95">
        <v>31.447500000000002</v>
      </c>
      <c r="N95">
        <v>178.20249999999999</v>
      </c>
      <c r="O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5" s="9" t="str">
        <f ca="1">IF(OR(ISNUMBER(Table13[[#This Row],[Order_Date]])=FALSE,Table13[[#This Row],[Order_Date]]&lt;DATE(2000,1,1),Table13[[#This Row],[Order_Date]]&gt;TODAY()),"YES","NO")</f>
        <v>NO</v>
      </c>
      <c r="Q95" s="9">
        <f>IF(Table13[[#This Row],[Order_Status]] = "Cancelled",0,IF(Table13[[#This Row],[Order_Status]] = "Returned",Table13[[#This Row],[Net_Sales]] * -1,Table13[[#This Row],[Net_Sales]]))</f>
        <v>-178.20249999999999</v>
      </c>
      <c r="R95" s="9" t="str">
        <f>IF(Table13[[#This Row],[Gross_Sales]]&gt;=500, "YES","NO")</f>
        <v>NO</v>
      </c>
    </row>
    <row r="96" spans="1:18" x14ac:dyDescent="0.3">
      <c r="A96">
        <v>100091</v>
      </c>
      <c r="B96" s="8">
        <v>45295.75</v>
      </c>
      <c r="C96" t="s">
        <v>15</v>
      </c>
      <c r="D96" t="s">
        <v>50</v>
      </c>
      <c r="E96" t="s">
        <v>66</v>
      </c>
      <c r="F96" t="s">
        <v>71</v>
      </c>
      <c r="G96">
        <v>3</v>
      </c>
      <c r="H96">
        <v>30.31</v>
      </c>
      <c r="I96">
        <v>0</v>
      </c>
      <c r="J96" t="s">
        <v>74</v>
      </c>
      <c r="K96" t="s">
        <v>77</v>
      </c>
      <c r="L96">
        <v>90.929999999999993</v>
      </c>
      <c r="M96">
        <v>0</v>
      </c>
      <c r="N96">
        <v>90.929999999999993</v>
      </c>
      <c r="O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 s="9" t="str">
        <f ca="1">IF(OR(ISNUMBER(Table13[[#This Row],[Order_Date]])=FALSE,Table13[[#This Row],[Order_Date]]&lt;DATE(2000,1,1),Table13[[#This Row],[Order_Date]]&gt;TODAY()),"YES","NO")</f>
        <v>NO</v>
      </c>
      <c r="Q96" s="9">
        <f>IF(Table13[[#This Row],[Order_Status]] = "Cancelled",0,IF(Table13[[#This Row],[Order_Status]] = "Returned",Table13[[#This Row],[Net_Sales]] * -1,Table13[[#This Row],[Net_Sales]]))</f>
        <v>90.929999999999993</v>
      </c>
      <c r="R96" s="9" t="str">
        <f>IF(Table13[[#This Row],[Gross_Sales]]&gt;=500, "YES","NO")</f>
        <v>NO</v>
      </c>
    </row>
    <row r="97" spans="1:18" x14ac:dyDescent="0.3">
      <c r="A97">
        <v>100092</v>
      </c>
      <c r="B97" s="8">
        <v>45295.791666666657</v>
      </c>
      <c r="C97" t="s">
        <v>15</v>
      </c>
      <c r="D97" t="s">
        <v>40</v>
      </c>
      <c r="E97" t="s">
        <v>68</v>
      </c>
      <c r="F97" t="s">
        <v>72</v>
      </c>
      <c r="G97">
        <v>1</v>
      </c>
      <c r="H97">
        <v>45.31</v>
      </c>
      <c r="I97">
        <v>0</v>
      </c>
      <c r="J97" t="s">
        <v>74</v>
      </c>
      <c r="K97" t="s">
        <v>77</v>
      </c>
      <c r="L97">
        <v>45.31</v>
      </c>
      <c r="M97">
        <v>0</v>
      </c>
      <c r="N97">
        <v>45.31</v>
      </c>
      <c r="O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 s="9" t="str">
        <f ca="1">IF(OR(ISNUMBER(Table13[[#This Row],[Order_Date]])=FALSE,Table13[[#This Row],[Order_Date]]&lt;DATE(2000,1,1),Table13[[#This Row],[Order_Date]]&gt;TODAY()),"YES","NO")</f>
        <v>NO</v>
      </c>
      <c r="Q97" s="9">
        <f>IF(Table13[[#This Row],[Order_Status]] = "Cancelled",0,IF(Table13[[#This Row],[Order_Status]] = "Returned",Table13[[#This Row],[Net_Sales]] * -1,Table13[[#This Row],[Net_Sales]]))</f>
        <v>45.31</v>
      </c>
      <c r="R97" s="9" t="str">
        <f>IF(Table13[[#This Row],[Gross_Sales]]&gt;=500, "YES","NO")</f>
        <v>NO</v>
      </c>
    </row>
    <row r="98" spans="1:18" x14ac:dyDescent="0.3">
      <c r="A98">
        <v>100093</v>
      </c>
      <c r="B98" s="8">
        <v>45295.833333333343</v>
      </c>
      <c r="C98" t="s">
        <v>15</v>
      </c>
      <c r="D98" t="s">
        <v>52</v>
      </c>
      <c r="E98" t="s">
        <v>69</v>
      </c>
      <c r="F98" t="s">
        <v>72</v>
      </c>
      <c r="G98">
        <v>4</v>
      </c>
      <c r="H98">
        <v>47.84</v>
      </c>
      <c r="I98">
        <v>10</v>
      </c>
      <c r="J98" t="s">
        <v>76</v>
      </c>
      <c r="K98" t="s">
        <v>77</v>
      </c>
      <c r="L98">
        <v>191.36</v>
      </c>
      <c r="M98">
        <v>19.135999999999999</v>
      </c>
      <c r="N98">
        <v>172.22399999999999</v>
      </c>
      <c r="O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 s="9" t="str">
        <f ca="1">IF(OR(ISNUMBER(Table13[[#This Row],[Order_Date]])=FALSE,Table13[[#This Row],[Order_Date]]&lt;DATE(2000,1,1),Table13[[#This Row],[Order_Date]]&gt;TODAY()),"YES","NO")</f>
        <v>NO</v>
      </c>
      <c r="Q98" s="9">
        <f>IF(Table13[[#This Row],[Order_Status]] = "Cancelled",0,IF(Table13[[#This Row],[Order_Status]] = "Returned",Table13[[#This Row],[Net_Sales]] * -1,Table13[[#This Row],[Net_Sales]]))</f>
        <v>172.22399999999999</v>
      </c>
      <c r="R98" s="9" t="str">
        <f>IF(Table13[[#This Row],[Gross_Sales]]&gt;=500, "YES","NO")</f>
        <v>NO</v>
      </c>
    </row>
    <row r="99" spans="1:18" x14ac:dyDescent="0.3">
      <c r="A99">
        <v>100094</v>
      </c>
      <c r="B99" s="8">
        <v>45295.875</v>
      </c>
      <c r="C99" t="s">
        <v>15</v>
      </c>
      <c r="D99" t="s">
        <v>31</v>
      </c>
      <c r="E99" t="s">
        <v>70</v>
      </c>
      <c r="F99" t="s">
        <v>72</v>
      </c>
      <c r="G99">
        <v>5</v>
      </c>
      <c r="H99">
        <v>12.9</v>
      </c>
      <c r="I99">
        <v>5</v>
      </c>
      <c r="J99" t="s">
        <v>75</v>
      </c>
      <c r="K99" t="s">
        <v>77</v>
      </c>
      <c r="L99">
        <v>64.5</v>
      </c>
      <c r="M99">
        <v>3.2250000000000001</v>
      </c>
      <c r="N99">
        <v>61.274999999999999</v>
      </c>
      <c r="O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 s="9" t="str">
        <f ca="1">IF(OR(ISNUMBER(Table13[[#This Row],[Order_Date]])=FALSE,Table13[[#This Row],[Order_Date]]&lt;DATE(2000,1,1),Table13[[#This Row],[Order_Date]]&gt;TODAY()),"YES","NO")</f>
        <v>NO</v>
      </c>
      <c r="Q99" s="9">
        <f>IF(Table13[[#This Row],[Order_Status]] = "Cancelled",0,IF(Table13[[#This Row],[Order_Status]] = "Returned",Table13[[#This Row],[Net_Sales]] * -1,Table13[[#This Row],[Net_Sales]]))</f>
        <v>61.274999999999999</v>
      </c>
      <c r="R99" s="9" t="str">
        <f>IF(Table13[[#This Row],[Gross_Sales]]&gt;=500, "YES","NO")</f>
        <v>NO</v>
      </c>
    </row>
    <row r="100" spans="1:18" x14ac:dyDescent="0.3">
      <c r="A100">
        <v>100095</v>
      </c>
      <c r="B100" s="8">
        <v>45295.916666666657</v>
      </c>
      <c r="C100" t="s">
        <v>15</v>
      </c>
      <c r="D100" t="s">
        <v>39</v>
      </c>
      <c r="E100" t="s">
        <v>69</v>
      </c>
      <c r="F100" t="s">
        <v>72</v>
      </c>
      <c r="G100">
        <v>1</v>
      </c>
      <c r="H100">
        <v>47.5</v>
      </c>
      <c r="I100">
        <v>15</v>
      </c>
      <c r="J100" t="s">
        <v>75</v>
      </c>
      <c r="K100" t="s">
        <v>78</v>
      </c>
      <c r="L100">
        <v>47.5</v>
      </c>
      <c r="M100">
        <v>7.125</v>
      </c>
      <c r="N100">
        <v>40.375</v>
      </c>
      <c r="O1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00" s="9" t="str">
        <f ca="1">IF(OR(ISNUMBER(Table13[[#This Row],[Order_Date]])=FALSE,Table13[[#This Row],[Order_Date]]&lt;DATE(2000,1,1),Table13[[#This Row],[Order_Date]]&gt;TODAY()),"YES","NO")</f>
        <v>NO</v>
      </c>
      <c r="Q100" s="9">
        <f>IF(Table13[[#This Row],[Order_Status]] = "Cancelled",0,IF(Table13[[#This Row],[Order_Status]] = "Returned",Table13[[#This Row],[Net_Sales]] * -1,Table13[[#This Row],[Net_Sales]]))</f>
        <v>-40.375</v>
      </c>
      <c r="R100" s="9" t="str">
        <f>IF(Table13[[#This Row],[Gross_Sales]]&gt;=500, "YES","NO")</f>
        <v>NO</v>
      </c>
    </row>
    <row r="101" spans="1:18" x14ac:dyDescent="0.3">
      <c r="A101">
        <v>100096</v>
      </c>
      <c r="B101" s="8">
        <v>45295.958333333343</v>
      </c>
      <c r="C101" t="s">
        <v>15</v>
      </c>
      <c r="D101" t="s">
        <v>56</v>
      </c>
      <c r="E101" t="s">
        <v>68</v>
      </c>
      <c r="F101" t="s">
        <v>72</v>
      </c>
      <c r="G101">
        <v>1</v>
      </c>
      <c r="H101">
        <v>58.39</v>
      </c>
      <c r="I101">
        <v>0</v>
      </c>
      <c r="J101" t="s">
        <v>74</v>
      </c>
      <c r="K101" t="s">
        <v>78</v>
      </c>
      <c r="L101">
        <v>58.39</v>
      </c>
      <c r="M101">
        <v>0</v>
      </c>
      <c r="N101">
        <v>58.39</v>
      </c>
      <c r="O1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01" s="9" t="str">
        <f ca="1">IF(OR(ISNUMBER(Table13[[#This Row],[Order_Date]])=FALSE,Table13[[#This Row],[Order_Date]]&lt;DATE(2000,1,1),Table13[[#This Row],[Order_Date]]&gt;TODAY()),"YES","NO")</f>
        <v>NO</v>
      </c>
      <c r="Q101" s="9">
        <f>IF(Table13[[#This Row],[Order_Status]] = "Cancelled",0,IF(Table13[[#This Row],[Order_Status]] = "Returned",Table13[[#This Row],[Net_Sales]] * -1,Table13[[#This Row],[Net_Sales]]))</f>
        <v>-58.39</v>
      </c>
      <c r="R101" s="9" t="str">
        <f>IF(Table13[[#This Row],[Gross_Sales]]&gt;=500, "YES","NO")</f>
        <v>NO</v>
      </c>
    </row>
    <row r="102" spans="1:18" x14ac:dyDescent="0.3">
      <c r="A102">
        <v>100097</v>
      </c>
      <c r="B102" s="8">
        <v>45296</v>
      </c>
      <c r="C102" t="s">
        <v>15</v>
      </c>
      <c r="D102" t="s">
        <v>47</v>
      </c>
      <c r="E102" t="s">
        <v>68</v>
      </c>
      <c r="F102" t="s">
        <v>71</v>
      </c>
      <c r="G102">
        <v>1</v>
      </c>
      <c r="H102">
        <v>88.11</v>
      </c>
      <c r="I102">
        <v>10</v>
      </c>
      <c r="J102" t="s">
        <v>76</v>
      </c>
      <c r="K102" t="s">
        <v>77</v>
      </c>
      <c r="L102">
        <v>88.11</v>
      </c>
      <c r="M102">
        <v>8.8109999999999999</v>
      </c>
      <c r="N102">
        <v>79.299000000000007</v>
      </c>
      <c r="O1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2" s="9" t="str">
        <f ca="1">IF(OR(ISNUMBER(Table13[[#This Row],[Order_Date]])=FALSE,Table13[[#This Row],[Order_Date]]&lt;DATE(2000,1,1),Table13[[#This Row],[Order_Date]]&gt;TODAY()),"YES","NO")</f>
        <v>NO</v>
      </c>
      <c r="Q102" s="9">
        <f>IF(Table13[[#This Row],[Order_Status]] = "Cancelled",0,IF(Table13[[#This Row],[Order_Status]] = "Returned",Table13[[#This Row],[Net_Sales]] * -1,Table13[[#This Row],[Net_Sales]]))</f>
        <v>79.299000000000007</v>
      </c>
      <c r="R102" s="9" t="str">
        <f>IF(Table13[[#This Row],[Gross_Sales]]&gt;=500, "YES","NO")</f>
        <v>NO</v>
      </c>
    </row>
    <row r="103" spans="1:18" x14ac:dyDescent="0.3">
      <c r="A103">
        <v>100098</v>
      </c>
      <c r="B103" s="8">
        <v>45296.041666666657</v>
      </c>
      <c r="C103" t="s">
        <v>15</v>
      </c>
      <c r="D103" t="s">
        <v>44</v>
      </c>
      <c r="E103" t="s">
        <v>68</v>
      </c>
      <c r="F103" t="s">
        <v>71</v>
      </c>
      <c r="G103">
        <v>1</v>
      </c>
      <c r="H103">
        <v>80.52</v>
      </c>
      <c r="I103">
        <v>5</v>
      </c>
      <c r="J103" t="s">
        <v>75</v>
      </c>
      <c r="K103" t="s">
        <v>77</v>
      </c>
      <c r="L103">
        <v>80.52</v>
      </c>
      <c r="M103">
        <v>4.0259999999999998</v>
      </c>
      <c r="N103">
        <v>76.494</v>
      </c>
      <c r="O1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3" s="9" t="str">
        <f ca="1">IF(OR(ISNUMBER(Table13[[#This Row],[Order_Date]])=FALSE,Table13[[#This Row],[Order_Date]]&lt;DATE(2000,1,1),Table13[[#This Row],[Order_Date]]&gt;TODAY()),"YES","NO")</f>
        <v>NO</v>
      </c>
      <c r="Q103" s="9">
        <f>IF(Table13[[#This Row],[Order_Status]] = "Cancelled",0,IF(Table13[[#This Row],[Order_Status]] = "Returned",Table13[[#This Row],[Net_Sales]] * -1,Table13[[#This Row],[Net_Sales]]))</f>
        <v>76.494</v>
      </c>
      <c r="R103" s="9" t="str">
        <f>IF(Table13[[#This Row],[Gross_Sales]]&gt;=500, "YES","NO")</f>
        <v>NO</v>
      </c>
    </row>
    <row r="104" spans="1:18" x14ac:dyDescent="0.3">
      <c r="A104">
        <v>100099</v>
      </c>
      <c r="B104" s="8">
        <v>45296.083333333343</v>
      </c>
      <c r="C104" t="s">
        <v>15</v>
      </c>
      <c r="D104" t="s">
        <v>47</v>
      </c>
      <c r="E104" t="s">
        <v>67</v>
      </c>
      <c r="F104" t="s">
        <v>72</v>
      </c>
      <c r="G104">
        <v>3</v>
      </c>
      <c r="H104">
        <v>86.51</v>
      </c>
      <c r="I104">
        <v>5</v>
      </c>
      <c r="J104" t="s">
        <v>75</v>
      </c>
      <c r="K104" t="s">
        <v>78</v>
      </c>
      <c r="L104">
        <v>259.52999999999997</v>
      </c>
      <c r="M104">
        <v>12.9765</v>
      </c>
      <c r="N104">
        <v>246.55350000000001</v>
      </c>
      <c r="O1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04" s="9" t="str">
        <f ca="1">IF(OR(ISNUMBER(Table13[[#This Row],[Order_Date]])=FALSE,Table13[[#This Row],[Order_Date]]&lt;DATE(2000,1,1),Table13[[#This Row],[Order_Date]]&gt;TODAY()),"YES","NO")</f>
        <v>NO</v>
      </c>
      <c r="Q104" s="9">
        <f>IF(Table13[[#This Row],[Order_Status]] = "Cancelled",0,IF(Table13[[#This Row],[Order_Status]] = "Returned",Table13[[#This Row],[Net_Sales]] * -1,Table13[[#This Row],[Net_Sales]]))</f>
        <v>-246.55350000000001</v>
      </c>
      <c r="R104" s="9" t="str">
        <f>IF(Table13[[#This Row],[Gross_Sales]]&gt;=500, "YES","NO")</f>
        <v>NO</v>
      </c>
    </row>
    <row r="105" spans="1:18" x14ac:dyDescent="0.3">
      <c r="A105">
        <v>100100</v>
      </c>
      <c r="B105" s="8">
        <v>45296.125</v>
      </c>
      <c r="C105" t="s">
        <v>14</v>
      </c>
      <c r="D105" t="s">
        <v>34</v>
      </c>
      <c r="E105" t="s">
        <v>69</v>
      </c>
      <c r="F105" t="s">
        <v>71</v>
      </c>
      <c r="G105">
        <v>3</v>
      </c>
      <c r="H105">
        <v>5.96</v>
      </c>
      <c r="I105">
        <v>10</v>
      </c>
      <c r="J105" t="s">
        <v>75</v>
      </c>
      <c r="K105" t="s">
        <v>79</v>
      </c>
      <c r="L105">
        <v>17.88</v>
      </c>
      <c r="M105">
        <v>1.788</v>
      </c>
      <c r="N105">
        <v>16.091999999999999</v>
      </c>
      <c r="O1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05" s="9" t="str">
        <f ca="1">IF(OR(ISNUMBER(Table13[[#This Row],[Order_Date]])=FALSE,Table13[[#This Row],[Order_Date]]&lt;DATE(2000,1,1),Table13[[#This Row],[Order_Date]]&gt;TODAY()),"YES","NO")</f>
        <v>NO</v>
      </c>
      <c r="Q105" s="9">
        <f>IF(Table13[[#This Row],[Order_Status]] = "Cancelled",0,IF(Table13[[#This Row],[Order_Status]] = "Returned",Table13[[#This Row],[Net_Sales]] * -1,Table13[[#This Row],[Net_Sales]]))</f>
        <v>0</v>
      </c>
      <c r="R105" s="9" t="str">
        <f>IF(Table13[[#This Row],[Gross_Sales]]&gt;=500, "YES","NO")</f>
        <v>NO</v>
      </c>
    </row>
    <row r="106" spans="1:18" x14ac:dyDescent="0.3">
      <c r="A106">
        <v>100101</v>
      </c>
      <c r="B106" s="8">
        <v>45296.166666666657</v>
      </c>
      <c r="C106" t="s">
        <v>14</v>
      </c>
      <c r="D106" t="s">
        <v>44</v>
      </c>
      <c r="E106" t="s">
        <v>69</v>
      </c>
      <c r="F106" t="s">
        <v>71</v>
      </c>
      <c r="G106">
        <v>3</v>
      </c>
      <c r="H106">
        <v>30.03</v>
      </c>
      <c r="I106">
        <v>10</v>
      </c>
      <c r="J106" t="s">
        <v>73</v>
      </c>
      <c r="K106" t="s">
        <v>77</v>
      </c>
      <c r="L106">
        <v>90.09</v>
      </c>
      <c r="M106">
        <v>9.0090000000000003</v>
      </c>
      <c r="N106">
        <v>81.081000000000003</v>
      </c>
      <c r="O1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6" s="9" t="str">
        <f ca="1">IF(OR(ISNUMBER(Table13[[#This Row],[Order_Date]])=FALSE,Table13[[#This Row],[Order_Date]]&lt;DATE(2000,1,1),Table13[[#This Row],[Order_Date]]&gt;TODAY()),"YES","NO")</f>
        <v>NO</v>
      </c>
      <c r="Q106" s="9">
        <f>IF(Table13[[#This Row],[Order_Status]] = "Cancelled",0,IF(Table13[[#This Row],[Order_Status]] = "Returned",Table13[[#This Row],[Net_Sales]] * -1,Table13[[#This Row],[Net_Sales]]))</f>
        <v>81.081000000000003</v>
      </c>
      <c r="R106" s="9" t="str">
        <f>IF(Table13[[#This Row],[Gross_Sales]]&gt;=500, "YES","NO")</f>
        <v>NO</v>
      </c>
    </row>
    <row r="107" spans="1:18" x14ac:dyDescent="0.3">
      <c r="A107">
        <v>100102</v>
      </c>
      <c r="B107" s="8">
        <v>45296.208333333343</v>
      </c>
      <c r="C107" t="s">
        <v>15</v>
      </c>
      <c r="D107" t="s">
        <v>27</v>
      </c>
      <c r="E107" t="s">
        <v>66</v>
      </c>
      <c r="F107" t="s">
        <v>72</v>
      </c>
      <c r="G107">
        <v>5</v>
      </c>
      <c r="H107">
        <v>81.09</v>
      </c>
      <c r="I107">
        <v>0</v>
      </c>
      <c r="J107" t="s">
        <v>76</v>
      </c>
      <c r="K107" t="s">
        <v>77</v>
      </c>
      <c r="L107">
        <v>405.45</v>
      </c>
      <c r="M107">
        <v>0</v>
      </c>
      <c r="N107">
        <v>405.45</v>
      </c>
      <c r="O1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7" s="9" t="str">
        <f ca="1">IF(OR(ISNUMBER(Table13[[#This Row],[Order_Date]])=FALSE,Table13[[#This Row],[Order_Date]]&lt;DATE(2000,1,1),Table13[[#This Row],[Order_Date]]&gt;TODAY()),"YES","NO")</f>
        <v>NO</v>
      </c>
      <c r="Q107" s="9">
        <f>IF(Table13[[#This Row],[Order_Status]] = "Cancelled",0,IF(Table13[[#This Row],[Order_Status]] = "Returned",Table13[[#This Row],[Net_Sales]] * -1,Table13[[#This Row],[Net_Sales]]))</f>
        <v>405.45</v>
      </c>
      <c r="R107" s="9" t="str">
        <f>IF(Table13[[#This Row],[Gross_Sales]]&gt;=500, "YES","NO")</f>
        <v>NO</v>
      </c>
    </row>
    <row r="108" spans="1:18" x14ac:dyDescent="0.3">
      <c r="A108">
        <v>100103</v>
      </c>
      <c r="B108" s="8">
        <v>45296.25</v>
      </c>
      <c r="C108" t="s">
        <v>15</v>
      </c>
      <c r="D108" t="s">
        <v>33</v>
      </c>
      <c r="E108" t="s">
        <v>66</v>
      </c>
      <c r="F108" t="s">
        <v>71</v>
      </c>
      <c r="G108">
        <v>5</v>
      </c>
      <c r="H108">
        <v>60.66</v>
      </c>
      <c r="I108">
        <v>15</v>
      </c>
      <c r="J108" t="s">
        <v>75</v>
      </c>
      <c r="K108" t="s">
        <v>77</v>
      </c>
      <c r="L108">
        <v>303.3</v>
      </c>
      <c r="M108">
        <v>45.49499999999999</v>
      </c>
      <c r="N108">
        <v>257.80499999999989</v>
      </c>
      <c r="O1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8" s="9" t="str">
        <f ca="1">IF(OR(ISNUMBER(Table13[[#This Row],[Order_Date]])=FALSE,Table13[[#This Row],[Order_Date]]&lt;DATE(2000,1,1),Table13[[#This Row],[Order_Date]]&gt;TODAY()),"YES","NO")</f>
        <v>NO</v>
      </c>
      <c r="Q108" s="9">
        <f>IF(Table13[[#This Row],[Order_Status]] = "Cancelled",0,IF(Table13[[#This Row],[Order_Status]] = "Returned",Table13[[#This Row],[Net_Sales]] * -1,Table13[[#This Row],[Net_Sales]]))</f>
        <v>257.80499999999989</v>
      </c>
      <c r="R108" s="9" t="str">
        <f>IF(Table13[[#This Row],[Gross_Sales]]&gt;=500, "YES","NO")</f>
        <v>NO</v>
      </c>
    </row>
    <row r="109" spans="1:18" x14ac:dyDescent="0.3">
      <c r="A109">
        <v>100104</v>
      </c>
      <c r="B109" s="8">
        <v>45296.291666666657</v>
      </c>
      <c r="C109" t="s">
        <v>15</v>
      </c>
      <c r="D109" t="s">
        <v>59</v>
      </c>
      <c r="E109" t="s">
        <v>66</v>
      </c>
      <c r="F109" t="s">
        <v>72</v>
      </c>
      <c r="G109">
        <v>5</v>
      </c>
      <c r="H109">
        <v>5.61</v>
      </c>
      <c r="I109">
        <v>5</v>
      </c>
      <c r="J109" t="s">
        <v>73</v>
      </c>
      <c r="K109" t="s">
        <v>79</v>
      </c>
      <c r="L109">
        <v>28.05</v>
      </c>
      <c r="M109">
        <v>1.4025000000000001</v>
      </c>
      <c r="N109">
        <v>26.647500000000001</v>
      </c>
      <c r="O1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09" s="9" t="str">
        <f ca="1">IF(OR(ISNUMBER(Table13[[#This Row],[Order_Date]])=FALSE,Table13[[#This Row],[Order_Date]]&lt;DATE(2000,1,1),Table13[[#This Row],[Order_Date]]&gt;TODAY()),"YES","NO")</f>
        <v>NO</v>
      </c>
      <c r="Q109" s="9">
        <f>IF(Table13[[#This Row],[Order_Status]] = "Cancelled",0,IF(Table13[[#This Row],[Order_Status]] = "Returned",Table13[[#This Row],[Net_Sales]] * -1,Table13[[#This Row],[Net_Sales]]))</f>
        <v>0</v>
      </c>
      <c r="R109" s="9" t="str">
        <f>IF(Table13[[#This Row],[Gross_Sales]]&gt;=500, "YES","NO")</f>
        <v>NO</v>
      </c>
    </row>
    <row r="110" spans="1:18" x14ac:dyDescent="0.3">
      <c r="A110">
        <v>100105</v>
      </c>
      <c r="B110" s="8">
        <v>45296.333333333343</v>
      </c>
      <c r="C110" t="s">
        <v>15</v>
      </c>
      <c r="D110" t="s">
        <v>43</v>
      </c>
      <c r="E110" t="s">
        <v>68</v>
      </c>
      <c r="F110" t="s">
        <v>72</v>
      </c>
      <c r="G110">
        <v>2</v>
      </c>
      <c r="H110">
        <v>97.52</v>
      </c>
      <c r="I110">
        <v>15</v>
      </c>
      <c r="J110" t="s">
        <v>76</v>
      </c>
      <c r="K110" t="s">
        <v>77</v>
      </c>
      <c r="L110">
        <v>195.04</v>
      </c>
      <c r="M110">
        <v>29.256</v>
      </c>
      <c r="N110">
        <v>165.78399999999999</v>
      </c>
      <c r="O1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0" s="9" t="str">
        <f ca="1">IF(OR(ISNUMBER(Table13[[#This Row],[Order_Date]])=FALSE,Table13[[#This Row],[Order_Date]]&lt;DATE(2000,1,1),Table13[[#This Row],[Order_Date]]&gt;TODAY()),"YES","NO")</f>
        <v>NO</v>
      </c>
      <c r="Q110" s="9">
        <f>IF(Table13[[#This Row],[Order_Status]] = "Cancelled",0,IF(Table13[[#This Row],[Order_Status]] = "Returned",Table13[[#This Row],[Net_Sales]] * -1,Table13[[#This Row],[Net_Sales]]))</f>
        <v>165.78399999999999</v>
      </c>
      <c r="R110" s="9" t="str">
        <f>IF(Table13[[#This Row],[Gross_Sales]]&gt;=500, "YES","NO")</f>
        <v>NO</v>
      </c>
    </row>
    <row r="111" spans="1:18" x14ac:dyDescent="0.3">
      <c r="A111">
        <v>100106</v>
      </c>
      <c r="B111" s="8">
        <v>45296.375</v>
      </c>
      <c r="C111" t="s">
        <v>15</v>
      </c>
      <c r="D111" t="s">
        <v>44</v>
      </c>
      <c r="E111" t="s">
        <v>69</v>
      </c>
      <c r="F111" t="s">
        <v>71</v>
      </c>
      <c r="G111">
        <v>5</v>
      </c>
      <c r="H111">
        <v>93.87</v>
      </c>
      <c r="I111">
        <v>5</v>
      </c>
      <c r="J111" t="s">
        <v>75</v>
      </c>
      <c r="K111" t="s">
        <v>77</v>
      </c>
      <c r="L111">
        <v>469.35</v>
      </c>
      <c r="M111">
        <v>23.467500000000001</v>
      </c>
      <c r="N111">
        <v>445.88250000000011</v>
      </c>
      <c r="O1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1" s="9" t="str">
        <f ca="1">IF(OR(ISNUMBER(Table13[[#This Row],[Order_Date]])=FALSE,Table13[[#This Row],[Order_Date]]&lt;DATE(2000,1,1),Table13[[#This Row],[Order_Date]]&gt;TODAY()),"YES","NO")</f>
        <v>NO</v>
      </c>
      <c r="Q111" s="9">
        <f>IF(Table13[[#This Row],[Order_Status]] = "Cancelled",0,IF(Table13[[#This Row],[Order_Status]] = "Returned",Table13[[#This Row],[Net_Sales]] * -1,Table13[[#This Row],[Net_Sales]]))</f>
        <v>445.88250000000011</v>
      </c>
      <c r="R111" s="9" t="str">
        <f>IF(Table13[[#This Row],[Gross_Sales]]&gt;=500, "YES","NO")</f>
        <v>NO</v>
      </c>
    </row>
    <row r="112" spans="1:18" x14ac:dyDescent="0.3">
      <c r="A112">
        <v>100107</v>
      </c>
      <c r="B112" s="8">
        <v>45296.416666666657</v>
      </c>
      <c r="C112" t="s">
        <v>15</v>
      </c>
      <c r="D112" t="s">
        <v>47</v>
      </c>
      <c r="E112" t="s">
        <v>68</v>
      </c>
      <c r="F112" t="s">
        <v>72</v>
      </c>
      <c r="G112">
        <v>3</v>
      </c>
      <c r="H112">
        <v>68.069999999999993</v>
      </c>
      <c r="I112">
        <v>5</v>
      </c>
      <c r="J112" t="s">
        <v>74</v>
      </c>
      <c r="K112" t="s">
        <v>77</v>
      </c>
      <c r="L112">
        <v>204.21</v>
      </c>
      <c r="M112">
        <v>10.2105</v>
      </c>
      <c r="N112">
        <v>193.99950000000001</v>
      </c>
      <c r="O1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2" s="9" t="str">
        <f ca="1">IF(OR(ISNUMBER(Table13[[#This Row],[Order_Date]])=FALSE,Table13[[#This Row],[Order_Date]]&lt;DATE(2000,1,1),Table13[[#This Row],[Order_Date]]&gt;TODAY()),"YES","NO")</f>
        <v>NO</v>
      </c>
      <c r="Q112" s="9">
        <f>IF(Table13[[#This Row],[Order_Status]] = "Cancelled",0,IF(Table13[[#This Row],[Order_Status]] = "Returned",Table13[[#This Row],[Net_Sales]] * -1,Table13[[#This Row],[Net_Sales]]))</f>
        <v>193.99950000000001</v>
      </c>
      <c r="R112" s="9" t="str">
        <f>IF(Table13[[#This Row],[Gross_Sales]]&gt;=500, "YES","NO")</f>
        <v>NO</v>
      </c>
    </row>
    <row r="113" spans="1:18" x14ac:dyDescent="0.3">
      <c r="A113">
        <v>100108</v>
      </c>
      <c r="B113" s="8">
        <v>45296.458333333343</v>
      </c>
      <c r="C113" t="s">
        <v>15</v>
      </c>
      <c r="D113" t="s">
        <v>18</v>
      </c>
      <c r="E113" t="s">
        <v>67</v>
      </c>
      <c r="F113" t="s">
        <v>72</v>
      </c>
      <c r="G113">
        <v>3</v>
      </c>
      <c r="H113">
        <v>12.64</v>
      </c>
      <c r="I113">
        <v>15</v>
      </c>
      <c r="J113" t="s">
        <v>73</v>
      </c>
      <c r="K113" t="s">
        <v>77</v>
      </c>
      <c r="L113">
        <v>37.92</v>
      </c>
      <c r="M113">
        <v>5.6879999999999997</v>
      </c>
      <c r="N113">
        <v>32.231999999999999</v>
      </c>
      <c r="O1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3" s="9" t="str">
        <f ca="1">IF(OR(ISNUMBER(Table13[[#This Row],[Order_Date]])=FALSE,Table13[[#This Row],[Order_Date]]&lt;DATE(2000,1,1),Table13[[#This Row],[Order_Date]]&gt;TODAY()),"YES","NO")</f>
        <v>NO</v>
      </c>
      <c r="Q113" s="9">
        <f>IF(Table13[[#This Row],[Order_Status]] = "Cancelled",0,IF(Table13[[#This Row],[Order_Status]] = "Returned",Table13[[#This Row],[Net_Sales]] * -1,Table13[[#This Row],[Net_Sales]]))</f>
        <v>32.231999999999999</v>
      </c>
      <c r="R113" s="9" t="str">
        <f>IF(Table13[[#This Row],[Gross_Sales]]&gt;=500, "YES","NO")</f>
        <v>NO</v>
      </c>
    </row>
    <row r="114" spans="1:18" x14ac:dyDescent="0.3">
      <c r="A114">
        <v>100109</v>
      </c>
      <c r="B114" s="8">
        <v>45296.5</v>
      </c>
      <c r="C114" t="s">
        <v>15</v>
      </c>
      <c r="D114" t="s">
        <v>60</v>
      </c>
      <c r="E114" t="s">
        <v>66</v>
      </c>
      <c r="F114" t="s">
        <v>72</v>
      </c>
      <c r="G114">
        <v>2</v>
      </c>
      <c r="H114">
        <v>93.15</v>
      </c>
      <c r="I114">
        <v>10</v>
      </c>
      <c r="J114" t="s">
        <v>73</v>
      </c>
      <c r="K114" t="s">
        <v>77</v>
      </c>
      <c r="L114">
        <v>186.3</v>
      </c>
      <c r="M114">
        <v>18.63</v>
      </c>
      <c r="N114">
        <v>167.67</v>
      </c>
      <c r="O1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4" s="9" t="str">
        <f ca="1">IF(OR(ISNUMBER(Table13[[#This Row],[Order_Date]])=FALSE,Table13[[#This Row],[Order_Date]]&lt;DATE(2000,1,1),Table13[[#This Row],[Order_Date]]&gt;TODAY()),"YES","NO")</f>
        <v>NO</v>
      </c>
      <c r="Q114" s="9">
        <f>IF(Table13[[#This Row],[Order_Status]] = "Cancelled",0,IF(Table13[[#This Row],[Order_Status]] = "Returned",Table13[[#This Row],[Net_Sales]] * -1,Table13[[#This Row],[Net_Sales]]))</f>
        <v>167.67</v>
      </c>
      <c r="R114" s="9" t="str">
        <f>IF(Table13[[#This Row],[Gross_Sales]]&gt;=500, "YES","NO")</f>
        <v>NO</v>
      </c>
    </row>
    <row r="115" spans="1:18" x14ac:dyDescent="0.3">
      <c r="A115">
        <v>100110</v>
      </c>
      <c r="B115" s="8">
        <v>45296.541666666657</v>
      </c>
      <c r="C115" t="s">
        <v>14</v>
      </c>
      <c r="D115" t="s">
        <v>59</v>
      </c>
      <c r="E115" t="s">
        <v>68</v>
      </c>
      <c r="F115" t="s">
        <v>72</v>
      </c>
      <c r="G115">
        <v>2</v>
      </c>
      <c r="H115">
        <v>72.13</v>
      </c>
      <c r="I115">
        <v>0</v>
      </c>
      <c r="J115" t="s">
        <v>75</v>
      </c>
      <c r="K115" t="s">
        <v>79</v>
      </c>
      <c r="L115">
        <v>144.26</v>
      </c>
      <c r="M115">
        <v>0</v>
      </c>
      <c r="N115">
        <v>144.26</v>
      </c>
      <c r="O1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15" s="9" t="str">
        <f ca="1">IF(OR(ISNUMBER(Table13[[#This Row],[Order_Date]])=FALSE,Table13[[#This Row],[Order_Date]]&lt;DATE(2000,1,1),Table13[[#This Row],[Order_Date]]&gt;TODAY()),"YES","NO")</f>
        <v>NO</v>
      </c>
      <c r="Q115" s="9">
        <f>IF(Table13[[#This Row],[Order_Status]] = "Cancelled",0,IF(Table13[[#This Row],[Order_Status]] = "Returned",Table13[[#This Row],[Net_Sales]] * -1,Table13[[#This Row],[Net_Sales]]))</f>
        <v>0</v>
      </c>
      <c r="R115" s="9" t="str">
        <f>IF(Table13[[#This Row],[Gross_Sales]]&gt;=500, "YES","NO")</f>
        <v>NO</v>
      </c>
    </row>
    <row r="116" spans="1:18" x14ac:dyDescent="0.3">
      <c r="A116">
        <v>100111</v>
      </c>
      <c r="B116" s="8">
        <v>45296.583333333343</v>
      </c>
      <c r="C116" t="s">
        <v>15</v>
      </c>
      <c r="D116" t="s">
        <v>33</v>
      </c>
      <c r="E116" t="s">
        <v>68</v>
      </c>
      <c r="F116" t="s">
        <v>72</v>
      </c>
      <c r="G116">
        <v>5</v>
      </c>
      <c r="H116">
        <v>94.93</v>
      </c>
      <c r="I116">
        <v>5</v>
      </c>
      <c r="J116" t="s">
        <v>75</v>
      </c>
      <c r="K116" t="s">
        <v>77</v>
      </c>
      <c r="L116">
        <v>474.65</v>
      </c>
      <c r="M116">
        <v>23.732500000000002</v>
      </c>
      <c r="N116">
        <v>450.91750000000002</v>
      </c>
      <c r="O1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6" s="9" t="str">
        <f ca="1">IF(OR(ISNUMBER(Table13[[#This Row],[Order_Date]])=FALSE,Table13[[#This Row],[Order_Date]]&lt;DATE(2000,1,1),Table13[[#This Row],[Order_Date]]&gt;TODAY()),"YES","NO")</f>
        <v>NO</v>
      </c>
      <c r="Q116" s="9">
        <f>IF(Table13[[#This Row],[Order_Status]] = "Cancelled",0,IF(Table13[[#This Row],[Order_Status]] = "Returned",Table13[[#This Row],[Net_Sales]] * -1,Table13[[#This Row],[Net_Sales]]))</f>
        <v>450.91750000000002</v>
      </c>
      <c r="R116" s="9" t="str">
        <f>IF(Table13[[#This Row],[Gross_Sales]]&gt;=500, "YES","NO")</f>
        <v>NO</v>
      </c>
    </row>
    <row r="117" spans="1:18" x14ac:dyDescent="0.3">
      <c r="A117">
        <v>100112</v>
      </c>
      <c r="B117" s="8">
        <v>45296.625</v>
      </c>
      <c r="C117" t="s">
        <v>14</v>
      </c>
      <c r="D117" t="s">
        <v>61</v>
      </c>
      <c r="E117" t="s">
        <v>67</v>
      </c>
      <c r="F117" t="s">
        <v>71</v>
      </c>
      <c r="G117">
        <v>4</v>
      </c>
      <c r="H117">
        <v>91.45</v>
      </c>
      <c r="I117">
        <v>10</v>
      </c>
      <c r="J117" t="s">
        <v>73</v>
      </c>
      <c r="K117" t="s">
        <v>77</v>
      </c>
      <c r="L117">
        <v>365.8</v>
      </c>
      <c r="M117">
        <v>36.580000000000013</v>
      </c>
      <c r="N117">
        <v>329.22</v>
      </c>
      <c r="O1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7" s="9" t="str">
        <f ca="1">IF(OR(ISNUMBER(Table13[[#This Row],[Order_Date]])=FALSE,Table13[[#This Row],[Order_Date]]&lt;DATE(2000,1,1),Table13[[#This Row],[Order_Date]]&gt;TODAY()),"YES","NO")</f>
        <v>NO</v>
      </c>
      <c r="Q117" s="9">
        <f>IF(Table13[[#This Row],[Order_Status]] = "Cancelled",0,IF(Table13[[#This Row],[Order_Status]] = "Returned",Table13[[#This Row],[Net_Sales]] * -1,Table13[[#This Row],[Net_Sales]]))</f>
        <v>329.22</v>
      </c>
      <c r="R117" s="9" t="str">
        <f>IF(Table13[[#This Row],[Gross_Sales]]&gt;=500, "YES","NO")</f>
        <v>NO</v>
      </c>
    </row>
    <row r="118" spans="1:18" x14ac:dyDescent="0.3">
      <c r="A118">
        <v>100113</v>
      </c>
      <c r="B118" s="8">
        <v>45296.666666666657</v>
      </c>
      <c r="C118" t="s">
        <v>15</v>
      </c>
      <c r="D118" t="s">
        <v>16</v>
      </c>
      <c r="E118" t="s">
        <v>70</v>
      </c>
      <c r="F118" t="s">
        <v>71</v>
      </c>
      <c r="G118">
        <v>2</v>
      </c>
      <c r="H118">
        <v>97.35</v>
      </c>
      <c r="I118">
        <v>5</v>
      </c>
      <c r="J118" t="s">
        <v>74</v>
      </c>
      <c r="K118" t="s">
        <v>77</v>
      </c>
      <c r="L118">
        <v>194.7</v>
      </c>
      <c r="M118">
        <v>9.7349999999999994</v>
      </c>
      <c r="N118">
        <v>184.965</v>
      </c>
      <c r="O1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8" s="9" t="str">
        <f ca="1">IF(OR(ISNUMBER(Table13[[#This Row],[Order_Date]])=FALSE,Table13[[#This Row],[Order_Date]]&lt;DATE(2000,1,1),Table13[[#This Row],[Order_Date]]&gt;TODAY()),"YES","NO")</f>
        <v>NO</v>
      </c>
      <c r="Q118" s="9">
        <f>IF(Table13[[#This Row],[Order_Status]] = "Cancelled",0,IF(Table13[[#This Row],[Order_Status]] = "Returned",Table13[[#This Row],[Net_Sales]] * -1,Table13[[#This Row],[Net_Sales]]))</f>
        <v>184.965</v>
      </c>
      <c r="R118" s="9" t="str">
        <f>IF(Table13[[#This Row],[Gross_Sales]]&gt;=500, "YES","NO")</f>
        <v>NO</v>
      </c>
    </row>
    <row r="119" spans="1:18" x14ac:dyDescent="0.3">
      <c r="A119">
        <v>100114</v>
      </c>
      <c r="B119" s="8">
        <v>45296.708333333343</v>
      </c>
      <c r="C119" t="s">
        <v>15</v>
      </c>
      <c r="D119" t="s">
        <v>28</v>
      </c>
      <c r="E119" t="s">
        <v>69</v>
      </c>
      <c r="F119" t="s">
        <v>72</v>
      </c>
      <c r="G119">
        <v>1</v>
      </c>
      <c r="H119">
        <v>64.569999999999993</v>
      </c>
      <c r="I119">
        <v>0</v>
      </c>
      <c r="J119" t="s">
        <v>74</v>
      </c>
      <c r="K119" t="s">
        <v>77</v>
      </c>
      <c r="L119">
        <v>64.569999999999993</v>
      </c>
      <c r="M119">
        <v>0</v>
      </c>
      <c r="N119">
        <v>64.569999999999993</v>
      </c>
      <c r="O1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19" s="9" t="str">
        <f ca="1">IF(OR(ISNUMBER(Table13[[#This Row],[Order_Date]])=FALSE,Table13[[#This Row],[Order_Date]]&lt;DATE(2000,1,1),Table13[[#This Row],[Order_Date]]&gt;TODAY()),"YES","NO")</f>
        <v>NO</v>
      </c>
      <c r="Q119" s="9">
        <f>IF(Table13[[#This Row],[Order_Status]] = "Cancelled",0,IF(Table13[[#This Row],[Order_Status]] = "Returned",Table13[[#This Row],[Net_Sales]] * -1,Table13[[#This Row],[Net_Sales]]))</f>
        <v>64.569999999999993</v>
      </c>
      <c r="R119" s="9" t="str">
        <f>IF(Table13[[#This Row],[Gross_Sales]]&gt;=500, "YES","NO")</f>
        <v>NO</v>
      </c>
    </row>
    <row r="120" spans="1:18" x14ac:dyDescent="0.3">
      <c r="A120">
        <v>100115</v>
      </c>
      <c r="B120" s="8">
        <v>45296.75</v>
      </c>
      <c r="C120" t="s">
        <v>14</v>
      </c>
      <c r="D120" t="s">
        <v>23</v>
      </c>
      <c r="E120" t="s">
        <v>70</v>
      </c>
      <c r="F120" t="s">
        <v>72</v>
      </c>
      <c r="G120">
        <v>3</v>
      </c>
      <c r="H120">
        <v>21.14</v>
      </c>
      <c r="I120">
        <v>5</v>
      </c>
      <c r="J120" t="s">
        <v>76</v>
      </c>
      <c r="K120" t="s">
        <v>77</v>
      </c>
      <c r="L120">
        <v>63.42</v>
      </c>
      <c r="M120">
        <v>3.1709999999999998</v>
      </c>
      <c r="N120">
        <v>60.249000000000002</v>
      </c>
      <c r="O1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0" s="9" t="str">
        <f ca="1">IF(OR(ISNUMBER(Table13[[#This Row],[Order_Date]])=FALSE,Table13[[#This Row],[Order_Date]]&lt;DATE(2000,1,1),Table13[[#This Row],[Order_Date]]&gt;TODAY()),"YES","NO")</f>
        <v>NO</v>
      </c>
      <c r="Q120" s="9">
        <f>IF(Table13[[#This Row],[Order_Status]] = "Cancelled",0,IF(Table13[[#This Row],[Order_Status]] = "Returned",Table13[[#This Row],[Net_Sales]] * -1,Table13[[#This Row],[Net_Sales]]))</f>
        <v>60.249000000000002</v>
      </c>
      <c r="R120" s="9" t="str">
        <f>IF(Table13[[#This Row],[Gross_Sales]]&gt;=500, "YES","NO")</f>
        <v>NO</v>
      </c>
    </row>
    <row r="121" spans="1:18" x14ac:dyDescent="0.3">
      <c r="A121">
        <v>100116</v>
      </c>
      <c r="B121" s="8">
        <v>45296.791666666657</v>
      </c>
      <c r="C121" t="s">
        <v>15</v>
      </c>
      <c r="D121" t="s">
        <v>53</v>
      </c>
      <c r="E121" t="s">
        <v>66</v>
      </c>
      <c r="F121" t="s">
        <v>71</v>
      </c>
      <c r="G121">
        <v>1</v>
      </c>
      <c r="H121">
        <v>82.18</v>
      </c>
      <c r="I121">
        <v>0</v>
      </c>
      <c r="J121" t="s">
        <v>75</v>
      </c>
      <c r="K121" t="s">
        <v>77</v>
      </c>
      <c r="L121">
        <v>82.18</v>
      </c>
      <c r="M121">
        <v>0</v>
      </c>
      <c r="N121">
        <v>82.18</v>
      </c>
      <c r="O1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1" s="9" t="str">
        <f ca="1">IF(OR(ISNUMBER(Table13[[#This Row],[Order_Date]])=FALSE,Table13[[#This Row],[Order_Date]]&lt;DATE(2000,1,1),Table13[[#This Row],[Order_Date]]&gt;TODAY()),"YES","NO")</f>
        <v>NO</v>
      </c>
      <c r="Q121" s="9">
        <f>IF(Table13[[#This Row],[Order_Status]] = "Cancelled",0,IF(Table13[[#This Row],[Order_Status]] = "Returned",Table13[[#This Row],[Net_Sales]] * -1,Table13[[#This Row],[Net_Sales]]))</f>
        <v>82.18</v>
      </c>
      <c r="R121" s="9" t="str">
        <f>IF(Table13[[#This Row],[Gross_Sales]]&gt;=500, "YES","NO")</f>
        <v>NO</v>
      </c>
    </row>
    <row r="122" spans="1:18" x14ac:dyDescent="0.3">
      <c r="A122">
        <v>100117</v>
      </c>
      <c r="B122" s="8">
        <v>45296.833333333343</v>
      </c>
      <c r="C122" t="s">
        <v>14</v>
      </c>
      <c r="D122" t="s">
        <v>32</v>
      </c>
      <c r="E122" t="s">
        <v>68</v>
      </c>
      <c r="F122" t="s">
        <v>72</v>
      </c>
      <c r="G122">
        <v>3</v>
      </c>
      <c r="H122">
        <v>76.349999999999994</v>
      </c>
      <c r="I122">
        <v>0</v>
      </c>
      <c r="J122" t="s">
        <v>74</v>
      </c>
      <c r="K122" t="s">
        <v>77</v>
      </c>
      <c r="L122">
        <v>229.05</v>
      </c>
      <c r="M122">
        <v>0</v>
      </c>
      <c r="N122">
        <v>229.05</v>
      </c>
      <c r="O1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2" s="9" t="str">
        <f ca="1">IF(OR(ISNUMBER(Table13[[#This Row],[Order_Date]])=FALSE,Table13[[#This Row],[Order_Date]]&lt;DATE(2000,1,1),Table13[[#This Row],[Order_Date]]&gt;TODAY()),"YES","NO")</f>
        <v>NO</v>
      </c>
      <c r="Q122" s="9">
        <f>IF(Table13[[#This Row],[Order_Status]] = "Cancelled",0,IF(Table13[[#This Row],[Order_Status]] = "Returned",Table13[[#This Row],[Net_Sales]] * -1,Table13[[#This Row],[Net_Sales]]))</f>
        <v>229.05</v>
      </c>
      <c r="R122" s="9" t="str">
        <f>IF(Table13[[#This Row],[Gross_Sales]]&gt;=500, "YES","NO")</f>
        <v>NO</v>
      </c>
    </row>
    <row r="123" spans="1:18" x14ac:dyDescent="0.3">
      <c r="A123">
        <v>100118</v>
      </c>
      <c r="B123" s="8">
        <v>45296.875</v>
      </c>
      <c r="C123" t="s">
        <v>15</v>
      </c>
      <c r="D123" t="s">
        <v>16</v>
      </c>
      <c r="E123" t="s">
        <v>67</v>
      </c>
      <c r="F123" t="s">
        <v>71</v>
      </c>
      <c r="G123">
        <v>3</v>
      </c>
      <c r="H123">
        <v>90.36</v>
      </c>
      <c r="I123">
        <v>5</v>
      </c>
      <c r="J123" t="s">
        <v>76</v>
      </c>
      <c r="K123" t="s">
        <v>77</v>
      </c>
      <c r="L123">
        <v>271.08</v>
      </c>
      <c r="M123">
        <v>13.554</v>
      </c>
      <c r="N123">
        <v>257.52600000000001</v>
      </c>
      <c r="O1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3" s="9" t="str">
        <f ca="1">IF(OR(ISNUMBER(Table13[[#This Row],[Order_Date]])=FALSE,Table13[[#This Row],[Order_Date]]&lt;DATE(2000,1,1),Table13[[#This Row],[Order_Date]]&gt;TODAY()),"YES","NO")</f>
        <v>NO</v>
      </c>
      <c r="Q123" s="9">
        <f>IF(Table13[[#This Row],[Order_Status]] = "Cancelled",0,IF(Table13[[#This Row],[Order_Status]] = "Returned",Table13[[#This Row],[Net_Sales]] * -1,Table13[[#This Row],[Net_Sales]]))</f>
        <v>257.52600000000001</v>
      </c>
      <c r="R123" s="9" t="str">
        <f>IF(Table13[[#This Row],[Gross_Sales]]&gt;=500, "YES","NO")</f>
        <v>NO</v>
      </c>
    </row>
    <row r="124" spans="1:18" x14ac:dyDescent="0.3">
      <c r="A124">
        <v>100119</v>
      </c>
      <c r="B124" s="8">
        <v>45296.916666666657</v>
      </c>
      <c r="C124" t="s">
        <v>15</v>
      </c>
      <c r="D124" t="s">
        <v>32</v>
      </c>
      <c r="E124" t="s">
        <v>67</v>
      </c>
      <c r="F124" t="s">
        <v>72</v>
      </c>
      <c r="G124">
        <v>2</v>
      </c>
      <c r="H124">
        <v>24.54</v>
      </c>
      <c r="I124">
        <v>5</v>
      </c>
      <c r="J124" t="s">
        <v>74</v>
      </c>
      <c r="K124" t="s">
        <v>77</v>
      </c>
      <c r="L124">
        <v>49.08</v>
      </c>
      <c r="M124">
        <v>2.4540000000000002</v>
      </c>
      <c r="N124">
        <v>46.625999999999998</v>
      </c>
      <c r="O1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4" s="9" t="str">
        <f ca="1">IF(OR(ISNUMBER(Table13[[#This Row],[Order_Date]])=FALSE,Table13[[#This Row],[Order_Date]]&lt;DATE(2000,1,1),Table13[[#This Row],[Order_Date]]&gt;TODAY()),"YES","NO")</f>
        <v>NO</v>
      </c>
      <c r="Q124" s="9">
        <f>IF(Table13[[#This Row],[Order_Status]] = "Cancelled",0,IF(Table13[[#This Row],[Order_Status]] = "Returned",Table13[[#This Row],[Net_Sales]] * -1,Table13[[#This Row],[Net_Sales]]))</f>
        <v>46.625999999999998</v>
      </c>
      <c r="R124" s="9" t="str">
        <f>IF(Table13[[#This Row],[Gross_Sales]]&gt;=500, "YES","NO")</f>
        <v>NO</v>
      </c>
    </row>
    <row r="125" spans="1:18" x14ac:dyDescent="0.3">
      <c r="A125">
        <v>100120</v>
      </c>
      <c r="B125" s="8">
        <v>45296.958333333343</v>
      </c>
      <c r="C125" t="s">
        <v>14</v>
      </c>
      <c r="D125" t="s">
        <v>16</v>
      </c>
      <c r="E125" t="s">
        <v>69</v>
      </c>
      <c r="F125" t="s">
        <v>72</v>
      </c>
      <c r="G125">
        <v>2</v>
      </c>
      <c r="H125">
        <v>27.42</v>
      </c>
      <c r="I125">
        <v>0</v>
      </c>
      <c r="J125" t="s">
        <v>75</v>
      </c>
      <c r="K125" t="s">
        <v>77</v>
      </c>
      <c r="L125">
        <v>54.84</v>
      </c>
      <c r="M125">
        <v>0</v>
      </c>
      <c r="N125">
        <v>54.84</v>
      </c>
      <c r="O1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5" s="9" t="str">
        <f ca="1">IF(OR(ISNUMBER(Table13[[#This Row],[Order_Date]])=FALSE,Table13[[#This Row],[Order_Date]]&lt;DATE(2000,1,1),Table13[[#This Row],[Order_Date]]&gt;TODAY()),"YES","NO")</f>
        <v>NO</v>
      </c>
      <c r="Q125" s="9">
        <f>IF(Table13[[#This Row],[Order_Status]] = "Cancelled",0,IF(Table13[[#This Row],[Order_Status]] = "Returned",Table13[[#This Row],[Net_Sales]] * -1,Table13[[#This Row],[Net_Sales]]))</f>
        <v>54.84</v>
      </c>
      <c r="R125" s="9" t="str">
        <f>IF(Table13[[#This Row],[Gross_Sales]]&gt;=500, "YES","NO")</f>
        <v>NO</v>
      </c>
    </row>
    <row r="126" spans="1:18" x14ac:dyDescent="0.3">
      <c r="A126">
        <v>100121</v>
      </c>
      <c r="B126" s="8">
        <v>45297</v>
      </c>
      <c r="C126" t="s">
        <v>15</v>
      </c>
      <c r="D126" t="s">
        <v>19</v>
      </c>
      <c r="E126" t="s">
        <v>70</v>
      </c>
      <c r="F126" t="s">
        <v>72</v>
      </c>
      <c r="G126">
        <v>1</v>
      </c>
      <c r="H126">
        <v>107.4</v>
      </c>
      <c r="I126">
        <v>10</v>
      </c>
      <c r="J126" t="s">
        <v>76</v>
      </c>
      <c r="K126" t="s">
        <v>79</v>
      </c>
      <c r="L126">
        <v>107.4</v>
      </c>
      <c r="M126">
        <v>10.74</v>
      </c>
      <c r="N126">
        <v>96.66</v>
      </c>
      <c r="O1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26" s="9" t="str">
        <f ca="1">IF(OR(ISNUMBER(Table13[[#This Row],[Order_Date]])=FALSE,Table13[[#This Row],[Order_Date]]&lt;DATE(2000,1,1),Table13[[#This Row],[Order_Date]]&gt;TODAY()),"YES","NO")</f>
        <v>NO</v>
      </c>
      <c r="Q126" s="9">
        <f>IF(Table13[[#This Row],[Order_Status]] = "Cancelled",0,IF(Table13[[#This Row],[Order_Status]] = "Returned",Table13[[#This Row],[Net_Sales]] * -1,Table13[[#This Row],[Net_Sales]]))</f>
        <v>0</v>
      </c>
      <c r="R126" s="9" t="str">
        <f>IF(Table13[[#This Row],[Gross_Sales]]&gt;=500, "YES","NO")</f>
        <v>NO</v>
      </c>
    </row>
    <row r="127" spans="1:18" x14ac:dyDescent="0.3">
      <c r="A127">
        <v>100122</v>
      </c>
      <c r="B127" s="8">
        <v>45297.041666666657</v>
      </c>
      <c r="C127" t="s">
        <v>14</v>
      </c>
      <c r="D127" t="s">
        <v>60</v>
      </c>
      <c r="E127" t="s">
        <v>69</v>
      </c>
      <c r="F127" t="s">
        <v>72</v>
      </c>
      <c r="G127">
        <v>3</v>
      </c>
      <c r="H127">
        <v>91.25</v>
      </c>
      <c r="I127">
        <v>15</v>
      </c>
      <c r="J127" t="s">
        <v>76</v>
      </c>
      <c r="K127" t="s">
        <v>78</v>
      </c>
      <c r="L127">
        <v>273.75</v>
      </c>
      <c r="M127">
        <v>41.0625</v>
      </c>
      <c r="N127">
        <v>232.6875</v>
      </c>
      <c r="O1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27" s="9" t="str">
        <f ca="1">IF(OR(ISNUMBER(Table13[[#This Row],[Order_Date]])=FALSE,Table13[[#This Row],[Order_Date]]&lt;DATE(2000,1,1),Table13[[#This Row],[Order_Date]]&gt;TODAY()),"YES","NO")</f>
        <v>NO</v>
      </c>
      <c r="Q127" s="9">
        <f>IF(Table13[[#This Row],[Order_Status]] = "Cancelled",0,IF(Table13[[#This Row],[Order_Status]] = "Returned",Table13[[#This Row],[Net_Sales]] * -1,Table13[[#This Row],[Net_Sales]]))</f>
        <v>-232.6875</v>
      </c>
      <c r="R127" s="9" t="str">
        <f>IF(Table13[[#This Row],[Gross_Sales]]&gt;=500, "YES","NO")</f>
        <v>NO</v>
      </c>
    </row>
    <row r="128" spans="1:18" x14ac:dyDescent="0.3">
      <c r="A128">
        <v>100123</v>
      </c>
      <c r="B128" s="8">
        <v>45297.083333333343</v>
      </c>
      <c r="C128" t="s">
        <v>15</v>
      </c>
      <c r="D128" t="s">
        <v>28</v>
      </c>
      <c r="E128" t="s">
        <v>68</v>
      </c>
      <c r="F128" t="s">
        <v>72</v>
      </c>
      <c r="G128">
        <v>1</v>
      </c>
      <c r="H128">
        <v>109.45</v>
      </c>
      <c r="I128">
        <v>0</v>
      </c>
      <c r="J128" t="s">
        <v>76</v>
      </c>
      <c r="K128" t="s">
        <v>77</v>
      </c>
      <c r="L128">
        <v>109.45</v>
      </c>
      <c r="M128">
        <v>0</v>
      </c>
      <c r="N128">
        <v>109.45</v>
      </c>
      <c r="O1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8" s="9" t="str">
        <f ca="1">IF(OR(ISNUMBER(Table13[[#This Row],[Order_Date]])=FALSE,Table13[[#This Row],[Order_Date]]&lt;DATE(2000,1,1),Table13[[#This Row],[Order_Date]]&gt;TODAY()),"YES","NO")</f>
        <v>NO</v>
      </c>
      <c r="Q128" s="9">
        <f>IF(Table13[[#This Row],[Order_Status]] = "Cancelled",0,IF(Table13[[#This Row],[Order_Status]] = "Returned",Table13[[#This Row],[Net_Sales]] * -1,Table13[[#This Row],[Net_Sales]]))</f>
        <v>109.45</v>
      </c>
      <c r="R128" s="9" t="str">
        <f>IF(Table13[[#This Row],[Gross_Sales]]&gt;=500, "YES","NO")</f>
        <v>NO</v>
      </c>
    </row>
    <row r="129" spans="1:18" x14ac:dyDescent="0.3">
      <c r="A129">
        <v>100124</v>
      </c>
      <c r="B129" s="8">
        <v>45297.125</v>
      </c>
      <c r="C129" t="s">
        <v>14</v>
      </c>
      <c r="D129" t="s">
        <v>44</v>
      </c>
      <c r="E129" t="s">
        <v>69</v>
      </c>
      <c r="F129" t="s">
        <v>72</v>
      </c>
      <c r="G129">
        <v>4</v>
      </c>
      <c r="H129">
        <v>92.25</v>
      </c>
      <c r="I129">
        <v>5</v>
      </c>
      <c r="J129" t="s">
        <v>74</v>
      </c>
      <c r="K129" t="s">
        <v>77</v>
      </c>
      <c r="L129">
        <v>369</v>
      </c>
      <c r="M129">
        <v>18.45</v>
      </c>
      <c r="N129">
        <v>350.55</v>
      </c>
      <c r="O1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29" s="9" t="str">
        <f ca="1">IF(OR(ISNUMBER(Table13[[#This Row],[Order_Date]])=FALSE,Table13[[#This Row],[Order_Date]]&lt;DATE(2000,1,1),Table13[[#This Row],[Order_Date]]&gt;TODAY()),"YES","NO")</f>
        <v>NO</v>
      </c>
      <c r="Q129" s="9">
        <f>IF(Table13[[#This Row],[Order_Status]] = "Cancelled",0,IF(Table13[[#This Row],[Order_Status]] = "Returned",Table13[[#This Row],[Net_Sales]] * -1,Table13[[#This Row],[Net_Sales]]))</f>
        <v>350.55</v>
      </c>
      <c r="R129" s="9" t="str">
        <f>IF(Table13[[#This Row],[Gross_Sales]]&gt;=500, "YES","NO")</f>
        <v>NO</v>
      </c>
    </row>
    <row r="130" spans="1:18" x14ac:dyDescent="0.3">
      <c r="A130">
        <v>100125</v>
      </c>
      <c r="B130" s="8">
        <v>45297.166666666657</v>
      </c>
      <c r="C130" t="s">
        <v>14</v>
      </c>
      <c r="D130" t="s">
        <v>26</v>
      </c>
      <c r="E130" t="s">
        <v>67</v>
      </c>
      <c r="F130" t="s">
        <v>72</v>
      </c>
      <c r="G130">
        <v>1</v>
      </c>
      <c r="H130">
        <v>73.67</v>
      </c>
      <c r="I130">
        <v>5</v>
      </c>
      <c r="J130" t="s">
        <v>75</v>
      </c>
      <c r="K130" t="s">
        <v>78</v>
      </c>
      <c r="L130">
        <v>73.67</v>
      </c>
      <c r="M130">
        <v>3.6835</v>
      </c>
      <c r="N130">
        <v>69.986500000000007</v>
      </c>
      <c r="O1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30" s="9" t="str">
        <f ca="1">IF(OR(ISNUMBER(Table13[[#This Row],[Order_Date]])=FALSE,Table13[[#This Row],[Order_Date]]&lt;DATE(2000,1,1),Table13[[#This Row],[Order_Date]]&gt;TODAY()),"YES","NO")</f>
        <v>NO</v>
      </c>
      <c r="Q130" s="9">
        <f>IF(Table13[[#This Row],[Order_Status]] = "Cancelled",0,IF(Table13[[#This Row],[Order_Status]] = "Returned",Table13[[#This Row],[Net_Sales]] * -1,Table13[[#This Row],[Net_Sales]]))</f>
        <v>-69.986500000000007</v>
      </c>
      <c r="R130" s="9" t="str">
        <f>IF(Table13[[#This Row],[Gross_Sales]]&gt;=500, "YES","NO")</f>
        <v>NO</v>
      </c>
    </row>
    <row r="131" spans="1:18" x14ac:dyDescent="0.3">
      <c r="A131">
        <v>100126</v>
      </c>
      <c r="B131" s="8">
        <v>45297.208333333343</v>
      </c>
      <c r="C131" t="s">
        <v>15</v>
      </c>
      <c r="D131" t="s">
        <v>31</v>
      </c>
      <c r="E131" t="s">
        <v>67</v>
      </c>
      <c r="F131" t="s">
        <v>71</v>
      </c>
      <c r="G131">
        <v>5</v>
      </c>
      <c r="H131">
        <v>80.23</v>
      </c>
      <c r="I131">
        <v>10</v>
      </c>
      <c r="J131" t="s">
        <v>76</v>
      </c>
      <c r="K131" t="s">
        <v>77</v>
      </c>
      <c r="L131">
        <v>401.15</v>
      </c>
      <c r="M131">
        <v>40.115000000000009</v>
      </c>
      <c r="N131">
        <v>361.03500000000003</v>
      </c>
      <c r="O1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1" s="9" t="str">
        <f ca="1">IF(OR(ISNUMBER(Table13[[#This Row],[Order_Date]])=FALSE,Table13[[#This Row],[Order_Date]]&lt;DATE(2000,1,1),Table13[[#This Row],[Order_Date]]&gt;TODAY()),"YES","NO")</f>
        <v>NO</v>
      </c>
      <c r="Q131" s="9">
        <f>IF(Table13[[#This Row],[Order_Status]] = "Cancelled",0,IF(Table13[[#This Row],[Order_Status]] = "Returned",Table13[[#This Row],[Net_Sales]] * -1,Table13[[#This Row],[Net_Sales]]))</f>
        <v>361.03500000000003</v>
      </c>
      <c r="R131" s="9" t="str">
        <f>IF(Table13[[#This Row],[Gross_Sales]]&gt;=500, "YES","NO")</f>
        <v>NO</v>
      </c>
    </row>
    <row r="132" spans="1:18" x14ac:dyDescent="0.3">
      <c r="A132">
        <v>100127</v>
      </c>
      <c r="B132" s="8">
        <v>45297.25</v>
      </c>
      <c r="C132" t="s">
        <v>15</v>
      </c>
      <c r="D132" t="s">
        <v>20</v>
      </c>
      <c r="E132" t="s">
        <v>66</v>
      </c>
      <c r="F132" t="s">
        <v>71</v>
      </c>
      <c r="G132">
        <v>1</v>
      </c>
      <c r="H132">
        <v>107.25</v>
      </c>
      <c r="I132">
        <v>15</v>
      </c>
      <c r="J132" t="s">
        <v>73</v>
      </c>
      <c r="K132" t="s">
        <v>77</v>
      </c>
      <c r="L132">
        <v>107.25</v>
      </c>
      <c r="M132">
        <v>16.087499999999999</v>
      </c>
      <c r="N132">
        <v>91.162499999999994</v>
      </c>
      <c r="O1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2" s="9" t="str">
        <f ca="1">IF(OR(ISNUMBER(Table13[[#This Row],[Order_Date]])=FALSE,Table13[[#This Row],[Order_Date]]&lt;DATE(2000,1,1),Table13[[#This Row],[Order_Date]]&gt;TODAY()),"YES","NO")</f>
        <v>NO</v>
      </c>
      <c r="Q132" s="9">
        <f>IF(Table13[[#This Row],[Order_Status]] = "Cancelled",0,IF(Table13[[#This Row],[Order_Status]] = "Returned",Table13[[#This Row],[Net_Sales]] * -1,Table13[[#This Row],[Net_Sales]]))</f>
        <v>91.162499999999994</v>
      </c>
      <c r="R132" s="9" t="str">
        <f>IF(Table13[[#This Row],[Gross_Sales]]&gt;=500, "YES","NO")</f>
        <v>NO</v>
      </c>
    </row>
    <row r="133" spans="1:18" x14ac:dyDescent="0.3">
      <c r="A133">
        <v>100128</v>
      </c>
      <c r="B133" s="8">
        <v>45297.291666666657</v>
      </c>
      <c r="C133" t="s">
        <v>14</v>
      </c>
      <c r="D133" t="s">
        <v>62</v>
      </c>
      <c r="E133" t="s">
        <v>66</v>
      </c>
      <c r="F133" t="s">
        <v>71</v>
      </c>
      <c r="G133">
        <v>5</v>
      </c>
      <c r="H133">
        <v>71.56</v>
      </c>
      <c r="I133">
        <v>0</v>
      </c>
      <c r="J133" t="s">
        <v>75</v>
      </c>
      <c r="K133" t="s">
        <v>78</v>
      </c>
      <c r="L133">
        <v>357.8</v>
      </c>
      <c r="M133">
        <v>0</v>
      </c>
      <c r="N133">
        <v>357.8</v>
      </c>
      <c r="O1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33" s="9" t="str">
        <f ca="1">IF(OR(ISNUMBER(Table13[[#This Row],[Order_Date]])=FALSE,Table13[[#This Row],[Order_Date]]&lt;DATE(2000,1,1),Table13[[#This Row],[Order_Date]]&gt;TODAY()),"YES","NO")</f>
        <v>NO</v>
      </c>
      <c r="Q133" s="9">
        <f>IF(Table13[[#This Row],[Order_Status]] = "Cancelled",0,IF(Table13[[#This Row],[Order_Status]] = "Returned",Table13[[#This Row],[Net_Sales]] * -1,Table13[[#This Row],[Net_Sales]]))</f>
        <v>-357.8</v>
      </c>
      <c r="R133" s="9" t="str">
        <f>IF(Table13[[#This Row],[Gross_Sales]]&gt;=500, "YES","NO")</f>
        <v>NO</v>
      </c>
    </row>
    <row r="134" spans="1:18" x14ac:dyDescent="0.3">
      <c r="A134">
        <v>100129</v>
      </c>
      <c r="B134" s="8">
        <v>45297.333333333343</v>
      </c>
      <c r="C134" t="s">
        <v>15</v>
      </c>
      <c r="D134" t="s">
        <v>62</v>
      </c>
      <c r="E134" t="s">
        <v>68</v>
      </c>
      <c r="F134" t="s">
        <v>72</v>
      </c>
      <c r="G134">
        <v>5</v>
      </c>
      <c r="H134">
        <v>77.73</v>
      </c>
      <c r="I134">
        <v>0</v>
      </c>
      <c r="J134" t="s">
        <v>73</v>
      </c>
      <c r="K134" t="s">
        <v>77</v>
      </c>
      <c r="L134">
        <v>388.65</v>
      </c>
      <c r="M134">
        <v>0</v>
      </c>
      <c r="N134">
        <v>388.65</v>
      </c>
      <c r="O1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4" s="9" t="str">
        <f ca="1">IF(OR(ISNUMBER(Table13[[#This Row],[Order_Date]])=FALSE,Table13[[#This Row],[Order_Date]]&lt;DATE(2000,1,1),Table13[[#This Row],[Order_Date]]&gt;TODAY()),"YES","NO")</f>
        <v>NO</v>
      </c>
      <c r="Q134" s="9">
        <f>IF(Table13[[#This Row],[Order_Status]] = "Cancelled",0,IF(Table13[[#This Row],[Order_Status]] = "Returned",Table13[[#This Row],[Net_Sales]] * -1,Table13[[#This Row],[Net_Sales]]))</f>
        <v>388.65</v>
      </c>
      <c r="R134" s="9" t="str">
        <f>IF(Table13[[#This Row],[Gross_Sales]]&gt;=500, "YES","NO")</f>
        <v>NO</v>
      </c>
    </row>
    <row r="135" spans="1:18" x14ac:dyDescent="0.3">
      <c r="A135">
        <v>100130</v>
      </c>
      <c r="B135" s="8">
        <v>45297.375</v>
      </c>
      <c r="C135" t="s">
        <v>15</v>
      </c>
      <c r="D135" t="s">
        <v>22</v>
      </c>
      <c r="E135" t="s">
        <v>70</v>
      </c>
      <c r="F135" t="s">
        <v>72</v>
      </c>
      <c r="G135">
        <v>5</v>
      </c>
      <c r="H135">
        <v>22.99</v>
      </c>
      <c r="I135">
        <v>15</v>
      </c>
      <c r="J135" t="s">
        <v>73</v>
      </c>
      <c r="K135" t="s">
        <v>77</v>
      </c>
      <c r="L135">
        <v>114.95</v>
      </c>
      <c r="M135">
        <v>17.2425</v>
      </c>
      <c r="N135">
        <v>97.707499999999996</v>
      </c>
      <c r="O1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5" s="9" t="str">
        <f ca="1">IF(OR(ISNUMBER(Table13[[#This Row],[Order_Date]])=FALSE,Table13[[#This Row],[Order_Date]]&lt;DATE(2000,1,1),Table13[[#This Row],[Order_Date]]&gt;TODAY()),"YES","NO")</f>
        <v>NO</v>
      </c>
      <c r="Q135" s="9">
        <f>IF(Table13[[#This Row],[Order_Status]] = "Cancelled",0,IF(Table13[[#This Row],[Order_Status]] = "Returned",Table13[[#This Row],[Net_Sales]] * -1,Table13[[#This Row],[Net_Sales]]))</f>
        <v>97.707499999999996</v>
      </c>
      <c r="R135" s="9" t="str">
        <f>IF(Table13[[#This Row],[Gross_Sales]]&gt;=500, "YES","NO")</f>
        <v>NO</v>
      </c>
    </row>
    <row r="136" spans="1:18" x14ac:dyDescent="0.3">
      <c r="A136">
        <v>100131</v>
      </c>
      <c r="B136" s="8">
        <v>45297.416666666657</v>
      </c>
      <c r="C136" t="s">
        <v>15</v>
      </c>
      <c r="D136" t="s">
        <v>39</v>
      </c>
      <c r="E136" t="s">
        <v>69</v>
      </c>
      <c r="F136" t="s">
        <v>72</v>
      </c>
      <c r="G136">
        <v>4</v>
      </c>
      <c r="H136">
        <v>59.5</v>
      </c>
      <c r="I136">
        <v>0</v>
      </c>
      <c r="J136" t="s">
        <v>76</v>
      </c>
      <c r="K136" t="s">
        <v>79</v>
      </c>
      <c r="L136">
        <v>238</v>
      </c>
      <c r="M136">
        <v>0</v>
      </c>
      <c r="N136">
        <v>238</v>
      </c>
      <c r="O1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36" s="9" t="str">
        <f ca="1">IF(OR(ISNUMBER(Table13[[#This Row],[Order_Date]])=FALSE,Table13[[#This Row],[Order_Date]]&lt;DATE(2000,1,1),Table13[[#This Row],[Order_Date]]&gt;TODAY()),"YES","NO")</f>
        <v>NO</v>
      </c>
      <c r="Q136" s="9">
        <f>IF(Table13[[#This Row],[Order_Status]] = "Cancelled",0,IF(Table13[[#This Row],[Order_Status]] = "Returned",Table13[[#This Row],[Net_Sales]] * -1,Table13[[#This Row],[Net_Sales]]))</f>
        <v>0</v>
      </c>
      <c r="R136" s="9" t="str">
        <f>IF(Table13[[#This Row],[Gross_Sales]]&gt;=500, "YES","NO")</f>
        <v>NO</v>
      </c>
    </row>
    <row r="137" spans="1:18" x14ac:dyDescent="0.3">
      <c r="A137">
        <v>100132</v>
      </c>
      <c r="B137" s="8">
        <v>45297.458333333343</v>
      </c>
      <c r="C137" t="s">
        <v>14</v>
      </c>
      <c r="D137" t="s">
        <v>29</v>
      </c>
      <c r="E137" t="s">
        <v>68</v>
      </c>
      <c r="F137" t="s">
        <v>72</v>
      </c>
      <c r="G137">
        <v>1</v>
      </c>
      <c r="H137">
        <v>87.39</v>
      </c>
      <c r="I137">
        <v>15</v>
      </c>
      <c r="J137" t="s">
        <v>76</v>
      </c>
      <c r="K137" t="s">
        <v>77</v>
      </c>
      <c r="L137">
        <v>87.39</v>
      </c>
      <c r="M137">
        <v>13.108499999999999</v>
      </c>
      <c r="N137">
        <v>74.281499999999994</v>
      </c>
      <c r="O1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7" s="9" t="str">
        <f ca="1">IF(OR(ISNUMBER(Table13[[#This Row],[Order_Date]])=FALSE,Table13[[#This Row],[Order_Date]]&lt;DATE(2000,1,1),Table13[[#This Row],[Order_Date]]&gt;TODAY()),"YES","NO")</f>
        <v>NO</v>
      </c>
      <c r="Q137" s="9">
        <f>IF(Table13[[#This Row],[Order_Status]] = "Cancelled",0,IF(Table13[[#This Row],[Order_Status]] = "Returned",Table13[[#This Row],[Net_Sales]] * -1,Table13[[#This Row],[Net_Sales]]))</f>
        <v>74.281499999999994</v>
      </c>
      <c r="R137" s="9" t="str">
        <f>IF(Table13[[#This Row],[Gross_Sales]]&gt;=500, "YES","NO")</f>
        <v>NO</v>
      </c>
    </row>
    <row r="138" spans="1:18" x14ac:dyDescent="0.3">
      <c r="A138">
        <v>100133</v>
      </c>
      <c r="B138" s="8">
        <v>45297.5</v>
      </c>
      <c r="C138" t="s">
        <v>14</v>
      </c>
      <c r="D138" t="s">
        <v>49</v>
      </c>
      <c r="E138" t="s">
        <v>66</v>
      </c>
      <c r="F138" t="s">
        <v>72</v>
      </c>
      <c r="G138">
        <v>1</v>
      </c>
      <c r="H138">
        <v>36.159999999999997</v>
      </c>
      <c r="I138">
        <v>5</v>
      </c>
      <c r="J138" t="s">
        <v>74</v>
      </c>
      <c r="K138" t="s">
        <v>77</v>
      </c>
      <c r="L138">
        <v>36.159999999999997</v>
      </c>
      <c r="M138">
        <v>1.8080000000000001</v>
      </c>
      <c r="N138">
        <v>34.351999999999997</v>
      </c>
      <c r="O1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8" s="9" t="str">
        <f ca="1">IF(OR(ISNUMBER(Table13[[#This Row],[Order_Date]])=FALSE,Table13[[#This Row],[Order_Date]]&lt;DATE(2000,1,1),Table13[[#This Row],[Order_Date]]&gt;TODAY()),"YES","NO")</f>
        <v>NO</v>
      </c>
      <c r="Q138" s="9">
        <f>IF(Table13[[#This Row],[Order_Status]] = "Cancelled",0,IF(Table13[[#This Row],[Order_Status]] = "Returned",Table13[[#This Row],[Net_Sales]] * -1,Table13[[#This Row],[Net_Sales]]))</f>
        <v>34.351999999999997</v>
      </c>
      <c r="R138" s="9" t="str">
        <f>IF(Table13[[#This Row],[Gross_Sales]]&gt;=500, "YES","NO")</f>
        <v>NO</v>
      </c>
    </row>
    <row r="139" spans="1:18" x14ac:dyDescent="0.3">
      <c r="A139">
        <v>100134</v>
      </c>
      <c r="B139" s="8">
        <v>45297.541666666657</v>
      </c>
      <c r="C139" t="s">
        <v>14</v>
      </c>
      <c r="D139" t="s">
        <v>63</v>
      </c>
      <c r="E139" t="s">
        <v>69</v>
      </c>
      <c r="F139" t="s">
        <v>72</v>
      </c>
      <c r="G139">
        <v>4</v>
      </c>
      <c r="H139">
        <v>28.26</v>
      </c>
      <c r="I139">
        <v>15</v>
      </c>
      <c r="J139" t="s">
        <v>74</v>
      </c>
      <c r="K139" t="s">
        <v>77</v>
      </c>
      <c r="L139">
        <v>113.04</v>
      </c>
      <c r="M139">
        <v>16.956</v>
      </c>
      <c r="N139">
        <v>96.084000000000003</v>
      </c>
      <c r="O1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39" s="9" t="str">
        <f ca="1">IF(OR(ISNUMBER(Table13[[#This Row],[Order_Date]])=FALSE,Table13[[#This Row],[Order_Date]]&lt;DATE(2000,1,1),Table13[[#This Row],[Order_Date]]&gt;TODAY()),"YES","NO")</f>
        <v>NO</v>
      </c>
      <c r="Q139" s="9">
        <f>IF(Table13[[#This Row],[Order_Status]] = "Cancelled",0,IF(Table13[[#This Row],[Order_Status]] = "Returned",Table13[[#This Row],[Net_Sales]] * -1,Table13[[#This Row],[Net_Sales]]))</f>
        <v>96.084000000000003</v>
      </c>
      <c r="R139" s="9" t="str">
        <f>IF(Table13[[#This Row],[Gross_Sales]]&gt;=500, "YES","NO")</f>
        <v>NO</v>
      </c>
    </row>
    <row r="140" spans="1:18" x14ac:dyDescent="0.3">
      <c r="A140">
        <v>100135</v>
      </c>
      <c r="B140" s="8">
        <v>45297.583333333343</v>
      </c>
      <c r="C140" t="s">
        <v>14</v>
      </c>
      <c r="D140" t="s">
        <v>46</v>
      </c>
      <c r="E140" t="s">
        <v>66</v>
      </c>
      <c r="F140" t="s">
        <v>72</v>
      </c>
      <c r="G140">
        <v>3</v>
      </c>
      <c r="H140">
        <v>41.09</v>
      </c>
      <c r="I140">
        <v>0</v>
      </c>
      <c r="J140" t="s">
        <v>74</v>
      </c>
      <c r="K140" t="s">
        <v>77</v>
      </c>
      <c r="L140">
        <v>123.27</v>
      </c>
      <c r="M140">
        <v>0</v>
      </c>
      <c r="N140">
        <v>123.27</v>
      </c>
      <c r="O1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0" s="9" t="str">
        <f ca="1">IF(OR(ISNUMBER(Table13[[#This Row],[Order_Date]])=FALSE,Table13[[#This Row],[Order_Date]]&lt;DATE(2000,1,1),Table13[[#This Row],[Order_Date]]&gt;TODAY()),"YES","NO")</f>
        <v>NO</v>
      </c>
      <c r="Q140" s="9">
        <f>IF(Table13[[#This Row],[Order_Status]] = "Cancelled",0,IF(Table13[[#This Row],[Order_Status]] = "Returned",Table13[[#This Row],[Net_Sales]] * -1,Table13[[#This Row],[Net_Sales]]))</f>
        <v>123.27</v>
      </c>
      <c r="R140" s="9" t="str">
        <f>IF(Table13[[#This Row],[Gross_Sales]]&gt;=500, "YES","NO")</f>
        <v>NO</v>
      </c>
    </row>
    <row r="141" spans="1:18" x14ac:dyDescent="0.3">
      <c r="A141">
        <v>100136</v>
      </c>
      <c r="B141" s="8">
        <v>45297.625</v>
      </c>
      <c r="C141" t="s">
        <v>14</v>
      </c>
      <c r="D141" t="s">
        <v>39</v>
      </c>
      <c r="E141" t="s">
        <v>69</v>
      </c>
      <c r="F141" t="s">
        <v>71</v>
      </c>
      <c r="G141">
        <v>2</v>
      </c>
      <c r="H141">
        <v>32.770000000000003</v>
      </c>
      <c r="I141">
        <v>15</v>
      </c>
      <c r="J141" t="s">
        <v>75</v>
      </c>
      <c r="K141" t="s">
        <v>77</v>
      </c>
      <c r="L141">
        <v>65.540000000000006</v>
      </c>
      <c r="M141">
        <v>9.8310000000000013</v>
      </c>
      <c r="N141">
        <v>55.709000000000003</v>
      </c>
      <c r="O1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1" s="9" t="str">
        <f ca="1">IF(OR(ISNUMBER(Table13[[#This Row],[Order_Date]])=FALSE,Table13[[#This Row],[Order_Date]]&lt;DATE(2000,1,1),Table13[[#This Row],[Order_Date]]&gt;TODAY()),"YES","NO")</f>
        <v>NO</v>
      </c>
      <c r="Q141" s="9">
        <f>IF(Table13[[#This Row],[Order_Status]] = "Cancelled",0,IF(Table13[[#This Row],[Order_Status]] = "Returned",Table13[[#This Row],[Net_Sales]] * -1,Table13[[#This Row],[Net_Sales]]))</f>
        <v>55.709000000000003</v>
      </c>
      <c r="R141" s="9" t="str">
        <f>IF(Table13[[#This Row],[Gross_Sales]]&gt;=500, "YES","NO")</f>
        <v>NO</v>
      </c>
    </row>
    <row r="142" spans="1:18" x14ac:dyDescent="0.3">
      <c r="A142">
        <v>100137</v>
      </c>
      <c r="B142" s="8">
        <v>45297.666666666657</v>
      </c>
      <c r="C142" t="s">
        <v>14</v>
      </c>
      <c r="D142" t="s">
        <v>63</v>
      </c>
      <c r="E142" t="s">
        <v>70</v>
      </c>
      <c r="F142" t="s">
        <v>72</v>
      </c>
      <c r="G142">
        <v>1</v>
      </c>
      <c r="H142">
        <v>29.71</v>
      </c>
      <c r="I142">
        <v>10</v>
      </c>
      <c r="J142" t="s">
        <v>74</v>
      </c>
      <c r="K142" t="s">
        <v>77</v>
      </c>
      <c r="L142">
        <v>29.71</v>
      </c>
      <c r="M142">
        <v>2.9710000000000001</v>
      </c>
      <c r="N142">
        <v>26.739000000000001</v>
      </c>
      <c r="O1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2" s="9" t="str">
        <f ca="1">IF(OR(ISNUMBER(Table13[[#This Row],[Order_Date]])=FALSE,Table13[[#This Row],[Order_Date]]&lt;DATE(2000,1,1),Table13[[#This Row],[Order_Date]]&gt;TODAY()),"YES","NO")</f>
        <v>NO</v>
      </c>
      <c r="Q142" s="9">
        <f>IF(Table13[[#This Row],[Order_Status]] = "Cancelled",0,IF(Table13[[#This Row],[Order_Status]] = "Returned",Table13[[#This Row],[Net_Sales]] * -1,Table13[[#This Row],[Net_Sales]]))</f>
        <v>26.739000000000001</v>
      </c>
      <c r="R142" s="9" t="str">
        <f>IF(Table13[[#This Row],[Gross_Sales]]&gt;=500, "YES","NO")</f>
        <v>NO</v>
      </c>
    </row>
    <row r="143" spans="1:18" x14ac:dyDescent="0.3">
      <c r="A143">
        <v>100138</v>
      </c>
      <c r="B143" s="8">
        <v>45297.708333333343</v>
      </c>
      <c r="C143" t="s">
        <v>14</v>
      </c>
      <c r="D143" t="s">
        <v>55</v>
      </c>
      <c r="E143" t="s">
        <v>68</v>
      </c>
      <c r="F143" t="s">
        <v>71</v>
      </c>
      <c r="G143">
        <v>2</v>
      </c>
      <c r="H143">
        <v>53.86</v>
      </c>
      <c r="I143">
        <v>5</v>
      </c>
      <c r="J143" t="s">
        <v>73</v>
      </c>
      <c r="K143" t="s">
        <v>79</v>
      </c>
      <c r="L143">
        <v>107.72</v>
      </c>
      <c r="M143">
        <v>5.3860000000000001</v>
      </c>
      <c r="N143">
        <v>102.334</v>
      </c>
      <c r="O1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43" s="9" t="str">
        <f ca="1">IF(OR(ISNUMBER(Table13[[#This Row],[Order_Date]])=FALSE,Table13[[#This Row],[Order_Date]]&lt;DATE(2000,1,1),Table13[[#This Row],[Order_Date]]&gt;TODAY()),"YES","NO")</f>
        <v>NO</v>
      </c>
      <c r="Q143" s="9">
        <f>IF(Table13[[#This Row],[Order_Status]] = "Cancelled",0,IF(Table13[[#This Row],[Order_Status]] = "Returned",Table13[[#This Row],[Net_Sales]] * -1,Table13[[#This Row],[Net_Sales]]))</f>
        <v>0</v>
      </c>
      <c r="R143" s="9" t="str">
        <f>IF(Table13[[#This Row],[Gross_Sales]]&gt;=500, "YES","NO")</f>
        <v>NO</v>
      </c>
    </row>
    <row r="144" spans="1:18" x14ac:dyDescent="0.3">
      <c r="A144">
        <v>100139</v>
      </c>
      <c r="B144" s="8">
        <v>45297.75</v>
      </c>
      <c r="C144" t="s">
        <v>14</v>
      </c>
      <c r="D144" t="s">
        <v>53</v>
      </c>
      <c r="E144" t="s">
        <v>69</v>
      </c>
      <c r="F144" t="s">
        <v>71</v>
      </c>
      <c r="G144">
        <v>4</v>
      </c>
      <c r="H144">
        <v>109.4</v>
      </c>
      <c r="I144">
        <v>5</v>
      </c>
      <c r="J144" t="s">
        <v>74</v>
      </c>
      <c r="K144" t="s">
        <v>77</v>
      </c>
      <c r="L144">
        <v>437.6</v>
      </c>
      <c r="M144">
        <v>21.88</v>
      </c>
      <c r="N144">
        <v>415.72</v>
      </c>
      <c r="O1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4" s="9" t="str">
        <f ca="1">IF(OR(ISNUMBER(Table13[[#This Row],[Order_Date]])=FALSE,Table13[[#This Row],[Order_Date]]&lt;DATE(2000,1,1),Table13[[#This Row],[Order_Date]]&gt;TODAY()),"YES","NO")</f>
        <v>NO</v>
      </c>
      <c r="Q144" s="9">
        <f>IF(Table13[[#This Row],[Order_Status]] = "Cancelled",0,IF(Table13[[#This Row],[Order_Status]] = "Returned",Table13[[#This Row],[Net_Sales]] * -1,Table13[[#This Row],[Net_Sales]]))</f>
        <v>415.72</v>
      </c>
      <c r="R144" s="9" t="str">
        <f>IF(Table13[[#This Row],[Gross_Sales]]&gt;=500, "YES","NO")</f>
        <v>NO</v>
      </c>
    </row>
    <row r="145" spans="1:18" x14ac:dyDescent="0.3">
      <c r="A145">
        <v>100140</v>
      </c>
      <c r="B145" s="8">
        <v>45297.791666666657</v>
      </c>
      <c r="C145" t="s">
        <v>14</v>
      </c>
      <c r="D145" t="s">
        <v>54</v>
      </c>
      <c r="E145" t="s">
        <v>67</v>
      </c>
      <c r="F145" t="s">
        <v>72</v>
      </c>
      <c r="G145">
        <v>3</v>
      </c>
      <c r="H145">
        <v>63.31</v>
      </c>
      <c r="I145">
        <v>15</v>
      </c>
      <c r="J145" t="s">
        <v>76</v>
      </c>
      <c r="K145" t="s">
        <v>77</v>
      </c>
      <c r="L145">
        <v>189.93</v>
      </c>
      <c r="M145">
        <v>28.4895</v>
      </c>
      <c r="N145">
        <v>161.44049999999999</v>
      </c>
      <c r="O1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5" s="9" t="str">
        <f ca="1">IF(OR(ISNUMBER(Table13[[#This Row],[Order_Date]])=FALSE,Table13[[#This Row],[Order_Date]]&lt;DATE(2000,1,1),Table13[[#This Row],[Order_Date]]&gt;TODAY()),"YES","NO")</f>
        <v>NO</v>
      </c>
      <c r="Q145" s="9">
        <f>IF(Table13[[#This Row],[Order_Status]] = "Cancelled",0,IF(Table13[[#This Row],[Order_Status]] = "Returned",Table13[[#This Row],[Net_Sales]] * -1,Table13[[#This Row],[Net_Sales]]))</f>
        <v>161.44049999999999</v>
      </c>
      <c r="R145" s="9" t="str">
        <f>IF(Table13[[#This Row],[Gross_Sales]]&gt;=500, "YES","NO")</f>
        <v>NO</v>
      </c>
    </row>
    <row r="146" spans="1:18" x14ac:dyDescent="0.3">
      <c r="A146">
        <v>100141</v>
      </c>
      <c r="B146" s="8">
        <v>45297.833333333343</v>
      </c>
      <c r="C146" t="s">
        <v>15</v>
      </c>
      <c r="D146" t="s">
        <v>53</v>
      </c>
      <c r="E146" t="s">
        <v>67</v>
      </c>
      <c r="F146" t="s">
        <v>72</v>
      </c>
      <c r="G146">
        <v>3</v>
      </c>
      <c r="H146">
        <v>26.61</v>
      </c>
      <c r="I146">
        <v>0</v>
      </c>
      <c r="J146" t="s">
        <v>74</v>
      </c>
      <c r="K146" t="s">
        <v>77</v>
      </c>
      <c r="L146">
        <v>79.83</v>
      </c>
      <c r="M146">
        <v>0</v>
      </c>
      <c r="N146">
        <v>79.83</v>
      </c>
      <c r="O1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6" s="9" t="str">
        <f ca="1">IF(OR(ISNUMBER(Table13[[#This Row],[Order_Date]])=FALSE,Table13[[#This Row],[Order_Date]]&lt;DATE(2000,1,1),Table13[[#This Row],[Order_Date]]&gt;TODAY()),"YES","NO")</f>
        <v>NO</v>
      </c>
      <c r="Q146" s="9">
        <f>IF(Table13[[#This Row],[Order_Status]] = "Cancelled",0,IF(Table13[[#This Row],[Order_Status]] = "Returned",Table13[[#This Row],[Net_Sales]] * -1,Table13[[#This Row],[Net_Sales]]))</f>
        <v>79.83</v>
      </c>
      <c r="R146" s="9" t="str">
        <f>IF(Table13[[#This Row],[Gross_Sales]]&gt;=500, "YES","NO")</f>
        <v>NO</v>
      </c>
    </row>
    <row r="147" spans="1:18" x14ac:dyDescent="0.3">
      <c r="A147">
        <v>100142</v>
      </c>
      <c r="B147" s="8">
        <v>45297.875</v>
      </c>
      <c r="C147" t="s">
        <v>14</v>
      </c>
      <c r="D147" t="s">
        <v>30</v>
      </c>
      <c r="E147" t="s">
        <v>69</v>
      </c>
      <c r="F147" t="s">
        <v>71</v>
      </c>
      <c r="G147">
        <v>3</v>
      </c>
      <c r="H147">
        <v>13.85</v>
      </c>
      <c r="I147">
        <v>10</v>
      </c>
      <c r="J147" t="s">
        <v>75</v>
      </c>
      <c r="K147" t="s">
        <v>77</v>
      </c>
      <c r="L147">
        <v>41.55</v>
      </c>
      <c r="M147">
        <v>4.1550000000000002</v>
      </c>
      <c r="N147">
        <v>37.395000000000003</v>
      </c>
      <c r="O1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7" s="9" t="str">
        <f ca="1">IF(OR(ISNUMBER(Table13[[#This Row],[Order_Date]])=FALSE,Table13[[#This Row],[Order_Date]]&lt;DATE(2000,1,1),Table13[[#This Row],[Order_Date]]&gt;TODAY()),"YES","NO")</f>
        <v>NO</v>
      </c>
      <c r="Q147" s="9">
        <f>IF(Table13[[#This Row],[Order_Status]] = "Cancelled",0,IF(Table13[[#This Row],[Order_Status]] = "Returned",Table13[[#This Row],[Net_Sales]] * -1,Table13[[#This Row],[Net_Sales]]))</f>
        <v>37.395000000000003</v>
      </c>
      <c r="R147" s="9" t="str">
        <f>IF(Table13[[#This Row],[Gross_Sales]]&gt;=500, "YES","NO")</f>
        <v>NO</v>
      </c>
    </row>
    <row r="148" spans="1:18" x14ac:dyDescent="0.3">
      <c r="A148">
        <v>100143</v>
      </c>
      <c r="B148" s="8">
        <v>45297.916666666657</v>
      </c>
      <c r="C148" t="s">
        <v>15</v>
      </c>
      <c r="D148" t="s">
        <v>48</v>
      </c>
      <c r="E148" t="s">
        <v>69</v>
      </c>
      <c r="F148" t="s">
        <v>71</v>
      </c>
      <c r="G148">
        <v>4</v>
      </c>
      <c r="H148">
        <v>85.06</v>
      </c>
      <c r="I148">
        <v>5</v>
      </c>
      <c r="J148" t="s">
        <v>75</v>
      </c>
      <c r="K148" t="s">
        <v>77</v>
      </c>
      <c r="L148">
        <v>340.24</v>
      </c>
      <c r="M148">
        <v>17.012</v>
      </c>
      <c r="N148">
        <v>323.22800000000001</v>
      </c>
      <c r="O1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48" s="9" t="str">
        <f ca="1">IF(OR(ISNUMBER(Table13[[#This Row],[Order_Date]])=FALSE,Table13[[#This Row],[Order_Date]]&lt;DATE(2000,1,1),Table13[[#This Row],[Order_Date]]&gt;TODAY()),"YES","NO")</f>
        <v>NO</v>
      </c>
      <c r="Q148" s="9">
        <f>IF(Table13[[#This Row],[Order_Status]] = "Cancelled",0,IF(Table13[[#This Row],[Order_Status]] = "Returned",Table13[[#This Row],[Net_Sales]] * -1,Table13[[#This Row],[Net_Sales]]))</f>
        <v>323.22800000000001</v>
      </c>
      <c r="R148" s="9" t="str">
        <f>IF(Table13[[#This Row],[Gross_Sales]]&gt;=500, "YES","NO")</f>
        <v>NO</v>
      </c>
    </row>
    <row r="149" spans="1:18" x14ac:dyDescent="0.3">
      <c r="A149">
        <v>100144</v>
      </c>
      <c r="B149" s="8">
        <v>45297.958333333343</v>
      </c>
      <c r="C149" t="s">
        <v>15</v>
      </c>
      <c r="D149" t="s">
        <v>37</v>
      </c>
      <c r="E149" t="s">
        <v>69</v>
      </c>
      <c r="F149" t="s">
        <v>72</v>
      </c>
      <c r="G149">
        <v>5</v>
      </c>
      <c r="H149">
        <v>49.02</v>
      </c>
      <c r="I149">
        <v>5</v>
      </c>
      <c r="J149" t="s">
        <v>73</v>
      </c>
      <c r="K149" t="s">
        <v>79</v>
      </c>
      <c r="L149">
        <v>245.1</v>
      </c>
      <c r="M149">
        <v>12.255000000000001</v>
      </c>
      <c r="N149">
        <v>232.845</v>
      </c>
      <c r="O1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49" s="9" t="str">
        <f ca="1">IF(OR(ISNUMBER(Table13[[#This Row],[Order_Date]])=FALSE,Table13[[#This Row],[Order_Date]]&lt;DATE(2000,1,1),Table13[[#This Row],[Order_Date]]&gt;TODAY()),"YES","NO")</f>
        <v>NO</v>
      </c>
      <c r="Q149" s="9">
        <f>IF(Table13[[#This Row],[Order_Status]] = "Cancelled",0,IF(Table13[[#This Row],[Order_Status]] = "Returned",Table13[[#This Row],[Net_Sales]] * -1,Table13[[#This Row],[Net_Sales]]))</f>
        <v>0</v>
      </c>
      <c r="R149" s="9" t="str">
        <f>IF(Table13[[#This Row],[Gross_Sales]]&gt;=500, "YES","NO")</f>
        <v>NO</v>
      </c>
    </row>
    <row r="150" spans="1:18" x14ac:dyDescent="0.3">
      <c r="A150">
        <v>100145</v>
      </c>
      <c r="B150" s="8">
        <v>45298</v>
      </c>
      <c r="C150" t="s">
        <v>15</v>
      </c>
      <c r="D150" t="s">
        <v>48</v>
      </c>
      <c r="E150" t="s">
        <v>67</v>
      </c>
      <c r="F150" t="s">
        <v>72</v>
      </c>
      <c r="G150">
        <v>5</v>
      </c>
      <c r="H150">
        <v>99.51</v>
      </c>
      <c r="I150">
        <v>0</v>
      </c>
      <c r="J150" t="s">
        <v>75</v>
      </c>
      <c r="K150" t="s">
        <v>78</v>
      </c>
      <c r="L150">
        <v>497.55</v>
      </c>
      <c r="M150">
        <v>0</v>
      </c>
      <c r="N150">
        <v>497.55</v>
      </c>
      <c r="O1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50" s="9" t="str">
        <f ca="1">IF(OR(ISNUMBER(Table13[[#This Row],[Order_Date]])=FALSE,Table13[[#This Row],[Order_Date]]&lt;DATE(2000,1,1),Table13[[#This Row],[Order_Date]]&gt;TODAY()),"YES","NO")</f>
        <v>NO</v>
      </c>
      <c r="Q150" s="9">
        <f>IF(Table13[[#This Row],[Order_Status]] = "Cancelled",0,IF(Table13[[#This Row],[Order_Status]] = "Returned",Table13[[#This Row],[Net_Sales]] * -1,Table13[[#This Row],[Net_Sales]]))</f>
        <v>-497.55</v>
      </c>
      <c r="R150" s="9" t="str">
        <f>IF(Table13[[#This Row],[Gross_Sales]]&gt;=500, "YES","NO")</f>
        <v>NO</v>
      </c>
    </row>
    <row r="151" spans="1:18" x14ac:dyDescent="0.3">
      <c r="A151">
        <v>100146</v>
      </c>
      <c r="B151" s="8">
        <v>45298.041666666657</v>
      </c>
      <c r="C151" t="s">
        <v>14</v>
      </c>
      <c r="D151" t="s">
        <v>43</v>
      </c>
      <c r="E151" t="s">
        <v>67</v>
      </c>
      <c r="F151" t="s">
        <v>71</v>
      </c>
      <c r="G151">
        <v>2</v>
      </c>
      <c r="H151">
        <v>80.84</v>
      </c>
      <c r="I151">
        <v>0</v>
      </c>
      <c r="J151" t="s">
        <v>74</v>
      </c>
      <c r="K151" t="s">
        <v>77</v>
      </c>
      <c r="L151">
        <v>161.68</v>
      </c>
      <c r="M151">
        <v>0</v>
      </c>
      <c r="N151">
        <v>161.68</v>
      </c>
      <c r="O1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1" s="9" t="str">
        <f ca="1">IF(OR(ISNUMBER(Table13[[#This Row],[Order_Date]])=FALSE,Table13[[#This Row],[Order_Date]]&lt;DATE(2000,1,1),Table13[[#This Row],[Order_Date]]&gt;TODAY()),"YES","NO")</f>
        <v>NO</v>
      </c>
      <c r="Q151" s="9">
        <f>IF(Table13[[#This Row],[Order_Status]] = "Cancelled",0,IF(Table13[[#This Row],[Order_Status]] = "Returned",Table13[[#This Row],[Net_Sales]] * -1,Table13[[#This Row],[Net_Sales]]))</f>
        <v>161.68</v>
      </c>
      <c r="R151" s="9" t="str">
        <f>IF(Table13[[#This Row],[Gross_Sales]]&gt;=500, "YES","NO")</f>
        <v>NO</v>
      </c>
    </row>
    <row r="152" spans="1:18" x14ac:dyDescent="0.3">
      <c r="A152">
        <v>100147</v>
      </c>
      <c r="B152" s="8">
        <v>45298.083333333343</v>
      </c>
      <c r="C152" t="s">
        <v>14</v>
      </c>
      <c r="D152" t="s">
        <v>23</v>
      </c>
      <c r="E152" t="s">
        <v>69</v>
      </c>
      <c r="F152" t="s">
        <v>72</v>
      </c>
      <c r="G152">
        <v>5</v>
      </c>
      <c r="H152">
        <v>96.57</v>
      </c>
      <c r="I152">
        <v>10</v>
      </c>
      <c r="J152" t="s">
        <v>76</v>
      </c>
      <c r="K152" t="s">
        <v>77</v>
      </c>
      <c r="L152">
        <v>482.85</v>
      </c>
      <c r="M152">
        <v>48.284999999999997</v>
      </c>
      <c r="N152">
        <v>434.56499999999988</v>
      </c>
      <c r="O1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2" s="9" t="str">
        <f ca="1">IF(OR(ISNUMBER(Table13[[#This Row],[Order_Date]])=FALSE,Table13[[#This Row],[Order_Date]]&lt;DATE(2000,1,1),Table13[[#This Row],[Order_Date]]&gt;TODAY()),"YES","NO")</f>
        <v>NO</v>
      </c>
      <c r="Q152" s="9">
        <f>IF(Table13[[#This Row],[Order_Status]] = "Cancelled",0,IF(Table13[[#This Row],[Order_Status]] = "Returned",Table13[[#This Row],[Net_Sales]] * -1,Table13[[#This Row],[Net_Sales]]))</f>
        <v>434.56499999999988</v>
      </c>
      <c r="R152" s="9" t="str">
        <f>IF(Table13[[#This Row],[Gross_Sales]]&gt;=500, "YES","NO")</f>
        <v>NO</v>
      </c>
    </row>
    <row r="153" spans="1:18" x14ac:dyDescent="0.3">
      <c r="A153">
        <v>100148</v>
      </c>
      <c r="B153" s="8">
        <v>45298.125</v>
      </c>
      <c r="C153" t="s">
        <v>14</v>
      </c>
      <c r="D153" t="s">
        <v>37</v>
      </c>
      <c r="E153" t="s">
        <v>66</v>
      </c>
      <c r="F153" t="s">
        <v>72</v>
      </c>
      <c r="G153">
        <v>5</v>
      </c>
      <c r="H153">
        <v>36.270000000000003</v>
      </c>
      <c r="I153">
        <v>15</v>
      </c>
      <c r="J153" t="s">
        <v>75</v>
      </c>
      <c r="K153" t="s">
        <v>77</v>
      </c>
      <c r="L153">
        <v>181.35</v>
      </c>
      <c r="M153">
        <v>27.202500000000001</v>
      </c>
      <c r="N153">
        <v>154.14750000000001</v>
      </c>
      <c r="O1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3" s="9" t="str">
        <f ca="1">IF(OR(ISNUMBER(Table13[[#This Row],[Order_Date]])=FALSE,Table13[[#This Row],[Order_Date]]&lt;DATE(2000,1,1),Table13[[#This Row],[Order_Date]]&gt;TODAY()),"YES","NO")</f>
        <v>NO</v>
      </c>
      <c r="Q153" s="9">
        <f>IF(Table13[[#This Row],[Order_Status]] = "Cancelled",0,IF(Table13[[#This Row],[Order_Status]] = "Returned",Table13[[#This Row],[Net_Sales]] * -1,Table13[[#This Row],[Net_Sales]]))</f>
        <v>154.14750000000001</v>
      </c>
      <c r="R153" s="9" t="str">
        <f>IF(Table13[[#This Row],[Gross_Sales]]&gt;=500, "YES","NO")</f>
        <v>NO</v>
      </c>
    </row>
    <row r="154" spans="1:18" x14ac:dyDescent="0.3">
      <c r="A154">
        <v>100149</v>
      </c>
      <c r="B154" s="8">
        <v>45298.166666666657</v>
      </c>
      <c r="C154" t="s">
        <v>14</v>
      </c>
      <c r="D154" t="s">
        <v>34</v>
      </c>
      <c r="E154" t="s">
        <v>66</v>
      </c>
      <c r="F154" t="s">
        <v>72</v>
      </c>
      <c r="G154">
        <v>3</v>
      </c>
      <c r="H154">
        <v>84.62</v>
      </c>
      <c r="I154">
        <v>0</v>
      </c>
      <c r="J154" t="s">
        <v>73</v>
      </c>
      <c r="K154" t="s">
        <v>77</v>
      </c>
      <c r="L154">
        <v>253.86</v>
      </c>
      <c r="M154">
        <v>0</v>
      </c>
      <c r="N154">
        <v>253.86</v>
      </c>
      <c r="O1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4" s="9" t="str">
        <f ca="1">IF(OR(ISNUMBER(Table13[[#This Row],[Order_Date]])=FALSE,Table13[[#This Row],[Order_Date]]&lt;DATE(2000,1,1),Table13[[#This Row],[Order_Date]]&gt;TODAY()),"YES","NO")</f>
        <v>NO</v>
      </c>
      <c r="Q154" s="9">
        <f>IF(Table13[[#This Row],[Order_Status]] = "Cancelled",0,IF(Table13[[#This Row],[Order_Status]] = "Returned",Table13[[#This Row],[Net_Sales]] * -1,Table13[[#This Row],[Net_Sales]]))</f>
        <v>253.86</v>
      </c>
      <c r="R154" s="9" t="str">
        <f>IF(Table13[[#This Row],[Gross_Sales]]&gt;=500, "YES","NO")</f>
        <v>NO</v>
      </c>
    </row>
    <row r="155" spans="1:18" x14ac:dyDescent="0.3">
      <c r="A155">
        <v>100150</v>
      </c>
      <c r="B155" s="8">
        <v>45298.208333333343</v>
      </c>
      <c r="C155" t="s">
        <v>15</v>
      </c>
      <c r="D155" t="s">
        <v>51</v>
      </c>
      <c r="E155" t="s">
        <v>70</v>
      </c>
      <c r="F155" t="s">
        <v>71</v>
      </c>
      <c r="G155">
        <v>3</v>
      </c>
      <c r="H155">
        <v>35.369999999999997</v>
      </c>
      <c r="I155">
        <v>15</v>
      </c>
      <c r="J155" t="s">
        <v>74</v>
      </c>
      <c r="K155" t="s">
        <v>77</v>
      </c>
      <c r="L155">
        <v>106.11</v>
      </c>
      <c r="M155">
        <v>15.916499999999999</v>
      </c>
      <c r="N155">
        <v>90.193499999999986</v>
      </c>
      <c r="O1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5" s="9" t="str">
        <f ca="1">IF(OR(ISNUMBER(Table13[[#This Row],[Order_Date]])=FALSE,Table13[[#This Row],[Order_Date]]&lt;DATE(2000,1,1),Table13[[#This Row],[Order_Date]]&gt;TODAY()),"YES","NO")</f>
        <v>NO</v>
      </c>
      <c r="Q155" s="9">
        <f>IF(Table13[[#This Row],[Order_Status]] = "Cancelled",0,IF(Table13[[#This Row],[Order_Status]] = "Returned",Table13[[#This Row],[Net_Sales]] * -1,Table13[[#This Row],[Net_Sales]]))</f>
        <v>90.193499999999986</v>
      </c>
      <c r="R155" s="9" t="str">
        <f>IF(Table13[[#This Row],[Gross_Sales]]&gt;=500, "YES","NO")</f>
        <v>NO</v>
      </c>
    </row>
    <row r="156" spans="1:18" x14ac:dyDescent="0.3">
      <c r="A156">
        <v>100151</v>
      </c>
      <c r="B156" s="8">
        <v>45298.25</v>
      </c>
      <c r="C156" t="s">
        <v>14</v>
      </c>
      <c r="D156" t="s">
        <v>40</v>
      </c>
      <c r="E156" t="s">
        <v>68</v>
      </c>
      <c r="F156" t="s">
        <v>71</v>
      </c>
      <c r="G156">
        <v>2</v>
      </c>
      <c r="H156">
        <v>112.99</v>
      </c>
      <c r="I156">
        <v>10</v>
      </c>
      <c r="J156" t="s">
        <v>73</v>
      </c>
      <c r="K156" t="s">
        <v>77</v>
      </c>
      <c r="L156">
        <v>225.98</v>
      </c>
      <c r="M156">
        <v>22.597999999999999</v>
      </c>
      <c r="N156">
        <v>203.38200000000001</v>
      </c>
      <c r="O1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6" s="9" t="str">
        <f ca="1">IF(OR(ISNUMBER(Table13[[#This Row],[Order_Date]])=FALSE,Table13[[#This Row],[Order_Date]]&lt;DATE(2000,1,1),Table13[[#This Row],[Order_Date]]&gt;TODAY()),"YES","NO")</f>
        <v>NO</v>
      </c>
      <c r="Q156" s="9">
        <f>IF(Table13[[#This Row],[Order_Status]] = "Cancelled",0,IF(Table13[[#This Row],[Order_Status]] = "Returned",Table13[[#This Row],[Net_Sales]] * -1,Table13[[#This Row],[Net_Sales]]))</f>
        <v>203.38200000000001</v>
      </c>
      <c r="R156" s="9" t="str">
        <f>IF(Table13[[#This Row],[Gross_Sales]]&gt;=500, "YES","NO")</f>
        <v>NO</v>
      </c>
    </row>
    <row r="157" spans="1:18" x14ac:dyDescent="0.3">
      <c r="A157">
        <v>100152</v>
      </c>
      <c r="B157" s="8">
        <v>45298.291666666657</v>
      </c>
      <c r="C157" t="s">
        <v>14</v>
      </c>
      <c r="D157" t="s">
        <v>28</v>
      </c>
      <c r="E157" t="s">
        <v>66</v>
      </c>
      <c r="F157" t="s">
        <v>71</v>
      </c>
      <c r="G157">
        <v>1</v>
      </c>
      <c r="H157">
        <v>78.180000000000007</v>
      </c>
      <c r="I157">
        <v>15</v>
      </c>
      <c r="J157" t="s">
        <v>75</v>
      </c>
      <c r="K157" t="s">
        <v>79</v>
      </c>
      <c r="L157">
        <v>78.180000000000007</v>
      </c>
      <c r="M157">
        <v>11.727</v>
      </c>
      <c r="N157">
        <v>66.453000000000003</v>
      </c>
      <c r="O1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57" s="9" t="str">
        <f ca="1">IF(OR(ISNUMBER(Table13[[#This Row],[Order_Date]])=FALSE,Table13[[#This Row],[Order_Date]]&lt;DATE(2000,1,1),Table13[[#This Row],[Order_Date]]&gt;TODAY()),"YES","NO")</f>
        <v>NO</v>
      </c>
      <c r="Q157" s="9">
        <f>IF(Table13[[#This Row],[Order_Status]] = "Cancelled",0,IF(Table13[[#This Row],[Order_Status]] = "Returned",Table13[[#This Row],[Net_Sales]] * -1,Table13[[#This Row],[Net_Sales]]))</f>
        <v>0</v>
      </c>
      <c r="R157" s="9" t="str">
        <f>IF(Table13[[#This Row],[Gross_Sales]]&gt;=500, "YES","NO")</f>
        <v>NO</v>
      </c>
    </row>
    <row r="158" spans="1:18" x14ac:dyDescent="0.3">
      <c r="A158">
        <v>100153</v>
      </c>
      <c r="B158" s="8">
        <v>45298.333333333343</v>
      </c>
      <c r="C158" t="s">
        <v>14</v>
      </c>
      <c r="D158" t="s">
        <v>27</v>
      </c>
      <c r="E158" t="s">
        <v>67</v>
      </c>
      <c r="F158" t="s">
        <v>72</v>
      </c>
      <c r="G158">
        <v>2</v>
      </c>
      <c r="H158">
        <v>42.32</v>
      </c>
      <c r="I158">
        <v>5</v>
      </c>
      <c r="J158" t="s">
        <v>75</v>
      </c>
      <c r="K158" t="s">
        <v>77</v>
      </c>
      <c r="L158">
        <v>84.64</v>
      </c>
      <c r="M158">
        <v>4.2320000000000002</v>
      </c>
      <c r="N158">
        <v>80.408000000000001</v>
      </c>
      <c r="O1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8" s="9" t="str">
        <f ca="1">IF(OR(ISNUMBER(Table13[[#This Row],[Order_Date]])=FALSE,Table13[[#This Row],[Order_Date]]&lt;DATE(2000,1,1),Table13[[#This Row],[Order_Date]]&gt;TODAY()),"YES","NO")</f>
        <v>NO</v>
      </c>
      <c r="Q158" s="9">
        <f>IF(Table13[[#This Row],[Order_Status]] = "Cancelled",0,IF(Table13[[#This Row],[Order_Status]] = "Returned",Table13[[#This Row],[Net_Sales]] * -1,Table13[[#This Row],[Net_Sales]]))</f>
        <v>80.408000000000001</v>
      </c>
      <c r="R158" s="9" t="str">
        <f>IF(Table13[[#This Row],[Gross_Sales]]&gt;=500, "YES","NO")</f>
        <v>NO</v>
      </c>
    </row>
    <row r="159" spans="1:18" x14ac:dyDescent="0.3">
      <c r="A159">
        <v>100154</v>
      </c>
      <c r="B159" s="8">
        <v>45298.375</v>
      </c>
      <c r="C159" t="s">
        <v>14</v>
      </c>
      <c r="D159" t="s">
        <v>21</v>
      </c>
      <c r="E159" t="s">
        <v>66</v>
      </c>
      <c r="F159" t="s">
        <v>72</v>
      </c>
      <c r="G159">
        <v>2</v>
      </c>
      <c r="H159">
        <v>35.99</v>
      </c>
      <c r="I159">
        <v>15</v>
      </c>
      <c r="J159" t="s">
        <v>73</v>
      </c>
      <c r="K159" t="s">
        <v>77</v>
      </c>
      <c r="L159">
        <v>71.98</v>
      </c>
      <c r="M159">
        <v>10.797000000000001</v>
      </c>
      <c r="N159">
        <v>61.183000000000007</v>
      </c>
      <c r="O1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59" s="9" t="str">
        <f ca="1">IF(OR(ISNUMBER(Table13[[#This Row],[Order_Date]])=FALSE,Table13[[#This Row],[Order_Date]]&lt;DATE(2000,1,1),Table13[[#This Row],[Order_Date]]&gt;TODAY()),"YES","NO")</f>
        <v>NO</v>
      </c>
      <c r="Q159" s="9">
        <f>IF(Table13[[#This Row],[Order_Status]] = "Cancelled",0,IF(Table13[[#This Row],[Order_Status]] = "Returned",Table13[[#This Row],[Net_Sales]] * -1,Table13[[#This Row],[Net_Sales]]))</f>
        <v>61.183000000000007</v>
      </c>
      <c r="R159" s="9" t="str">
        <f>IF(Table13[[#This Row],[Gross_Sales]]&gt;=500, "YES","NO")</f>
        <v>NO</v>
      </c>
    </row>
    <row r="160" spans="1:18" x14ac:dyDescent="0.3">
      <c r="A160">
        <v>100155</v>
      </c>
      <c r="B160" s="8">
        <v>45298.416666666657</v>
      </c>
      <c r="C160" t="s">
        <v>14</v>
      </c>
      <c r="D160" t="s">
        <v>61</v>
      </c>
      <c r="E160" t="s">
        <v>70</v>
      </c>
      <c r="F160" t="s">
        <v>71</v>
      </c>
      <c r="G160">
        <v>4</v>
      </c>
      <c r="H160">
        <v>26.96</v>
      </c>
      <c r="I160">
        <v>10</v>
      </c>
      <c r="J160" t="s">
        <v>74</v>
      </c>
      <c r="K160" t="s">
        <v>77</v>
      </c>
      <c r="L160">
        <v>107.84</v>
      </c>
      <c r="M160">
        <v>10.784000000000001</v>
      </c>
      <c r="N160">
        <v>97.055999999999997</v>
      </c>
      <c r="O1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0" s="9" t="str">
        <f ca="1">IF(OR(ISNUMBER(Table13[[#This Row],[Order_Date]])=FALSE,Table13[[#This Row],[Order_Date]]&lt;DATE(2000,1,1),Table13[[#This Row],[Order_Date]]&gt;TODAY()),"YES","NO")</f>
        <v>NO</v>
      </c>
      <c r="Q160" s="9">
        <f>IF(Table13[[#This Row],[Order_Status]] = "Cancelled",0,IF(Table13[[#This Row],[Order_Status]] = "Returned",Table13[[#This Row],[Net_Sales]] * -1,Table13[[#This Row],[Net_Sales]]))</f>
        <v>97.055999999999997</v>
      </c>
      <c r="R160" s="9" t="str">
        <f>IF(Table13[[#This Row],[Gross_Sales]]&gt;=500, "YES","NO")</f>
        <v>NO</v>
      </c>
    </row>
    <row r="161" spans="1:18" x14ac:dyDescent="0.3">
      <c r="A161">
        <v>100156</v>
      </c>
      <c r="B161" s="8">
        <v>45298.458333333343</v>
      </c>
      <c r="C161" t="s">
        <v>15</v>
      </c>
      <c r="D161" t="s">
        <v>42</v>
      </c>
      <c r="E161" t="s">
        <v>70</v>
      </c>
      <c r="F161" t="s">
        <v>71</v>
      </c>
      <c r="G161">
        <v>4</v>
      </c>
      <c r="H161">
        <v>84.88</v>
      </c>
      <c r="I161">
        <v>10</v>
      </c>
      <c r="J161" t="s">
        <v>75</v>
      </c>
      <c r="K161" t="s">
        <v>77</v>
      </c>
      <c r="L161">
        <v>339.52</v>
      </c>
      <c r="M161">
        <v>33.951999999999998</v>
      </c>
      <c r="N161">
        <v>305.56799999999998</v>
      </c>
      <c r="O1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1" s="9" t="str">
        <f ca="1">IF(OR(ISNUMBER(Table13[[#This Row],[Order_Date]])=FALSE,Table13[[#This Row],[Order_Date]]&lt;DATE(2000,1,1),Table13[[#This Row],[Order_Date]]&gt;TODAY()),"YES","NO")</f>
        <v>NO</v>
      </c>
      <c r="Q161" s="9">
        <f>IF(Table13[[#This Row],[Order_Status]] = "Cancelled",0,IF(Table13[[#This Row],[Order_Status]] = "Returned",Table13[[#This Row],[Net_Sales]] * -1,Table13[[#This Row],[Net_Sales]]))</f>
        <v>305.56799999999998</v>
      </c>
      <c r="R161" s="9" t="str">
        <f>IF(Table13[[#This Row],[Gross_Sales]]&gt;=500, "YES","NO")</f>
        <v>NO</v>
      </c>
    </row>
    <row r="162" spans="1:18" x14ac:dyDescent="0.3">
      <c r="A162">
        <v>100157</v>
      </c>
      <c r="B162" s="8">
        <v>45298.5</v>
      </c>
      <c r="C162" t="s">
        <v>14</v>
      </c>
      <c r="D162" t="s">
        <v>40</v>
      </c>
      <c r="E162" t="s">
        <v>68</v>
      </c>
      <c r="F162" t="s">
        <v>71</v>
      </c>
      <c r="G162">
        <v>2</v>
      </c>
      <c r="H162">
        <v>30.15</v>
      </c>
      <c r="I162">
        <v>10</v>
      </c>
      <c r="J162" t="s">
        <v>76</v>
      </c>
      <c r="K162" t="s">
        <v>77</v>
      </c>
      <c r="L162">
        <v>60.3</v>
      </c>
      <c r="M162">
        <v>6.03</v>
      </c>
      <c r="N162">
        <v>54.27</v>
      </c>
      <c r="O1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2" s="9" t="str">
        <f ca="1">IF(OR(ISNUMBER(Table13[[#This Row],[Order_Date]])=FALSE,Table13[[#This Row],[Order_Date]]&lt;DATE(2000,1,1),Table13[[#This Row],[Order_Date]]&gt;TODAY()),"YES","NO")</f>
        <v>NO</v>
      </c>
      <c r="Q162" s="9">
        <f>IF(Table13[[#This Row],[Order_Status]] = "Cancelled",0,IF(Table13[[#This Row],[Order_Status]] = "Returned",Table13[[#This Row],[Net_Sales]] * -1,Table13[[#This Row],[Net_Sales]]))</f>
        <v>54.27</v>
      </c>
      <c r="R162" s="9" t="str">
        <f>IF(Table13[[#This Row],[Gross_Sales]]&gt;=500, "YES","NO")</f>
        <v>NO</v>
      </c>
    </row>
    <row r="163" spans="1:18" x14ac:dyDescent="0.3">
      <c r="A163">
        <v>100158</v>
      </c>
      <c r="B163" s="8">
        <v>45298.541666666657</v>
      </c>
      <c r="C163" t="s">
        <v>15</v>
      </c>
      <c r="D163" t="s">
        <v>26</v>
      </c>
      <c r="E163" t="s">
        <v>66</v>
      </c>
      <c r="F163" t="s">
        <v>72</v>
      </c>
      <c r="G163">
        <v>2</v>
      </c>
      <c r="H163">
        <v>73.459999999999994</v>
      </c>
      <c r="I163">
        <v>15</v>
      </c>
      <c r="J163" t="s">
        <v>75</v>
      </c>
      <c r="K163" t="s">
        <v>77</v>
      </c>
      <c r="L163">
        <v>146.91999999999999</v>
      </c>
      <c r="M163">
        <v>22.038</v>
      </c>
      <c r="N163">
        <v>124.88200000000001</v>
      </c>
      <c r="O1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3" s="9" t="str">
        <f ca="1">IF(OR(ISNUMBER(Table13[[#This Row],[Order_Date]])=FALSE,Table13[[#This Row],[Order_Date]]&lt;DATE(2000,1,1),Table13[[#This Row],[Order_Date]]&gt;TODAY()),"YES","NO")</f>
        <v>NO</v>
      </c>
      <c r="Q163" s="9">
        <f>IF(Table13[[#This Row],[Order_Status]] = "Cancelled",0,IF(Table13[[#This Row],[Order_Status]] = "Returned",Table13[[#This Row],[Net_Sales]] * -1,Table13[[#This Row],[Net_Sales]]))</f>
        <v>124.88200000000001</v>
      </c>
      <c r="R163" s="9" t="str">
        <f>IF(Table13[[#This Row],[Gross_Sales]]&gt;=500, "YES","NO")</f>
        <v>NO</v>
      </c>
    </row>
    <row r="164" spans="1:18" x14ac:dyDescent="0.3">
      <c r="A164">
        <v>100159</v>
      </c>
      <c r="B164" s="8">
        <v>45298.583333333343</v>
      </c>
      <c r="C164" t="s">
        <v>14</v>
      </c>
      <c r="D164" t="s">
        <v>36</v>
      </c>
      <c r="E164" t="s">
        <v>67</v>
      </c>
      <c r="F164" t="s">
        <v>71</v>
      </c>
      <c r="G164">
        <v>2</v>
      </c>
      <c r="H164">
        <v>35.43</v>
      </c>
      <c r="I164">
        <v>5</v>
      </c>
      <c r="J164" t="s">
        <v>74</v>
      </c>
      <c r="K164" t="s">
        <v>77</v>
      </c>
      <c r="L164">
        <v>70.86</v>
      </c>
      <c r="M164">
        <v>3.5430000000000001</v>
      </c>
      <c r="N164">
        <v>67.316999999999993</v>
      </c>
      <c r="O1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4" s="9" t="str">
        <f ca="1">IF(OR(ISNUMBER(Table13[[#This Row],[Order_Date]])=FALSE,Table13[[#This Row],[Order_Date]]&lt;DATE(2000,1,1),Table13[[#This Row],[Order_Date]]&gt;TODAY()),"YES","NO")</f>
        <v>NO</v>
      </c>
      <c r="Q164" s="9">
        <f>IF(Table13[[#This Row],[Order_Status]] = "Cancelled",0,IF(Table13[[#This Row],[Order_Status]] = "Returned",Table13[[#This Row],[Net_Sales]] * -1,Table13[[#This Row],[Net_Sales]]))</f>
        <v>67.316999999999993</v>
      </c>
      <c r="R164" s="9" t="str">
        <f>IF(Table13[[#This Row],[Gross_Sales]]&gt;=500, "YES","NO")</f>
        <v>NO</v>
      </c>
    </row>
    <row r="165" spans="1:18" x14ac:dyDescent="0.3">
      <c r="A165">
        <v>100160</v>
      </c>
      <c r="B165" s="8">
        <v>45298.625</v>
      </c>
      <c r="C165" t="s">
        <v>15</v>
      </c>
      <c r="D165" t="s">
        <v>28</v>
      </c>
      <c r="E165" t="s">
        <v>67</v>
      </c>
      <c r="F165" t="s">
        <v>71</v>
      </c>
      <c r="G165">
        <v>5</v>
      </c>
      <c r="H165">
        <v>81.13</v>
      </c>
      <c r="I165">
        <v>0</v>
      </c>
      <c r="J165" t="s">
        <v>75</v>
      </c>
      <c r="K165" t="s">
        <v>77</v>
      </c>
      <c r="L165">
        <v>405.65</v>
      </c>
      <c r="M165">
        <v>0</v>
      </c>
      <c r="N165">
        <v>405.65</v>
      </c>
      <c r="O1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5" s="9" t="str">
        <f ca="1">IF(OR(ISNUMBER(Table13[[#This Row],[Order_Date]])=FALSE,Table13[[#This Row],[Order_Date]]&lt;DATE(2000,1,1),Table13[[#This Row],[Order_Date]]&gt;TODAY()),"YES","NO")</f>
        <v>NO</v>
      </c>
      <c r="Q165" s="9">
        <f>IF(Table13[[#This Row],[Order_Status]] = "Cancelled",0,IF(Table13[[#This Row],[Order_Status]] = "Returned",Table13[[#This Row],[Net_Sales]] * -1,Table13[[#This Row],[Net_Sales]]))</f>
        <v>405.65</v>
      </c>
      <c r="R165" s="9" t="str">
        <f>IF(Table13[[#This Row],[Gross_Sales]]&gt;=500, "YES","NO")</f>
        <v>NO</v>
      </c>
    </row>
    <row r="166" spans="1:18" x14ac:dyDescent="0.3">
      <c r="A166">
        <v>100161</v>
      </c>
      <c r="B166" s="8">
        <v>45298.666666666657</v>
      </c>
      <c r="C166" t="s">
        <v>14</v>
      </c>
      <c r="D166" t="s">
        <v>45</v>
      </c>
      <c r="E166" t="s">
        <v>69</v>
      </c>
      <c r="F166" t="s">
        <v>72</v>
      </c>
      <c r="G166">
        <v>4</v>
      </c>
      <c r="H166">
        <v>98.72</v>
      </c>
      <c r="I166">
        <v>5</v>
      </c>
      <c r="J166" t="s">
        <v>73</v>
      </c>
      <c r="K166" t="s">
        <v>77</v>
      </c>
      <c r="L166">
        <v>394.88</v>
      </c>
      <c r="M166">
        <v>19.744</v>
      </c>
      <c r="N166">
        <v>375.13600000000002</v>
      </c>
      <c r="O1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6" s="9" t="str">
        <f ca="1">IF(OR(ISNUMBER(Table13[[#This Row],[Order_Date]])=FALSE,Table13[[#This Row],[Order_Date]]&lt;DATE(2000,1,1),Table13[[#This Row],[Order_Date]]&gt;TODAY()),"YES","NO")</f>
        <v>NO</v>
      </c>
      <c r="Q166" s="9">
        <f>IF(Table13[[#This Row],[Order_Status]] = "Cancelled",0,IF(Table13[[#This Row],[Order_Status]] = "Returned",Table13[[#This Row],[Net_Sales]] * -1,Table13[[#This Row],[Net_Sales]]))</f>
        <v>375.13600000000002</v>
      </c>
      <c r="R166" s="9" t="str">
        <f>IF(Table13[[#This Row],[Gross_Sales]]&gt;=500, "YES","NO")</f>
        <v>NO</v>
      </c>
    </row>
    <row r="167" spans="1:18" x14ac:dyDescent="0.3">
      <c r="A167">
        <v>100162</v>
      </c>
      <c r="B167" s="8">
        <v>45298.708333333343</v>
      </c>
      <c r="C167" t="s">
        <v>14</v>
      </c>
      <c r="D167" t="s">
        <v>57</v>
      </c>
      <c r="E167" t="s">
        <v>67</v>
      </c>
      <c r="F167" t="s">
        <v>72</v>
      </c>
      <c r="G167">
        <v>2</v>
      </c>
      <c r="H167">
        <v>94.47</v>
      </c>
      <c r="I167">
        <v>15</v>
      </c>
      <c r="J167" t="s">
        <v>75</v>
      </c>
      <c r="K167" t="s">
        <v>77</v>
      </c>
      <c r="L167">
        <v>188.94</v>
      </c>
      <c r="M167">
        <v>28.341000000000001</v>
      </c>
      <c r="N167">
        <v>160.59899999999999</v>
      </c>
      <c r="O1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7" s="9" t="str">
        <f ca="1">IF(OR(ISNUMBER(Table13[[#This Row],[Order_Date]])=FALSE,Table13[[#This Row],[Order_Date]]&lt;DATE(2000,1,1),Table13[[#This Row],[Order_Date]]&gt;TODAY()),"YES","NO")</f>
        <v>NO</v>
      </c>
      <c r="Q167" s="9">
        <f>IF(Table13[[#This Row],[Order_Status]] = "Cancelled",0,IF(Table13[[#This Row],[Order_Status]] = "Returned",Table13[[#This Row],[Net_Sales]] * -1,Table13[[#This Row],[Net_Sales]]))</f>
        <v>160.59899999999999</v>
      </c>
      <c r="R167" s="9" t="str">
        <f>IF(Table13[[#This Row],[Gross_Sales]]&gt;=500, "YES","NO")</f>
        <v>NO</v>
      </c>
    </row>
    <row r="168" spans="1:18" x14ac:dyDescent="0.3">
      <c r="A168">
        <v>100163</v>
      </c>
      <c r="B168" s="8">
        <v>45298.75</v>
      </c>
      <c r="C168" t="s">
        <v>15</v>
      </c>
      <c r="D168" t="s">
        <v>41</v>
      </c>
      <c r="E168" t="s">
        <v>68</v>
      </c>
      <c r="F168" t="s">
        <v>72</v>
      </c>
      <c r="G168">
        <v>3</v>
      </c>
      <c r="H168">
        <v>92.5</v>
      </c>
      <c r="I168">
        <v>15</v>
      </c>
      <c r="J168" t="s">
        <v>75</v>
      </c>
      <c r="K168" t="s">
        <v>77</v>
      </c>
      <c r="L168">
        <v>277.5</v>
      </c>
      <c r="M168">
        <v>41.625</v>
      </c>
      <c r="N168">
        <v>235.875</v>
      </c>
      <c r="O1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8" s="9" t="str">
        <f ca="1">IF(OR(ISNUMBER(Table13[[#This Row],[Order_Date]])=FALSE,Table13[[#This Row],[Order_Date]]&lt;DATE(2000,1,1),Table13[[#This Row],[Order_Date]]&gt;TODAY()),"YES","NO")</f>
        <v>NO</v>
      </c>
      <c r="Q168" s="9">
        <f>IF(Table13[[#This Row],[Order_Status]] = "Cancelled",0,IF(Table13[[#This Row],[Order_Status]] = "Returned",Table13[[#This Row],[Net_Sales]] * -1,Table13[[#This Row],[Net_Sales]]))</f>
        <v>235.875</v>
      </c>
      <c r="R168" s="9" t="str">
        <f>IF(Table13[[#This Row],[Gross_Sales]]&gt;=500, "YES","NO")</f>
        <v>NO</v>
      </c>
    </row>
    <row r="169" spans="1:18" x14ac:dyDescent="0.3">
      <c r="A169">
        <v>100164</v>
      </c>
      <c r="B169" s="8">
        <v>45298.791666666657</v>
      </c>
      <c r="C169" t="s">
        <v>15</v>
      </c>
      <c r="D169" t="s">
        <v>24</v>
      </c>
      <c r="E169" t="s">
        <v>68</v>
      </c>
      <c r="F169" t="s">
        <v>71</v>
      </c>
      <c r="G169">
        <v>3</v>
      </c>
      <c r="H169">
        <v>26.59</v>
      </c>
      <c r="I169">
        <v>0</v>
      </c>
      <c r="J169" t="s">
        <v>74</v>
      </c>
      <c r="K169" t="s">
        <v>77</v>
      </c>
      <c r="L169">
        <v>79.77</v>
      </c>
      <c r="M169">
        <v>0</v>
      </c>
      <c r="N169">
        <v>79.77</v>
      </c>
      <c r="O1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69" s="9" t="str">
        <f ca="1">IF(OR(ISNUMBER(Table13[[#This Row],[Order_Date]])=FALSE,Table13[[#This Row],[Order_Date]]&lt;DATE(2000,1,1),Table13[[#This Row],[Order_Date]]&gt;TODAY()),"YES","NO")</f>
        <v>NO</v>
      </c>
      <c r="Q169" s="9">
        <f>IF(Table13[[#This Row],[Order_Status]] = "Cancelled",0,IF(Table13[[#This Row],[Order_Status]] = "Returned",Table13[[#This Row],[Net_Sales]] * -1,Table13[[#This Row],[Net_Sales]]))</f>
        <v>79.77</v>
      </c>
      <c r="R169" s="9" t="str">
        <f>IF(Table13[[#This Row],[Gross_Sales]]&gt;=500, "YES","NO")</f>
        <v>NO</v>
      </c>
    </row>
    <row r="170" spans="1:18" x14ac:dyDescent="0.3">
      <c r="A170">
        <v>100165</v>
      </c>
      <c r="B170" s="8">
        <v>45298.833333333343</v>
      </c>
      <c r="C170" t="s">
        <v>15</v>
      </c>
      <c r="D170" t="s">
        <v>44</v>
      </c>
      <c r="E170" t="s">
        <v>67</v>
      </c>
      <c r="F170" t="s">
        <v>72</v>
      </c>
      <c r="G170">
        <v>5</v>
      </c>
      <c r="H170">
        <v>15.16</v>
      </c>
      <c r="I170">
        <v>15</v>
      </c>
      <c r="J170" t="s">
        <v>73</v>
      </c>
      <c r="K170" t="s">
        <v>77</v>
      </c>
      <c r="L170">
        <v>75.8</v>
      </c>
      <c r="M170">
        <v>11.37</v>
      </c>
      <c r="N170">
        <v>64.429999999999993</v>
      </c>
      <c r="O1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0" s="9" t="str">
        <f ca="1">IF(OR(ISNUMBER(Table13[[#This Row],[Order_Date]])=FALSE,Table13[[#This Row],[Order_Date]]&lt;DATE(2000,1,1),Table13[[#This Row],[Order_Date]]&gt;TODAY()),"YES","NO")</f>
        <v>NO</v>
      </c>
      <c r="Q170" s="9">
        <f>IF(Table13[[#This Row],[Order_Status]] = "Cancelled",0,IF(Table13[[#This Row],[Order_Status]] = "Returned",Table13[[#This Row],[Net_Sales]] * -1,Table13[[#This Row],[Net_Sales]]))</f>
        <v>64.429999999999993</v>
      </c>
      <c r="R170" s="9" t="str">
        <f>IF(Table13[[#This Row],[Gross_Sales]]&gt;=500, "YES","NO")</f>
        <v>NO</v>
      </c>
    </row>
    <row r="171" spans="1:18" x14ac:dyDescent="0.3">
      <c r="A171">
        <v>100166</v>
      </c>
      <c r="B171" s="8">
        <v>45298.875</v>
      </c>
      <c r="C171" t="s">
        <v>14</v>
      </c>
      <c r="D171" t="s">
        <v>38</v>
      </c>
      <c r="E171" t="s">
        <v>67</v>
      </c>
      <c r="F171" t="s">
        <v>72</v>
      </c>
      <c r="G171">
        <v>5</v>
      </c>
      <c r="H171">
        <v>85.38</v>
      </c>
      <c r="I171">
        <v>10</v>
      </c>
      <c r="J171" t="s">
        <v>74</v>
      </c>
      <c r="K171" t="s">
        <v>77</v>
      </c>
      <c r="L171">
        <v>426.9</v>
      </c>
      <c r="M171">
        <v>42.69</v>
      </c>
      <c r="N171">
        <v>384.21</v>
      </c>
      <c r="O1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1" s="9" t="str">
        <f ca="1">IF(OR(ISNUMBER(Table13[[#This Row],[Order_Date]])=FALSE,Table13[[#This Row],[Order_Date]]&lt;DATE(2000,1,1),Table13[[#This Row],[Order_Date]]&gt;TODAY()),"YES","NO")</f>
        <v>NO</v>
      </c>
      <c r="Q171" s="9">
        <f>IF(Table13[[#This Row],[Order_Status]] = "Cancelled",0,IF(Table13[[#This Row],[Order_Status]] = "Returned",Table13[[#This Row],[Net_Sales]] * -1,Table13[[#This Row],[Net_Sales]]))</f>
        <v>384.21</v>
      </c>
      <c r="R171" s="9" t="str">
        <f>IF(Table13[[#This Row],[Gross_Sales]]&gt;=500, "YES","NO")</f>
        <v>NO</v>
      </c>
    </row>
    <row r="172" spans="1:18" x14ac:dyDescent="0.3">
      <c r="A172">
        <v>100167</v>
      </c>
      <c r="B172" s="8">
        <v>45298.916666666657</v>
      </c>
      <c r="C172" t="s">
        <v>15</v>
      </c>
      <c r="D172" t="s">
        <v>52</v>
      </c>
      <c r="E172" t="s">
        <v>69</v>
      </c>
      <c r="F172" t="s">
        <v>71</v>
      </c>
      <c r="G172">
        <v>1</v>
      </c>
      <c r="H172">
        <v>47.36</v>
      </c>
      <c r="I172">
        <v>10</v>
      </c>
      <c r="J172" t="s">
        <v>75</v>
      </c>
      <c r="K172" t="s">
        <v>77</v>
      </c>
      <c r="L172">
        <v>47.36</v>
      </c>
      <c r="M172">
        <v>4.7359999999999998</v>
      </c>
      <c r="N172">
        <v>42.624000000000002</v>
      </c>
      <c r="O1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2" s="9" t="str">
        <f ca="1">IF(OR(ISNUMBER(Table13[[#This Row],[Order_Date]])=FALSE,Table13[[#This Row],[Order_Date]]&lt;DATE(2000,1,1),Table13[[#This Row],[Order_Date]]&gt;TODAY()),"YES","NO")</f>
        <v>NO</v>
      </c>
      <c r="Q172" s="9">
        <f>IF(Table13[[#This Row],[Order_Status]] = "Cancelled",0,IF(Table13[[#This Row],[Order_Status]] = "Returned",Table13[[#This Row],[Net_Sales]] * -1,Table13[[#This Row],[Net_Sales]]))</f>
        <v>42.624000000000002</v>
      </c>
      <c r="R172" s="9" t="str">
        <f>IF(Table13[[#This Row],[Gross_Sales]]&gt;=500, "YES","NO")</f>
        <v>NO</v>
      </c>
    </row>
    <row r="173" spans="1:18" x14ac:dyDescent="0.3">
      <c r="A173">
        <v>100168</v>
      </c>
      <c r="B173" s="8">
        <v>45298.958333333343</v>
      </c>
      <c r="C173" t="s">
        <v>14</v>
      </c>
      <c r="D173" t="s">
        <v>41</v>
      </c>
      <c r="E173" t="s">
        <v>67</v>
      </c>
      <c r="F173" t="s">
        <v>72</v>
      </c>
      <c r="G173">
        <v>1</v>
      </c>
      <c r="H173">
        <v>54.72</v>
      </c>
      <c r="I173">
        <v>10</v>
      </c>
      <c r="J173" t="s">
        <v>76</v>
      </c>
      <c r="K173" t="s">
        <v>77</v>
      </c>
      <c r="L173">
        <v>54.72</v>
      </c>
      <c r="M173">
        <v>5.4720000000000004</v>
      </c>
      <c r="N173">
        <v>49.247999999999998</v>
      </c>
      <c r="O1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3" s="9" t="str">
        <f ca="1">IF(OR(ISNUMBER(Table13[[#This Row],[Order_Date]])=FALSE,Table13[[#This Row],[Order_Date]]&lt;DATE(2000,1,1),Table13[[#This Row],[Order_Date]]&gt;TODAY()),"YES","NO")</f>
        <v>NO</v>
      </c>
      <c r="Q173" s="9">
        <f>IF(Table13[[#This Row],[Order_Status]] = "Cancelled",0,IF(Table13[[#This Row],[Order_Status]] = "Returned",Table13[[#This Row],[Net_Sales]] * -1,Table13[[#This Row],[Net_Sales]]))</f>
        <v>49.247999999999998</v>
      </c>
      <c r="R173" s="9" t="str">
        <f>IF(Table13[[#This Row],[Gross_Sales]]&gt;=500, "YES","NO")</f>
        <v>NO</v>
      </c>
    </row>
    <row r="174" spans="1:18" x14ac:dyDescent="0.3">
      <c r="A174">
        <v>100169</v>
      </c>
      <c r="B174" s="8">
        <v>45299</v>
      </c>
      <c r="C174" t="s">
        <v>14</v>
      </c>
      <c r="D174" t="s">
        <v>35</v>
      </c>
      <c r="E174" t="s">
        <v>69</v>
      </c>
      <c r="F174" t="s">
        <v>71</v>
      </c>
      <c r="G174">
        <v>1</v>
      </c>
      <c r="H174">
        <v>8.58</v>
      </c>
      <c r="I174">
        <v>10</v>
      </c>
      <c r="J174" t="s">
        <v>75</v>
      </c>
      <c r="K174" t="s">
        <v>77</v>
      </c>
      <c r="L174">
        <v>8.58</v>
      </c>
      <c r="M174">
        <v>0.8580000000000001</v>
      </c>
      <c r="N174">
        <v>7.7220000000000004</v>
      </c>
      <c r="O1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4" s="9" t="str">
        <f ca="1">IF(OR(ISNUMBER(Table13[[#This Row],[Order_Date]])=FALSE,Table13[[#This Row],[Order_Date]]&lt;DATE(2000,1,1),Table13[[#This Row],[Order_Date]]&gt;TODAY()),"YES","NO")</f>
        <v>NO</v>
      </c>
      <c r="Q174" s="9">
        <f>IF(Table13[[#This Row],[Order_Status]] = "Cancelled",0,IF(Table13[[#This Row],[Order_Status]] = "Returned",Table13[[#This Row],[Net_Sales]] * -1,Table13[[#This Row],[Net_Sales]]))</f>
        <v>7.7220000000000004</v>
      </c>
      <c r="R174" s="9" t="str">
        <f>IF(Table13[[#This Row],[Gross_Sales]]&gt;=500, "YES","NO")</f>
        <v>NO</v>
      </c>
    </row>
    <row r="175" spans="1:18" x14ac:dyDescent="0.3">
      <c r="A175">
        <v>100170</v>
      </c>
      <c r="B175" s="8">
        <v>45299.041666666657</v>
      </c>
      <c r="C175" t="s">
        <v>15</v>
      </c>
      <c r="D175" t="s">
        <v>43</v>
      </c>
      <c r="E175" t="s">
        <v>69</v>
      </c>
      <c r="F175" t="s">
        <v>71</v>
      </c>
      <c r="G175">
        <v>5</v>
      </c>
      <c r="H175">
        <v>34.85</v>
      </c>
      <c r="I175">
        <v>10</v>
      </c>
      <c r="J175" t="s">
        <v>74</v>
      </c>
      <c r="K175" t="s">
        <v>77</v>
      </c>
      <c r="L175">
        <v>174.25</v>
      </c>
      <c r="M175">
        <v>17.425000000000001</v>
      </c>
      <c r="N175">
        <v>156.82499999999999</v>
      </c>
      <c r="O1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5" s="9" t="str">
        <f ca="1">IF(OR(ISNUMBER(Table13[[#This Row],[Order_Date]])=FALSE,Table13[[#This Row],[Order_Date]]&lt;DATE(2000,1,1),Table13[[#This Row],[Order_Date]]&gt;TODAY()),"YES","NO")</f>
        <v>NO</v>
      </c>
      <c r="Q175" s="9">
        <f>IF(Table13[[#This Row],[Order_Status]] = "Cancelled",0,IF(Table13[[#This Row],[Order_Status]] = "Returned",Table13[[#This Row],[Net_Sales]] * -1,Table13[[#This Row],[Net_Sales]]))</f>
        <v>156.82499999999999</v>
      </c>
      <c r="R175" s="9" t="str">
        <f>IF(Table13[[#This Row],[Gross_Sales]]&gt;=500, "YES","NO")</f>
        <v>NO</v>
      </c>
    </row>
    <row r="176" spans="1:18" x14ac:dyDescent="0.3">
      <c r="A176">
        <v>100171</v>
      </c>
      <c r="B176" s="8">
        <v>45299.083333333343</v>
      </c>
      <c r="C176" t="s">
        <v>15</v>
      </c>
      <c r="D176" t="s">
        <v>17</v>
      </c>
      <c r="E176" t="s">
        <v>67</v>
      </c>
      <c r="F176" t="s">
        <v>72</v>
      </c>
      <c r="G176">
        <v>5</v>
      </c>
      <c r="H176">
        <v>8.8699999999999992</v>
      </c>
      <c r="I176">
        <v>15</v>
      </c>
      <c r="J176" t="s">
        <v>76</v>
      </c>
      <c r="K176" t="s">
        <v>77</v>
      </c>
      <c r="L176">
        <v>44.349999999999987</v>
      </c>
      <c r="M176">
        <v>6.652499999999999</v>
      </c>
      <c r="N176">
        <v>37.697499999999998</v>
      </c>
      <c r="O1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6" s="9" t="str">
        <f ca="1">IF(OR(ISNUMBER(Table13[[#This Row],[Order_Date]])=FALSE,Table13[[#This Row],[Order_Date]]&lt;DATE(2000,1,1),Table13[[#This Row],[Order_Date]]&gt;TODAY()),"YES","NO")</f>
        <v>NO</v>
      </c>
      <c r="Q176" s="9">
        <f>IF(Table13[[#This Row],[Order_Status]] = "Cancelled",0,IF(Table13[[#This Row],[Order_Status]] = "Returned",Table13[[#This Row],[Net_Sales]] * -1,Table13[[#This Row],[Net_Sales]]))</f>
        <v>37.697499999999998</v>
      </c>
      <c r="R176" s="9" t="str">
        <f>IF(Table13[[#This Row],[Gross_Sales]]&gt;=500, "YES","NO")</f>
        <v>NO</v>
      </c>
    </row>
    <row r="177" spans="1:18" x14ac:dyDescent="0.3">
      <c r="A177">
        <v>100172</v>
      </c>
      <c r="B177" s="8">
        <v>45299.125</v>
      </c>
      <c r="C177" t="s">
        <v>14</v>
      </c>
      <c r="D177" t="s">
        <v>41</v>
      </c>
      <c r="E177" t="s">
        <v>70</v>
      </c>
      <c r="F177" t="s">
        <v>72</v>
      </c>
      <c r="G177">
        <v>5</v>
      </c>
      <c r="H177">
        <v>106.11</v>
      </c>
      <c r="I177">
        <v>0</v>
      </c>
      <c r="J177" t="s">
        <v>74</v>
      </c>
      <c r="K177" t="s">
        <v>77</v>
      </c>
      <c r="L177">
        <v>530.54999999999995</v>
      </c>
      <c r="M177">
        <v>0</v>
      </c>
      <c r="N177">
        <v>530.54999999999995</v>
      </c>
      <c r="O1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7" s="9" t="str">
        <f ca="1">IF(OR(ISNUMBER(Table13[[#This Row],[Order_Date]])=FALSE,Table13[[#This Row],[Order_Date]]&lt;DATE(2000,1,1),Table13[[#This Row],[Order_Date]]&gt;TODAY()),"YES","NO")</f>
        <v>NO</v>
      </c>
      <c r="Q177" s="9">
        <f>IF(Table13[[#This Row],[Order_Status]] = "Cancelled",0,IF(Table13[[#This Row],[Order_Status]] = "Returned",Table13[[#This Row],[Net_Sales]] * -1,Table13[[#This Row],[Net_Sales]]))</f>
        <v>530.54999999999995</v>
      </c>
      <c r="R177" s="9" t="str">
        <f>IF(Table13[[#This Row],[Gross_Sales]]&gt;=500, "YES","NO")</f>
        <v>YES</v>
      </c>
    </row>
    <row r="178" spans="1:18" x14ac:dyDescent="0.3">
      <c r="A178">
        <v>100173</v>
      </c>
      <c r="B178" s="8">
        <v>45299.166666666657</v>
      </c>
      <c r="C178" t="s">
        <v>14</v>
      </c>
      <c r="D178" t="s">
        <v>29</v>
      </c>
      <c r="E178" t="s">
        <v>70</v>
      </c>
      <c r="F178" t="s">
        <v>72</v>
      </c>
      <c r="G178">
        <v>3</v>
      </c>
      <c r="H178">
        <v>32.99</v>
      </c>
      <c r="I178">
        <v>0</v>
      </c>
      <c r="J178" t="s">
        <v>74</v>
      </c>
      <c r="K178" t="s">
        <v>77</v>
      </c>
      <c r="L178">
        <v>98.97</v>
      </c>
      <c r="M178">
        <v>0</v>
      </c>
      <c r="N178">
        <v>98.97</v>
      </c>
      <c r="O1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78" s="9" t="str">
        <f ca="1">IF(OR(ISNUMBER(Table13[[#This Row],[Order_Date]])=FALSE,Table13[[#This Row],[Order_Date]]&lt;DATE(2000,1,1),Table13[[#This Row],[Order_Date]]&gt;TODAY()),"YES","NO")</f>
        <v>NO</v>
      </c>
      <c r="Q178" s="9">
        <f>IF(Table13[[#This Row],[Order_Status]] = "Cancelled",0,IF(Table13[[#This Row],[Order_Status]] = "Returned",Table13[[#This Row],[Net_Sales]] * -1,Table13[[#This Row],[Net_Sales]]))</f>
        <v>98.97</v>
      </c>
      <c r="R178" s="9" t="str">
        <f>IF(Table13[[#This Row],[Gross_Sales]]&gt;=500, "YES","NO")</f>
        <v>NO</v>
      </c>
    </row>
    <row r="179" spans="1:18" x14ac:dyDescent="0.3">
      <c r="A179">
        <v>100174</v>
      </c>
      <c r="B179" s="8">
        <v>45299.208333333343</v>
      </c>
      <c r="C179" t="s">
        <v>15</v>
      </c>
      <c r="D179" t="s">
        <v>42</v>
      </c>
      <c r="E179" t="s">
        <v>69</v>
      </c>
      <c r="F179" t="s">
        <v>72</v>
      </c>
      <c r="G179">
        <v>5</v>
      </c>
      <c r="H179">
        <v>69.09</v>
      </c>
      <c r="I179">
        <v>10</v>
      </c>
      <c r="J179" t="s">
        <v>73</v>
      </c>
      <c r="K179" t="s">
        <v>79</v>
      </c>
      <c r="L179">
        <v>345.45</v>
      </c>
      <c r="M179">
        <v>34.545000000000009</v>
      </c>
      <c r="N179">
        <v>310.90499999999997</v>
      </c>
      <c r="O1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79" s="9" t="str">
        <f ca="1">IF(OR(ISNUMBER(Table13[[#This Row],[Order_Date]])=FALSE,Table13[[#This Row],[Order_Date]]&lt;DATE(2000,1,1),Table13[[#This Row],[Order_Date]]&gt;TODAY()),"YES","NO")</f>
        <v>NO</v>
      </c>
      <c r="Q179" s="9">
        <f>IF(Table13[[#This Row],[Order_Status]] = "Cancelled",0,IF(Table13[[#This Row],[Order_Status]] = "Returned",Table13[[#This Row],[Net_Sales]] * -1,Table13[[#This Row],[Net_Sales]]))</f>
        <v>0</v>
      </c>
      <c r="R179" s="9" t="str">
        <f>IF(Table13[[#This Row],[Gross_Sales]]&gt;=500, "YES","NO")</f>
        <v>NO</v>
      </c>
    </row>
    <row r="180" spans="1:18" x14ac:dyDescent="0.3">
      <c r="A180">
        <v>100175</v>
      </c>
      <c r="B180" s="8">
        <v>45299.25</v>
      </c>
      <c r="C180" t="s">
        <v>15</v>
      </c>
      <c r="D180" t="s">
        <v>29</v>
      </c>
      <c r="E180" t="s">
        <v>67</v>
      </c>
      <c r="F180" t="s">
        <v>72</v>
      </c>
      <c r="G180">
        <v>3</v>
      </c>
      <c r="H180">
        <v>9.48</v>
      </c>
      <c r="I180">
        <v>15</v>
      </c>
      <c r="J180" t="s">
        <v>76</v>
      </c>
      <c r="K180" t="s">
        <v>77</v>
      </c>
      <c r="L180">
        <v>28.44</v>
      </c>
      <c r="M180">
        <v>4.266</v>
      </c>
      <c r="N180">
        <v>24.173999999999999</v>
      </c>
      <c r="O1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0" s="9" t="str">
        <f ca="1">IF(OR(ISNUMBER(Table13[[#This Row],[Order_Date]])=FALSE,Table13[[#This Row],[Order_Date]]&lt;DATE(2000,1,1),Table13[[#This Row],[Order_Date]]&gt;TODAY()),"YES","NO")</f>
        <v>NO</v>
      </c>
      <c r="Q180" s="9">
        <f>IF(Table13[[#This Row],[Order_Status]] = "Cancelled",0,IF(Table13[[#This Row],[Order_Status]] = "Returned",Table13[[#This Row],[Net_Sales]] * -1,Table13[[#This Row],[Net_Sales]]))</f>
        <v>24.173999999999999</v>
      </c>
      <c r="R180" s="9" t="str">
        <f>IF(Table13[[#This Row],[Gross_Sales]]&gt;=500, "YES","NO")</f>
        <v>NO</v>
      </c>
    </row>
    <row r="181" spans="1:18" x14ac:dyDescent="0.3">
      <c r="A181">
        <v>100176</v>
      </c>
      <c r="B181" s="8">
        <v>45299.291666666657</v>
      </c>
      <c r="C181" t="s">
        <v>15</v>
      </c>
      <c r="D181" t="s">
        <v>33</v>
      </c>
      <c r="E181" t="s">
        <v>70</v>
      </c>
      <c r="F181" t="s">
        <v>72</v>
      </c>
      <c r="G181">
        <v>1</v>
      </c>
      <c r="H181">
        <v>81.69</v>
      </c>
      <c r="I181">
        <v>5</v>
      </c>
      <c r="J181" t="s">
        <v>75</v>
      </c>
      <c r="K181" t="s">
        <v>78</v>
      </c>
      <c r="L181">
        <v>81.69</v>
      </c>
      <c r="M181">
        <v>4.0845000000000002</v>
      </c>
      <c r="N181">
        <v>77.605499999999992</v>
      </c>
      <c r="O1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81" s="9" t="str">
        <f ca="1">IF(OR(ISNUMBER(Table13[[#This Row],[Order_Date]])=FALSE,Table13[[#This Row],[Order_Date]]&lt;DATE(2000,1,1),Table13[[#This Row],[Order_Date]]&gt;TODAY()),"YES","NO")</f>
        <v>NO</v>
      </c>
      <c r="Q181" s="9">
        <f>IF(Table13[[#This Row],[Order_Status]] = "Cancelled",0,IF(Table13[[#This Row],[Order_Status]] = "Returned",Table13[[#This Row],[Net_Sales]] * -1,Table13[[#This Row],[Net_Sales]]))</f>
        <v>-77.605499999999992</v>
      </c>
      <c r="R181" s="9" t="str">
        <f>IF(Table13[[#This Row],[Gross_Sales]]&gt;=500, "YES","NO")</f>
        <v>NO</v>
      </c>
    </row>
    <row r="182" spans="1:18" x14ac:dyDescent="0.3">
      <c r="A182">
        <v>100177</v>
      </c>
      <c r="B182" s="8">
        <v>45299.333333333343</v>
      </c>
      <c r="C182" t="s">
        <v>14</v>
      </c>
      <c r="D182" t="s">
        <v>62</v>
      </c>
      <c r="E182" t="s">
        <v>67</v>
      </c>
      <c r="F182" t="s">
        <v>71</v>
      </c>
      <c r="G182">
        <v>1</v>
      </c>
      <c r="H182">
        <v>42.15</v>
      </c>
      <c r="I182">
        <v>5</v>
      </c>
      <c r="J182" t="s">
        <v>74</v>
      </c>
      <c r="K182" t="s">
        <v>77</v>
      </c>
      <c r="L182">
        <v>42.15</v>
      </c>
      <c r="M182">
        <v>2.1074999999999999</v>
      </c>
      <c r="N182">
        <v>40.042499999999997</v>
      </c>
      <c r="O1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2" s="9" t="str">
        <f ca="1">IF(OR(ISNUMBER(Table13[[#This Row],[Order_Date]])=FALSE,Table13[[#This Row],[Order_Date]]&lt;DATE(2000,1,1),Table13[[#This Row],[Order_Date]]&gt;TODAY()),"YES","NO")</f>
        <v>NO</v>
      </c>
      <c r="Q182" s="9">
        <f>IF(Table13[[#This Row],[Order_Status]] = "Cancelled",0,IF(Table13[[#This Row],[Order_Status]] = "Returned",Table13[[#This Row],[Net_Sales]] * -1,Table13[[#This Row],[Net_Sales]]))</f>
        <v>40.042499999999997</v>
      </c>
      <c r="R182" s="9" t="str">
        <f>IF(Table13[[#This Row],[Gross_Sales]]&gt;=500, "YES","NO")</f>
        <v>NO</v>
      </c>
    </row>
    <row r="183" spans="1:18" x14ac:dyDescent="0.3">
      <c r="A183">
        <v>100178</v>
      </c>
      <c r="B183" s="8">
        <v>45299.375</v>
      </c>
      <c r="C183" t="s">
        <v>14</v>
      </c>
      <c r="D183" t="s">
        <v>22</v>
      </c>
      <c r="E183" t="s">
        <v>67</v>
      </c>
      <c r="F183" t="s">
        <v>71</v>
      </c>
      <c r="G183">
        <v>1</v>
      </c>
      <c r="H183">
        <v>108.26</v>
      </c>
      <c r="I183">
        <v>15</v>
      </c>
      <c r="J183" t="s">
        <v>75</v>
      </c>
      <c r="K183" t="s">
        <v>77</v>
      </c>
      <c r="L183">
        <v>108.26</v>
      </c>
      <c r="M183">
        <v>16.239000000000001</v>
      </c>
      <c r="N183">
        <v>92.021000000000001</v>
      </c>
      <c r="O1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3" s="9" t="str">
        <f ca="1">IF(OR(ISNUMBER(Table13[[#This Row],[Order_Date]])=FALSE,Table13[[#This Row],[Order_Date]]&lt;DATE(2000,1,1),Table13[[#This Row],[Order_Date]]&gt;TODAY()),"YES","NO")</f>
        <v>NO</v>
      </c>
      <c r="Q183" s="9">
        <f>IF(Table13[[#This Row],[Order_Status]] = "Cancelled",0,IF(Table13[[#This Row],[Order_Status]] = "Returned",Table13[[#This Row],[Net_Sales]] * -1,Table13[[#This Row],[Net_Sales]]))</f>
        <v>92.021000000000001</v>
      </c>
      <c r="R183" s="9" t="str">
        <f>IF(Table13[[#This Row],[Gross_Sales]]&gt;=500, "YES","NO")</f>
        <v>NO</v>
      </c>
    </row>
    <row r="184" spans="1:18" x14ac:dyDescent="0.3">
      <c r="A184">
        <v>100179</v>
      </c>
      <c r="B184" s="8">
        <v>45299.416666666657</v>
      </c>
      <c r="C184" t="s">
        <v>14</v>
      </c>
      <c r="D184" t="s">
        <v>16</v>
      </c>
      <c r="E184" t="s">
        <v>67</v>
      </c>
      <c r="F184" t="s">
        <v>72</v>
      </c>
      <c r="G184">
        <v>2</v>
      </c>
      <c r="H184">
        <v>107.13</v>
      </c>
      <c r="I184">
        <v>10</v>
      </c>
      <c r="J184" t="s">
        <v>73</v>
      </c>
      <c r="K184" t="s">
        <v>78</v>
      </c>
      <c r="L184">
        <v>214.26</v>
      </c>
      <c r="M184">
        <v>21.425999999999998</v>
      </c>
      <c r="N184">
        <v>192.834</v>
      </c>
      <c r="O1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84" s="9" t="str">
        <f ca="1">IF(OR(ISNUMBER(Table13[[#This Row],[Order_Date]])=FALSE,Table13[[#This Row],[Order_Date]]&lt;DATE(2000,1,1),Table13[[#This Row],[Order_Date]]&gt;TODAY()),"YES","NO")</f>
        <v>NO</v>
      </c>
      <c r="Q184" s="9">
        <f>IF(Table13[[#This Row],[Order_Status]] = "Cancelled",0,IF(Table13[[#This Row],[Order_Status]] = "Returned",Table13[[#This Row],[Net_Sales]] * -1,Table13[[#This Row],[Net_Sales]]))</f>
        <v>-192.834</v>
      </c>
      <c r="R184" s="9" t="str">
        <f>IF(Table13[[#This Row],[Gross_Sales]]&gt;=500, "YES","NO")</f>
        <v>NO</v>
      </c>
    </row>
    <row r="185" spans="1:18" x14ac:dyDescent="0.3">
      <c r="A185">
        <v>100180</v>
      </c>
      <c r="B185" s="8">
        <v>45299.458333333343</v>
      </c>
      <c r="C185" t="s">
        <v>14</v>
      </c>
      <c r="D185" t="s">
        <v>41</v>
      </c>
      <c r="E185" t="s">
        <v>66</v>
      </c>
      <c r="F185" t="s">
        <v>71</v>
      </c>
      <c r="G185">
        <v>2</v>
      </c>
      <c r="H185">
        <v>42.41</v>
      </c>
      <c r="I185">
        <v>0</v>
      </c>
      <c r="J185" t="s">
        <v>73</v>
      </c>
      <c r="K185" t="s">
        <v>77</v>
      </c>
      <c r="L185">
        <v>84.82</v>
      </c>
      <c r="M185">
        <v>0</v>
      </c>
      <c r="N185">
        <v>84.82</v>
      </c>
      <c r="O1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5" s="9" t="str">
        <f ca="1">IF(OR(ISNUMBER(Table13[[#This Row],[Order_Date]])=FALSE,Table13[[#This Row],[Order_Date]]&lt;DATE(2000,1,1),Table13[[#This Row],[Order_Date]]&gt;TODAY()),"YES","NO")</f>
        <v>NO</v>
      </c>
      <c r="Q185" s="9">
        <f>IF(Table13[[#This Row],[Order_Status]] = "Cancelled",0,IF(Table13[[#This Row],[Order_Status]] = "Returned",Table13[[#This Row],[Net_Sales]] * -1,Table13[[#This Row],[Net_Sales]]))</f>
        <v>84.82</v>
      </c>
      <c r="R185" s="9" t="str">
        <f>IF(Table13[[#This Row],[Gross_Sales]]&gt;=500, "YES","NO")</f>
        <v>NO</v>
      </c>
    </row>
    <row r="186" spans="1:18" x14ac:dyDescent="0.3">
      <c r="A186">
        <v>100181</v>
      </c>
      <c r="B186" s="8">
        <v>45299.5</v>
      </c>
      <c r="C186" t="s">
        <v>14</v>
      </c>
      <c r="D186" t="s">
        <v>64</v>
      </c>
      <c r="E186" t="s">
        <v>67</v>
      </c>
      <c r="F186" t="s">
        <v>72</v>
      </c>
      <c r="G186">
        <v>4</v>
      </c>
      <c r="H186">
        <v>108.61</v>
      </c>
      <c r="I186">
        <v>15</v>
      </c>
      <c r="J186" t="s">
        <v>76</v>
      </c>
      <c r="K186" t="s">
        <v>77</v>
      </c>
      <c r="L186">
        <v>434.44</v>
      </c>
      <c r="M186">
        <v>65.165999999999997</v>
      </c>
      <c r="N186">
        <v>369.274</v>
      </c>
      <c r="O1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6" s="9" t="str">
        <f ca="1">IF(OR(ISNUMBER(Table13[[#This Row],[Order_Date]])=FALSE,Table13[[#This Row],[Order_Date]]&lt;DATE(2000,1,1),Table13[[#This Row],[Order_Date]]&gt;TODAY()),"YES","NO")</f>
        <v>NO</v>
      </c>
      <c r="Q186" s="9">
        <f>IF(Table13[[#This Row],[Order_Status]] = "Cancelled",0,IF(Table13[[#This Row],[Order_Status]] = "Returned",Table13[[#This Row],[Net_Sales]] * -1,Table13[[#This Row],[Net_Sales]]))</f>
        <v>369.274</v>
      </c>
      <c r="R186" s="9" t="str">
        <f>IF(Table13[[#This Row],[Gross_Sales]]&gt;=500, "YES","NO")</f>
        <v>NO</v>
      </c>
    </row>
    <row r="187" spans="1:18" x14ac:dyDescent="0.3">
      <c r="A187">
        <v>100182</v>
      </c>
      <c r="B187" s="8">
        <v>45299.541666666657</v>
      </c>
      <c r="C187" t="s">
        <v>14</v>
      </c>
      <c r="D187" t="s">
        <v>36</v>
      </c>
      <c r="E187" t="s">
        <v>66</v>
      </c>
      <c r="F187" t="s">
        <v>71</v>
      </c>
      <c r="G187">
        <v>4</v>
      </c>
      <c r="H187">
        <v>119.56</v>
      </c>
      <c r="I187">
        <v>5</v>
      </c>
      <c r="J187" t="s">
        <v>73</v>
      </c>
      <c r="K187" t="s">
        <v>77</v>
      </c>
      <c r="L187">
        <v>478.24</v>
      </c>
      <c r="M187">
        <v>23.911999999999999</v>
      </c>
      <c r="N187">
        <v>454.32799999999997</v>
      </c>
      <c r="O1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7" s="9" t="str">
        <f ca="1">IF(OR(ISNUMBER(Table13[[#This Row],[Order_Date]])=FALSE,Table13[[#This Row],[Order_Date]]&lt;DATE(2000,1,1),Table13[[#This Row],[Order_Date]]&gt;TODAY()),"YES","NO")</f>
        <v>NO</v>
      </c>
      <c r="Q187" s="9">
        <f>IF(Table13[[#This Row],[Order_Status]] = "Cancelled",0,IF(Table13[[#This Row],[Order_Status]] = "Returned",Table13[[#This Row],[Net_Sales]] * -1,Table13[[#This Row],[Net_Sales]]))</f>
        <v>454.32799999999997</v>
      </c>
      <c r="R187" s="9" t="str">
        <f>IF(Table13[[#This Row],[Gross_Sales]]&gt;=500, "YES","NO")</f>
        <v>NO</v>
      </c>
    </row>
    <row r="188" spans="1:18" x14ac:dyDescent="0.3">
      <c r="A188">
        <v>100183</v>
      </c>
      <c r="B188" s="8">
        <v>45299.583333333343</v>
      </c>
      <c r="C188" t="s">
        <v>15</v>
      </c>
      <c r="D188" t="s">
        <v>55</v>
      </c>
      <c r="E188" t="s">
        <v>69</v>
      </c>
      <c r="F188" t="s">
        <v>71</v>
      </c>
      <c r="G188">
        <v>4</v>
      </c>
      <c r="H188">
        <v>99.92</v>
      </c>
      <c r="I188">
        <v>5</v>
      </c>
      <c r="J188" t="s">
        <v>73</v>
      </c>
      <c r="K188" t="s">
        <v>77</v>
      </c>
      <c r="L188">
        <v>399.68</v>
      </c>
      <c r="M188">
        <v>19.984000000000002</v>
      </c>
      <c r="N188">
        <v>379.69600000000003</v>
      </c>
      <c r="O1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8" s="9" t="str">
        <f ca="1">IF(OR(ISNUMBER(Table13[[#This Row],[Order_Date]])=FALSE,Table13[[#This Row],[Order_Date]]&lt;DATE(2000,1,1),Table13[[#This Row],[Order_Date]]&gt;TODAY()),"YES","NO")</f>
        <v>NO</v>
      </c>
      <c r="Q188" s="9">
        <f>IF(Table13[[#This Row],[Order_Status]] = "Cancelled",0,IF(Table13[[#This Row],[Order_Status]] = "Returned",Table13[[#This Row],[Net_Sales]] * -1,Table13[[#This Row],[Net_Sales]]))</f>
        <v>379.69600000000003</v>
      </c>
      <c r="R188" s="9" t="str">
        <f>IF(Table13[[#This Row],[Gross_Sales]]&gt;=500, "YES","NO")</f>
        <v>NO</v>
      </c>
    </row>
    <row r="189" spans="1:18" x14ac:dyDescent="0.3">
      <c r="A189">
        <v>100184</v>
      </c>
      <c r="B189" s="8">
        <v>45299.625</v>
      </c>
      <c r="C189" t="s">
        <v>14</v>
      </c>
      <c r="D189" t="s">
        <v>38</v>
      </c>
      <c r="E189" t="s">
        <v>70</v>
      </c>
      <c r="F189" t="s">
        <v>71</v>
      </c>
      <c r="G189">
        <v>2</v>
      </c>
      <c r="H189">
        <v>102.16</v>
      </c>
      <c r="I189">
        <v>5</v>
      </c>
      <c r="J189" t="s">
        <v>75</v>
      </c>
      <c r="K189" t="s">
        <v>77</v>
      </c>
      <c r="L189">
        <v>204.32</v>
      </c>
      <c r="M189">
        <v>10.215999999999999</v>
      </c>
      <c r="N189">
        <v>194.10400000000001</v>
      </c>
      <c r="O1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89" s="9" t="str">
        <f ca="1">IF(OR(ISNUMBER(Table13[[#This Row],[Order_Date]])=FALSE,Table13[[#This Row],[Order_Date]]&lt;DATE(2000,1,1),Table13[[#This Row],[Order_Date]]&gt;TODAY()),"YES","NO")</f>
        <v>NO</v>
      </c>
      <c r="Q189" s="9">
        <f>IF(Table13[[#This Row],[Order_Status]] = "Cancelled",0,IF(Table13[[#This Row],[Order_Status]] = "Returned",Table13[[#This Row],[Net_Sales]] * -1,Table13[[#This Row],[Net_Sales]]))</f>
        <v>194.10400000000001</v>
      </c>
      <c r="R189" s="9" t="str">
        <f>IF(Table13[[#This Row],[Gross_Sales]]&gt;=500, "YES","NO")</f>
        <v>NO</v>
      </c>
    </row>
    <row r="190" spans="1:18" x14ac:dyDescent="0.3">
      <c r="A190">
        <v>100185</v>
      </c>
      <c r="B190" s="8">
        <v>45299.666666666657</v>
      </c>
      <c r="C190" t="s">
        <v>14</v>
      </c>
      <c r="D190" t="s">
        <v>25</v>
      </c>
      <c r="E190" t="s">
        <v>70</v>
      </c>
      <c r="F190" t="s">
        <v>72</v>
      </c>
      <c r="G190">
        <v>2</v>
      </c>
      <c r="H190">
        <v>33.64</v>
      </c>
      <c r="I190">
        <v>10</v>
      </c>
      <c r="J190" t="s">
        <v>73</v>
      </c>
      <c r="K190" t="s">
        <v>77</v>
      </c>
      <c r="L190">
        <v>67.28</v>
      </c>
      <c r="M190">
        <v>6.7280000000000006</v>
      </c>
      <c r="N190">
        <v>60.552</v>
      </c>
      <c r="O1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90" s="9" t="str">
        <f ca="1">IF(OR(ISNUMBER(Table13[[#This Row],[Order_Date]])=FALSE,Table13[[#This Row],[Order_Date]]&lt;DATE(2000,1,1),Table13[[#This Row],[Order_Date]]&gt;TODAY()),"YES","NO")</f>
        <v>NO</v>
      </c>
      <c r="Q190" s="9">
        <f>IF(Table13[[#This Row],[Order_Status]] = "Cancelled",0,IF(Table13[[#This Row],[Order_Status]] = "Returned",Table13[[#This Row],[Net_Sales]] * -1,Table13[[#This Row],[Net_Sales]]))</f>
        <v>60.552</v>
      </c>
      <c r="R190" s="9" t="str">
        <f>IF(Table13[[#This Row],[Gross_Sales]]&gt;=500, "YES","NO")</f>
        <v>NO</v>
      </c>
    </row>
    <row r="191" spans="1:18" x14ac:dyDescent="0.3">
      <c r="A191">
        <v>100186</v>
      </c>
      <c r="B191" s="8">
        <v>45299.708333333343</v>
      </c>
      <c r="C191" t="s">
        <v>14</v>
      </c>
      <c r="D191" t="s">
        <v>59</v>
      </c>
      <c r="E191" t="s">
        <v>70</v>
      </c>
      <c r="F191" t="s">
        <v>71</v>
      </c>
      <c r="G191">
        <v>4</v>
      </c>
      <c r="H191">
        <v>71.319999999999993</v>
      </c>
      <c r="I191">
        <v>5</v>
      </c>
      <c r="J191" t="s">
        <v>73</v>
      </c>
      <c r="K191" t="s">
        <v>78</v>
      </c>
      <c r="L191">
        <v>285.27999999999997</v>
      </c>
      <c r="M191">
        <v>14.263999999999999</v>
      </c>
      <c r="N191">
        <v>271.01600000000002</v>
      </c>
      <c r="O1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91" s="9" t="str">
        <f ca="1">IF(OR(ISNUMBER(Table13[[#This Row],[Order_Date]])=FALSE,Table13[[#This Row],[Order_Date]]&lt;DATE(2000,1,1),Table13[[#This Row],[Order_Date]]&gt;TODAY()),"YES","NO")</f>
        <v>NO</v>
      </c>
      <c r="Q191" s="9">
        <f>IF(Table13[[#This Row],[Order_Status]] = "Cancelled",0,IF(Table13[[#This Row],[Order_Status]] = "Returned",Table13[[#This Row],[Net_Sales]] * -1,Table13[[#This Row],[Net_Sales]]))</f>
        <v>-271.01600000000002</v>
      </c>
      <c r="R191" s="9" t="str">
        <f>IF(Table13[[#This Row],[Gross_Sales]]&gt;=500, "YES","NO")</f>
        <v>NO</v>
      </c>
    </row>
    <row r="192" spans="1:18" x14ac:dyDescent="0.3">
      <c r="A192">
        <v>100187</v>
      </c>
      <c r="B192" s="8">
        <v>45299.75</v>
      </c>
      <c r="C192" t="s">
        <v>15</v>
      </c>
      <c r="D192" t="s">
        <v>29</v>
      </c>
      <c r="E192" t="s">
        <v>70</v>
      </c>
      <c r="F192" t="s">
        <v>72</v>
      </c>
      <c r="G192">
        <v>4</v>
      </c>
      <c r="H192">
        <v>12.73</v>
      </c>
      <c r="I192">
        <v>15</v>
      </c>
      <c r="J192" t="s">
        <v>74</v>
      </c>
      <c r="K192" t="s">
        <v>77</v>
      </c>
      <c r="L192">
        <v>50.92</v>
      </c>
      <c r="M192">
        <v>7.6379999999999999</v>
      </c>
      <c r="N192">
        <v>43.281999999999996</v>
      </c>
      <c r="O1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92" s="9" t="str">
        <f ca="1">IF(OR(ISNUMBER(Table13[[#This Row],[Order_Date]])=FALSE,Table13[[#This Row],[Order_Date]]&lt;DATE(2000,1,1),Table13[[#This Row],[Order_Date]]&gt;TODAY()),"YES","NO")</f>
        <v>NO</v>
      </c>
      <c r="Q192" s="9">
        <f>IF(Table13[[#This Row],[Order_Status]] = "Cancelled",0,IF(Table13[[#This Row],[Order_Status]] = "Returned",Table13[[#This Row],[Net_Sales]] * -1,Table13[[#This Row],[Net_Sales]]))</f>
        <v>43.281999999999996</v>
      </c>
      <c r="R192" s="9" t="str">
        <f>IF(Table13[[#This Row],[Gross_Sales]]&gt;=500, "YES","NO")</f>
        <v>NO</v>
      </c>
    </row>
    <row r="193" spans="1:18" x14ac:dyDescent="0.3">
      <c r="A193">
        <v>100188</v>
      </c>
      <c r="B193" s="8">
        <v>45299.791666666657</v>
      </c>
      <c r="C193" t="s">
        <v>14</v>
      </c>
      <c r="D193" t="s">
        <v>42</v>
      </c>
      <c r="E193" t="s">
        <v>70</v>
      </c>
      <c r="F193" t="s">
        <v>71</v>
      </c>
      <c r="G193">
        <v>5</v>
      </c>
      <c r="H193">
        <v>15.92</v>
      </c>
      <c r="I193">
        <v>15</v>
      </c>
      <c r="J193" t="s">
        <v>73</v>
      </c>
      <c r="K193" t="s">
        <v>79</v>
      </c>
      <c r="L193">
        <v>79.599999999999994</v>
      </c>
      <c r="M193">
        <v>11.94</v>
      </c>
      <c r="N193">
        <v>67.66</v>
      </c>
      <c r="O1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93" s="9" t="str">
        <f ca="1">IF(OR(ISNUMBER(Table13[[#This Row],[Order_Date]])=FALSE,Table13[[#This Row],[Order_Date]]&lt;DATE(2000,1,1),Table13[[#This Row],[Order_Date]]&gt;TODAY()),"YES","NO")</f>
        <v>NO</v>
      </c>
      <c r="Q193" s="9">
        <f>IF(Table13[[#This Row],[Order_Status]] = "Cancelled",0,IF(Table13[[#This Row],[Order_Status]] = "Returned",Table13[[#This Row],[Net_Sales]] * -1,Table13[[#This Row],[Net_Sales]]))</f>
        <v>0</v>
      </c>
      <c r="R193" s="9" t="str">
        <f>IF(Table13[[#This Row],[Gross_Sales]]&gt;=500, "YES","NO")</f>
        <v>NO</v>
      </c>
    </row>
    <row r="194" spans="1:18" x14ac:dyDescent="0.3">
      <c r="A194">
        <v>100189</v>
      </c>
      <c r="B194" s="8">
        <v>45299.833333333343</v>
      </c>
      <c r="C194" t="s">
        <v>14</v>
      </c>
      <c r="D194" t="s">
        <v>52</v>
      </c>
      <c r="E194" t="s">
        <v>70</v>
      </c>
      <c r="F194" t="s">
        <v>71</v>
      </c>
      <c r="G194">
        <v>4</v>
      </c>
      <c r="H194">
        <v>119.87</v>
      </c>
      <c r="I194">
        <v>5</v>
      </c>
      <c r="J194" t="s">
        <v>74</v>
      </c>
      <c r="K194" t="s">
        <v>79</v>
      </c>
      <c r="L194">
        <v>479.48</v>
      </c>
      <c r="M194">
        <v>23.974</v>
      </c>
      <c r="N194">
        <v>455.50599999999997</v>
      </c>
      <c r="O1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94" s="9" t="str">
        <f ca="1">IF(OR(ISNUMBER(Table13[[#This Row],[Order_Date]])=FALSE,Table13[[#This Row],[Order_Date]]&lt;DATE(2000,1,1),Table13[[#This Row],[Order_Date]]&gt;TODAY()),"YES","NO")</f>
        <v>NO</v>
      </c>
      <c r="Q194" s="9">
        <f>IF(Table13[[#This Row],[Order_Status]] = "Cancelled",0,IF(Table13[[#This Row],[Order_Status]] = "Returned",Table13[[#This Row],[Net_Sales]] * -1,Table13[[#This Row],[Net_Sales]]))</f>
        <v>0</v>
      </c>
      <c r="R194" s="9" t="str">
        <f>IF(Table13[[#This Row],[Gross_Sales]]&gt;=500, "YES","NO")</f>
        <v>NO</v>
      </c>
    </row>
    <row r="195" spans="1:18" x14ac:dyDescent="0.3">
      <c r="A195">
        <v>100190</v>
      </c>
      <c r="B195" s="8">
        <v>45299.875</v>
      </c>
      <c r="C195" t="s">
        <v>15</v>
      </c>
      <c r="D195" t="s">
        <v>41</v>
      </c>
      <c r="E195" t="s">
        <v>70</v>
      </c>
      <c r="F195" t="s">
        <v>71</v>
      </c>
      <c r="G195">
        <v>5</v>
      </c>
      <c r="H195">
        <v>42.56</v>
      </c>
      <c r="I195">
        <v>15</v>
      </c>
      <c r="J195" t="s">
        <v>73</v>
      </c>
      <c r="K195" t="s">
        <v>77</v>
      </c>
      <c r="L195">
        <v>212.8</v>
      </c>
      <c r="M195">
        <v>31.92</v>
      </c>
      <c r="N195">
        <v>180.88</v>
      </c>
      <c r="O1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95" s="9" t="str">
        <f ca="1">IF(OR(ISNUMBER(Table13[[#This Row],[Order_Date]])=FALSE,Table13[[#This Row],[Order_Date]]&lt;DATE(2000,1,1),Table13[[#This Row],[Order_Date]]&gt;TODAY()),"YES","NO")</f>
        <v>NO</v>
      </c>
      <c r="Q195" s="9">
        <f>IF(Table13[[#This Row],[Order_Status]] = "Cancelled",0,IF(Table13[[#This Row],[Order_Status]] = "Returned",Table13[[#This Row],[Net_Sales]] * -1,Table13[[#This Row],[Net_Sales]]))</f>
        <v>180.88</v>
      </c>
      <c r="R195" s="9" t="str">
        <f>IF(Table13[[#This Row],[Gross_Sales]]&gt;=500, "YES","NO")</f>
        <v>NO</v>
      </c>
    </row>
    <row r="196" spans="1:18" x14ac:dyDescent="0.3">
      <c r="A196">
        <v>100191</v>
      </c>
      <c r="B196" s="8">
        <v>45299.916666666657</v>
      </c>
      <c r="C196" t="s">
        <v>14</v>
      </c>
      <c r="D196" t="s">
        <v>21</v>
      </c>
      <c r="E196" t="s">
        <v>69</v>
      </c>
      <c r="F196" t="s">
        <v>71</v>
      </c>
      <c r="G196">
        <v>3</v>
      </c>
      <c r="H196">
        <v>91.04</v>
      </c>
      <c r="I196">
        <v>5</v>
      </c>
      <c r="J196" t="s">
        <v>73</v>
      </c>
      <c r="K196" t="s">
        <v>77</v>
      </c>
      <c r="L196">
        <v>273.12</v>
      </c>
      <c r="M196">
        <v>13.656000000000001</v>
      </c>
      <c r="N196">
        <v>259.464</v>
      </c>
      <c r="O1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96" s="9" t="str">
        <f ca="1">IF(OR(ISNUMBER(Table13[[#This Row],[Order_Date]])=FALSE,Table13[[#This Row],[Order_Date]]&lt;DATE(2000,1,1),Table13[[#This Row],[Order_Date]]&gt;TODAY()),"YES","NO")</f>
        <v>NO</v>
      </c>
      <c r="Q196" s="9">
        <f>IF(Table13[[#This Row],[Order_Status]] = "Cancelled",0,IF(Table13[[#This Row],[Order_Status]] = "Returned",Table13[[#This Row],[Net_Sales]] * -1,Table13[[#This Row],[Net_Sales]]))</f>
        <v>259.464</v>
      </c>
      <c r="R196" s="9" t="str">
        <f>IF(Table13[[#This Row],[Gross_Sales]]&gt;=500, "YES","NO")</f>
        <v>NO</v>
      </c>
    </row>
    <row r="197" spans="1:18" x14ac:dyDescent="0.3">
      <c r="A197">
        <v>100192</v>
      </c>
      <c r="B197" s="8">
        <v>45299.958333333343</v>
      </c>
      <c r="C197" t="s">
        <v>14</v>
      </c>
      <c r="D197" t="s">
        <v>49</v>
      </c>
      <c r="E197" t="s">
        <v>67</v>
      </c>
      <c r="F197" t="s">
        <v>71</v>
      </c>
      <c r="G197">
        <v>2</v>
      </c>
      <c r="H197">
        <v>97.77</v>
      </c>
      <c r="I197">
        <v>5</v>
      </c>
      <c r="J197" t="s">
        <v>76</v>
      </c>
      <c r="K197" t="s">
        <v>78</v>
      </c>
      <c r="L197">
        <v>195.54</v>
      </c>
      <c r="M197">
        <v>9.777000000000001</v>
      </c>
      <c r="N197">
        <v>185.76300000000001</v>
      </c>
      <c r="O1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97" s="9" t="str">
        <f ca="1">IF(OR(ISNUMBER(Table13[[#This Row],[Order_Date]])=FALSE,Table13[[#This Row],[Order_Date]]&lt;DATE(2000,1,1),Table13[[#This Row],[Order_Date]]&gt;TODAY()),"YES","NO")</f>
        <v>NO</v>
      </c>
      <c r="Q197" s="9">
        <f>IF(Table13[[#This Row],[Order_Status]] = "Cancelled",0,IF(Table13[[#This Row],[Order_Status]] = "Returned",Table13[[#This Row],[Net_Sales]] * -1,Table13[[#This Row],[Net_Sales]]))</f>
        <v>-185.76300000000001</v>
      </c>
      <c r="R197" s="9" t="str">
        <f>IF(Table13[[#This Row],[Gross_Sales]]&gt;=500, "YES","NO")</f>
        <v>NO</v>
      </c>
    </row>
    <row r="198" spans="1:18" x14ac:dyDescent="0.3">
      <c r="A198">
        <v>100193</v>
      </c>
      <c r="B198" s="8">
        <v>45300</v>
      </c>
      <c r="C198" t="s">
        <v>14</v>
      </c>
      <c r="D198" t="s">
        <v>52</v>
      </c>
      <c r="E198" t="s">
        <v>68</v>
      </c>
      <c r="F198" t="s">
        <v>72</v>
      </c>
      <c r="G198">
        <v>4</v>
      </c>
      <c r="H198">
        <v>103.67</v>
      </c>
      <c r="I198">
        <v>0</v>
      </c>
      <c r="J198" t="s">
        <v>76</v>
      </c>
      <c r="K198" t="s">
        <v>79</v>
      </c>
      <c r="L198">
        <v>414.68</v>
      </c>
      <c r="M198">
        <v>0</v>
      </c>
      <c r="N198">
        <v>414.68</v>
      </c>
      <c r="O1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198" s="9" t="str">
        <f ca="1">IF(OR(ISNUMBER(Table13[[#This Row],[Order_Date]])=FALSE,Table13[[#This Row],[Order_Date]]&lt;DATE(2000,1,1),Table13[[#This Row],[Order_Date]]&gt;TODAY()),"YES","NO")</f>
        <v>NO</v>
      </c>
      <c r="Q198" s="9">
        <f>IF(Table13[[#This Row],[Order_Status]] = "Cancelled",0,IF(Table13[[#This Row],[Order_Status]] = "Returned",Table13[[#This Row],[Net_Sales]] * -1,Table13[[#This Row],[Net_Sales]]))</f>
        <v>0</v>
      </c>
      <c r="R198" s="9" t="str">
        <f>IF(Table13[[#This Row],[Gross_Sales]]&gt;=500, "YES","NO")</f>
        <v>NO</v>
      </c>
    </row>
    <row r="199" spans="1:18" x14ac:dyDescent="0.3">
      <c r="A199">
        <v>100194</v>
      </c>
      <c r="B199" s="8">
        <v>45300.041666666657</v>
      </c>
      <c r="C199" t="s">
        <v>14</v>
      </c>
      <c r="D199" t="s">
        <v>60</v>
      </c>
      <c r="E199" t="s">
        <v>66</v>
      </c>
      <c r="F199" t="s">
        <v>72</v>
      </c>
      <c r="G199">
        <v>2</v>
      </c>
      <c r="H199">
        <v>119.73</v>
      </c>
      <c r="I199">
        <v>10</v>
      </c>
      <c r="J199" t="s">
        <v>74</v>
      </c>
      <c r="K199" t="s">
        <v>77</v>
      </c>
      <c r="L199">
        <v>239.46</v>
      </c>
      <c r="M199">
        <v>23.946000000000002</v>
      </c>
      <c r="N199">
        <v>215.51400000000001</v>
      </c>
      <c r="O1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99" s="9" t="str">
        <f ca="1">IF(OR(ISNUMBER(Table13[[#This Row],[Order_Date]])=FALSE,Table13[[#This Row],[Order_Date]]&lt;DATE(2000,1,1),Table13[[#This Row],[Order_Date]]&gt;TODAY()),"YES","NO")</f>
        <v>NO</v>
      </c>
      <c r="Q199" s="9">
        <f>IF(Table13[[#This Row],[Order_Status]] = "Cancelled",0,IF(Table13[[#This Row],[Order_Status]] = "Returned",Table13[[#This Row],[Net_Sales]] * -1,Table13[[#This Row],[Net_Sales]]))</f>
        <v>215.51400000000001</v>
      </c>
      <c r="R199" s="9" t="str">
        <f>IF(Table13[[#This Row],[Gross_Sales]]&gt;=500, "YES","NO")</f>
        <v>NO</v>
      </c>
    </row>
    <row r="200" spans="1:18" x14ac:dyDescent="0.3">
      <c r="A200">
        <v>100195</v>
      </c>
      <c r="B200" s="8">
        <v>45300.083333333343</v>
      </c>
      <c r="C200" t="s">
        <v>14</v>
      </c>
      <c r="D200" t="s">
        <v>31</v>
      </c>
      <c r="E200" t="s">
        <v>68</v>
      </c>
      <c r="F200" t="s">
        <v>71</v>
      </c>
      <c r="G200">
        <v>2</v>
      </c>
      <c r="H200">
        <v>32.770000000000003</v>
      </c>
      <c r="I200">
        <v>10</v>
      </c>
      <c r="J200" t="s">
        <v>73</v>
      </c>
      <c r="K200" t="s">
        <v>77</v>
      </c>
      <c r="L200">
        <v>65.540000000000006</v>
      </c>
      <c r="M200">
        <v>6.5540000000000012</v>
      </c>
      <c r="N200">
        <v>58.985999999999997</v>
      </c>
      <c r="O2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0" s="9" t="str">
        <f ca="1">IF(OR(ISNUMBER(Table13[[#This Row],[Order_Date]])=FALSE,Table13[[#This Row],[Order_Date]]&lt;DATE(2000,1,1),Table13[[#This Row],[Order_Date]]&gt;TODAY()),"YES","NO")</f>
        <v>NO</v>
      </c>
      <c r="Q200" s="9">
        <f>IF(Table13[[#This Row],[Order_Status]] = "Cancelled",0,IF(Table13[[#This Row],[Order_Status]] = "Returned",Table13[[#This Row],[Net_Sales]] * -1,Table13[[#This Row],[Net_Sales]]))</f>
        <v>58.985999999999997</v>
      </c>
      <c r="R200" s="9" t="str">
        <f>IF(Table13[[#This Row],[Gross_Sales]]&gt;=500, "YES","NO")</f>
        <v>NO</v>
      </c>
    </row>
    <row r="201" spans="1:18" x14ac:dyDescent="0.3">
      <c r="A201">
        <v>100196</v>
      </c>
      <c r="B201" s="8">
        <v>45300.125</v>
      </c>
      <c r="C201" t="s">
        <v>15</v>
      </c>
      <c r="D201" t="s">
        <v>35</v>
      </c>
      <c r="E201" t="s">
        <v>68</v>
      </c>
      <c r="F201" t="s">
        <v>71</v>
      </c>
      <c r="G201">
        <v>2</v>
      </c>
      <c r="H201">
        <v>9.64</v>
      </c>
      <c r="I201">
        <v>0</v>
      </c>
      <c r="J201" t="s">
        <v>75</v>
      </c>
      <c r="K201" t="s">
        <v>77</v>
      </c>
      <c r="L201">
        <v>19.28</v>
      </c>
      <c r="M201">
        <v>0</v>
      </c>
      <c r="N201">
        <v>19.28</v>
      </c>
      <c r="O2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1" s="9" t="str">
        <f ca="1">IF(OR(ISNUMBER(Table13[[#This Row],[Order_Date]])=FALSE,Table13[[#This Row],[Order_Date]]&lt;DATE(2000,1,1),Table13[[#This Row],[Order_Date]]&gt;TODAY()),"YES","NO")</f>
        <v>NO</v>
      </c>
      <c r="Q201" s="9">
        <f>IF(Table13[[#This Row],[Order_Status]] = "Cancelled",0,IF(Table13[[#This Row],[Order_Status]] = "Returned",Table13[[#This Row],[Net_Sales]] * -1,Table13[[#This Row],[Net_Sales]]))</f>
        <v>19.28</v>
      </c>
      <c r="R201" s="9" t="str">
        <f>IF(Table13[[#This Row],[Gross_Sales]]&gt;=500, "YES","NO")</f>
        <v>NO</v>
      </c>
    </row>
    <row r="202" spans="1:18" x14ac:dyDescent="0.3">
      <c r="A202">
        <v>100197</v>
      </c>
      <c r="B202" s="8">
        <v>45300.166666666657</v>
      </c>
      <c r="C202" t="s">
        <v>15</v>
      </c>
      <c r="D202" t="s">
        <v>41</v>
      </c>
      <c r="E202" t="s">
        <v>67</v>
      </c>
      <c r="F202" t="s">
        <v>71</v>
      </c>
      <c r="G202">
        <v>3</v>
      </c>
      <c r="H202">
        <v>52.29</v>
      </c>
      <c r="I202">
        <v>0</v>
      </c>
      <c r="J202" t="s">
        <v>76</v>
      </c>
      <c r="K202" t="s">
        <v>77</v>
      </c>
      <c r="L202">
        <v>156.87</v>
      </c>
      <c r="M202">
        <v>0</v>
      </c>
      <c r="N202">
        <v>156.87</v>
      </c>
      <c r="O2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2" s="9" t="str">
        <f ca="1">IF(OR(ISNUMBER(Table13[[#This Row],[Order_Date]])=FALSE,Table13[[#This Row],[Order_Date]]&lt;DATE(2000,1,1),Table13[[#This Row],[Order_Date]]&gt;TODAY()),"YES","NO")</f>
        <v>NO</v>
      </c>
      <c r="Q202" s="9">
        <f>IF(Table13[[#This Row],[Order_Status]] = "Cancelled",0,IF(Table13[[#This Row],[Order_Status]] = "Returned",Table13[[#This Row],[Net_Sales]] * -1,Table13[[#This Row],[Net_Sales]]))</f>
        <v>156.87</v>
      </c>
      <c r="R202" s="9" t="str">
        <f>IF(Table13[[#This Row],[Gross_Sales]]&gt;=500, "YES","NO")</f>
        <v>NO</v>
      </c>
    </row>
    <row r="203" spans="1:18" x14ac:dyDescent="0.3">
      <c r="A203">
        <v>100198</v>
      </c>
      <c r="B203" s="8">
        <v>45300.208333333343</v>
      </c>
      <c r="C203" t="s">
        <v>15</v>
      </c>
      <c r="D203" t="s">
        <v>52</v>
      </c>
      <c r="E203" t="s">
        <v>67</v>
      </c>
      <c r="F203" t="s">
        <v>71</v>
      </c>
      <c r="G203">
        <v>1</v>
      </c>
      <c r="H203">
        <v>19.96</v>
      </c>
      <c r="I203">
        <v>10</v>
      </c>
      <c r="J203" t="s">
        <v>75</v>
      </c>
      <c r="K203" t="s">
        <v>77</v>
      </c>
      <c r="L203">
        <v>19.96</v>
      </c>
      <c r="M203">
        <v>1.996</v>
      </c>
      <c r="N203">
        <v>17.963999999999999</v>
      </c>
      <c r="O2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3" s="9" t="str">
        <f ca="1">IF(OR(ISNUMBER(Table13[[#This Row],[Order_Date]])=FALSE,Table13[[#This Row],[Order_Date]]&lt;DATE(2000,1,1),Table13[[#This Row],[Order_Date]]&gt;TODAY()),"YES","NO")</f>
        <v>NO</v>
      </c>
      <c r="Q203" s="9">
        <f>IF(Table13[[#This Row],[Order_Status]] = "Cancelled",0,IF(Table13[[#This Row],[Order_Status]] = "Returned",Table13[[#This Row],[Net_Sales]] * -1,Table13[[#This Row],[Net_Sales]]))</f>
        <v>17.963999999999999</v>
      </c>
      <c r="R203" s="9" t="str">
        <f>IF(Table13[[#This Row],[Gross_Sales]]&gt;=500, "YES","NO")</f>
        <v>NO</v>
      </c>
    </row>
    <row r="204" spans="1:18" x14ac:dyDescent="0.3">
      <c r="A204">
        <v>100199</v>
      </c>
      <c r="B204" s="8">
        <v>45300.25</v>
      </c>
      <c r="C204" t="s">
        <v>14</v>
      </c>
      <c r="D204" t="s">
        <v>65</v>
      </c>
      <c r="E204" t="s">
        <v>67</v>
      </c>
      <c r="F204" t="s">
        <v>72</v>
      </c>
      <c r="G204">
        <v>4</v>
      </c>
      <c r="H204">
        <v>7.58</v>
      </c>
      <c r="I204">
        <v>5</v>
      </c>
      <c r="J204" t="s">
        <v>76</v>
      </c>
      <c r="K204" t="s">
        <v>77</v>
      </c>
      <c r="L204">
        <v>30.32</v>
      </c>
      <c r="M204">
        <v>1.516</v>
      </c>
      <c r="N204">
        <v>28.803999999999998</v>
      </c>
      <c r="O2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4" s="9" t="str">
        <f ca="1">IF(OR(ISNUMBER(Table13[[#This Row],[Order_Date]])=FALSE,Table13[[#This Row],[Order_Date]]&lt;DATE(2000,1,1),Table13[[#This Row],[Order_Date]]&gt;TODAY()),"YES","NO")</f>
        <v>NO</v>
      </c>
      <c r="Q204" s="9">
        <f>IF(Table13[[#This Row],[Order_Status]] = "Cancelled",0,IF(Table13[[#This Row],[Order_Status]] = "Returned",Table13[[#This Row],[Net_Sales]] * -1,Table13[[#This Row],[Net_Sales]]))</f>
        <v>28.803999999999998</v>
      </c>
      <c r="R204" s="9" t="str">
        <f>IF(Table13[[#This Row],[Gross_Sales]]&gt;=500, "YES","NO")</f>
        <v>NO</v>
      </c>
    </row>
    <row r="205" spans="1:18" x14ac:dyDescent="0.3">
      <c r="A205">
        <v>100200</v>
      </c>
      <c r="B205" s="8">
        <v>45300.291666666657</v>
      </c>
      <c r="C205" t="s">
        <v>14</v>
      </c>
      <c r="D205" t="s">
        <v>48</v>
      </c>
      <c r="E205" t="s">
        <v>70</v>
      </c>
      <c r="F205" t="s">
        <v>71</v>
      </c>
      <c r="G205">
        <v>1</v>
      </c>
      <c r="H205">
        <v>46.45</v>
      </c>
      <c r="I205">
        <v>5</v>
      </c>
      <c r="J205" t="s">
        <v>76</v>
      </c>
      <c r="K205" t="s">
        <v>77</v>
      </c>
      <c r="L205">
        <v>46.45</v>
      </c>
      <c r="M205">
        <v>2.3224999999999998</v>
      </c>
      <c r="N205">
        <v>44.127499999999998</v>
      </c>
      <c r="O2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5" s="9" t="str">
        <f ca="1">IF(OR(ISNUMBER(Table13[[#This Row],[Order_Date]])=FALSE,Table13[[#This Row],[Order_Date]]&lt;DATE(2000,1,1),Table13[[#This Row],[Order_Date]]&gt;TODAY()),"YES","NO")</f>
        <v>NO</v>
      </c>
      <c r="Q205" s="9">
        <f>IF(Table13[[#This Row],[Order_Status]] = "Cancelled",0,IF(Table13[[#This Row],[Order_Status]] = "Returned",Table13[[#This Row],[Net_Sales]] * -1,Table13[[#This Row],[Net_Sales]]))</f>
        <v>44.127499999999998</v>
      </c>
      <c r="R205" s="9" t="str">
        <f>IF(Table13[[#This Row],[Gross_Sales]]&gt;=500, "YES","NO")</f>
        <v>NO</v>
      </c>
    </row>
    <row r="206" spans="1:18" x14ac:dyDescent="0.3">
      <c r="A206">
        <v>100201</v>
      </c>
      <c r="B206" s="8">
        <v>45300.333333333343</v>
      </c>
      <c r="C206" t="s">
        <v>14</v>
      </c>
      <c r="D206" t="s">
        <v>29</v>
      </c>
      <c r="E206" t="s">
        <v>69</v>
      </c>
      <c r="F206" t="s">
        <v>72</v>
      </c>
      <c r="G206">
        <v>1</v>
      </c>
      <c r="H206">
        <v>95.13</v>
      </c>
      <c r="I206">
        <v>10</v>
      </c>
      <c r="J206" t="s">
        <v>73</v>
      </c>
      <c r="K206" t="s">
        <v>77</v>
      </c>
      <c r="L206">
        <v>95.13</v>
      </c>
      <c r="M206">
        <v>9.5129999999999999</v>
      </c>
      <c r="N206">
        <v>85.61699999999999</v>
      </c>
      <c r="O2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6" s="9" t="str">
        <f ca="1">IF(OR(ISNUMBER(Table13[[#This Row],[Order_Date]])=FALSE,Table13[[#This Row],[Order_Date]]&lt;DATE(2000,1,1),Table13[[#This Row],[Order_Date]]&gt;TODAY()),"YES","NO")</f>
        <v>NO</v>
      </c>
      <c r="Q206" s="9">
        <f>IF(Table13[[#This Row],[Order_Status]] = "Cancelled",0,IF(Table13[[#This Row],[Order_Status]] = "Returned",Table13[[#This Row],[Net_Sales]] * -1,Table13[[#This Row],[Net_Sales]]))</f>
        <v>85.61699999999999</v>
      </c>
      <c r="R206" s="9" t="str">
        <f>IF(Table13[[#This Row],[Gross_Sales]]&gt;=500, "YES","NO")</f>
        <v>NO</v>
      </c>
    </row>
    <row r="207" spans="1:18" x14ac:dyDescent="0.3">
      <c r="A207">
        <v>100202</v>
      </c>
      <c r="B207" s="8">
        <v>45300.375</v>
      </c>
      <c r="C207" t="s">
        <v>15</v>
      </c>
      <c r="D207" t="s">
        <v>49</v>
      </c>
      <c r="E207" t="s">
        <v>70</v>
      </c>
      <c r="F207" t="s">
        <v>71</v>
      </c>
      <c r="G207">
        <v>1</v>
      </c>
      <c r="H207">
        <v>70.11</v>
      </c>
      <c r="I207">
        <v>5</v>
      </c>
      <c r="J207" t="s">
        <v>76</v>
      </c>
      <c r="K207" t="s">
        <v>77</v>
      </c>
      <c r="L207">
        <v>70.11</v>
      </c>
      <c r="M207">
        <v>3.5055000000000001</v>
      </c>
      <c r="N207">
        <v>66.604500000000002</v>
      </c>
      <c r="O2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7" s="9" t="str">
        <f ca="1">IF(OR(ISNUMBER(Table13[[#This Row],[Order_Date]])=FALSE,Table13[[#This Row],[Order_Date]]&lt;DATE(2000,1,1),Table13[[#This Row],[Order_Date]]&gt;TODAY()),"YES","NO")</f>
        <v>NO</v>
      </c>
      <c r="Q207" s="9">
        <f>IF(Table13[[#This Row],[Order_Status]] = "Cancelled",0,IF(Table13[[#This Row],[Order_Status]] = "Returned",Table13[[#This Row],[Net_Sales]] * -1,Table13[[#This Row],[Net_Sales]]))</f>
        <v>66.604500000000002</v>
      </c>
      <c r="R207" s="9" t="str">
        <f>IF(Table13[[#This Row],[Gross_Sales]]&gt;=500, "YES","NO")</f>
        <v>NO</v>
      </c>
    </row>
    <row r="208" spans="1:18" x14ac:dyDescent="0.3">
      <c r="A208">
        <v>100203</v>
      </c>
      <c r="B208" s="8">
        <v>45300.416666666657</v>
      </c>
      <c r="C208" t="s">
        <v>14</v>
      </c>
      <c r="D208" t="s">
        <v>24</v>
      </c>
      <c r="E208" t="s">
        <v>69</v>
      </c>
      <c r="F208" t="s">
        <v>72</v>
      </c>
      <c r="G208">
        <v>2</v>
      </c>
      <c r="H208">
        <v>40.97</v>
      </c>
      <c r="I208">
        <v>0</v>
      </c>
      <c r="J208" t="s">
        <v>75</v>
      </c>
      <c r="K208" t="s">
        <v>77</v>
      </c>
      <c r="L208">
        <v>81.94</v>
      </c>
      <c r="M208">
        <v>0</v>
      </c>
      <c r="N208">
        <v>81.94</v>
      </c>
      <c r="O2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8" s="9" t="str">
        <f ca="1">IF(OR(ISNUMBER(Table13[[#This Row],[Order_Date]])=FALSE,Table13[[#This Row],[Order_Date]]&lt;DATE(2000,1,1),Table13[[#This Row],[Order_Date]]&gt;TODAY()),"YES","NO")</f>
        <v>NO</v>
      </c>
      <c r="Q208" s="9">
        <f>IF(Table13[[#This Row],[Order_Status]] = "Cancelled",0,IF(Table13[[#This Row],[Order_Status]] = "Returned",Table13[[#This Row],[Net_Sales]] * -1,Table13[[#This Row],[Net_Sales]]))</f>
        <v>81.94</v>
      </c>
      <c r="R208" s="9" t="str">
        <f>IF(Table13[[#This Row],[Gross_Sales]]&gt;=500, "YES","NO")</f>
        <v>NO</v>
      </c>
    </row>
    <row r="209" spans="1:18" x14ac:dyDescent="0.3">
      <c r="A209">
        <v>100204</v>
      </c>
      <c r="B209" s="8">
        <v>45300.458333333343</v>
      </c>
      <c r="C209" t="s">
        <v>14</v>
      </c>
      <c r="D209" t="s">
        <v>62</v>
      </c>
      <c r="E209" t="s">
        <v>69</v>
      </c>
      <c r="F209" t="s">
        <v>71</v>
      </c>
      <c r="G209">
        <v>5</v>
      </c>
      <c r="H209">
        <v>80.25</v>
      </c>
      <c r="I209">
        <v>5</v>
      </c>
      <c r="J209" t="s">
        <v>76</v>
      </c>
      <c r="K209" t="s">
        <v>77</v>
      </c>
      <c r="L209">
        <v>401.25</v>
      </c>
      <c r="M209">
        <v>20.0625</v>
      </c>
      <c r="N209">
        <v>381.1875</v>
      </c>
      <c r="O2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09" s="9" t="str">
        <f ca="1">IF(OR(ISNUMBER(Table13[[#This Row],[Order_Date]])=FALSE,Table13[[#This Row],[Order_Date]]&lt;DATE(2000,1,1),Table13[[#This Row],[Order_Date]]&gt;TODAY()),"YES","NO")</f>
        <v>NO</v>
      </c>
      <c r="Q209" s="9">
        <f>IF(Table13[[#This Row],[Order_Status]] = "Cancelled",0,IF(Table13[[#This Row],[Order_Status]] = "Returned",Table13[[#This Row],[Net_Sales]] * -1,Table13[[#This Row],[Net_Sales]]))</f>
        <v>381.1875</v>
      </c>
      <c r="R209" s="9" t="str">
        <f>IF(Table13[[#This Row],[Gross_Sales]]&gt;=500, "YES","NO")</f>
        <v>NO</v>
      </c>
    </row>
    <row r="210" spans="1:18" x14ac:dyDescent="0.3">
      <c r="A210">
        <v>100205</v>
      </c>
      <c r="B210" s="8">
        <v>45300.5</v>
      </c>
      <c r="C210" t="s">
        <v>15</v>
      </c>
      <c r="D210" t="s">
        <v>29</v>
      </c>
      <c r="E210" t="s">
        <v>68</v>
      </c>
      <c r="F210" t="s">
        <v>71</v>
      </c>
      <c r="G210">
        <v>2</v>
      </c>
      <c r="H210">
        <v>31.68</v>
      </c>
      <c r="I210">
        <v>5</v>
      </c>
      <c r="J210" t="s">
        <v>74</v>
      </c>
      <c r="K210" t="s">
        <v>77</v>
      </c>
      <c r="L210">
        <v>63.36</v>
      </c>
      <c r="M210">
        <v>3.1680000000000001</v>
      </c>
      <c r="N210">
        <v>60.192</v>
      </c>
      <c r="O2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0" s="9" t="str">
        <f ca="1">IF(OR(ISNUMBER(Table13[[#This Row],[Order_Date]])=FALSE,Table13[[#This Row],[Order_Date]]&lt;DATE(2000,1,1),Table13[[#This Row],[Order_Date]]&gt;TODAY()),"YES","NO")</f>
        <v>NO</v>
      </c>
      <c r="Q210" s="9">
        <f>IF(Table13[[#This Row],[Order_Status]] = "Cancelled",0,IF(Table13[[#This Row],[Order_Status]] = "Returned",Table13[[#This Row],[Net_Sales]] * -1,Table13[[#This Row],[Net_Sales]]))</f>
        <v>60.192</v>
      </c>
      <c r="R210" s="9" t="str">
        <f>IF(Table13[[#This Row],[Gross_Sales]]&gt;=500, "YES","NO")</f>
        <v>NO</v>
      </c>
    </row>
    <row r="211" spans="1:18" x14ac:dyDescent="0.3">
      <c r="A211">
        <v>100206</v>
      </c>
      <c r="B211" s="8">
        <v>45300.541666666657</v>
      </c>
      <c r="C211" t="s">
        <v>14</v>
      </c>
      <c r="D211" t="s">
        <v>35</v>
      </c>
      <c r="E211" t="s">
        <v>68</v>
      </c>
      <c r="F211" t="s">
        <v>72</v>
      </c>
      <c r="G211">
        <v>2</v>
      </c>
      <c r="H211">
        <v>6.65</v>
      </c>
      <c r="I211">
        <v>15</v>
      </c>
      <c r="J211" t="s">
        <v>73</v>
      </c>
      <c r="K211" t="s">
        <v>77</v>
      </c>
      <c r="L211">
        <v>13.3</v>
      </c>
      <c r="M211">
        <v>1.9950000000000001</v>
      </c>
      <c r="N211">
        <v>11.305</v>
      </c>
      <c r="O2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1" s="9" t="str">
        <f ca="1">IF(OR(ISNUMBER(Table13[[#This Row],[Order_Date]])=FALSE,Table13[[#This Row],[Order_Date]]&lt;DATE(2000,1,1),Table13[[#This Row],[Order_Date]]&gt;TODAY()),"YES","NO")</f>
        <v>NO</v>
      </c>
      <c r="Q211" s="9">
        <f>IF(Table13[[#This Row],[Order_Status]] = "Cancelled",0,IF(Table13[[#This Row],[Order_Status]] = "Returned",Table13[[#This Row],[Net_Sales]] * -1,Table13[[#This Row],[Net_Sales]]))</f>
        <v>11.305</v>
      </c>
      <c r="R211" s="9" t="str">
        <f>IF(Table13[[#This Row],[Gross_Sales]]&gt;=500, "YES","NO")</f>
        <v>NO</v>
      </c>
    </row>
    <row r="212" spans="1:18" x14ac:dyDescent="0.3">
      <c r="A212">
        <v>100207</v>
      </c>
      <c r="B212" s="8">
        <v>45300.583333333343</v>
      </c>
      <c r="C212" t="s">
        <v>15</v>
      </c>
      <c r="D212" t="s">
        <v>27</v>
      </c>
      <c r="E212" t="s">
        <v>69</v>
      </c>
      <c r="F212" t="s">
        <v>71</v>
      </c>
      <c r="G212">
        <v>1</v>
      </c>
      <c r="H212">
        <v>92.9</v>
      </c>
      <c r="I212">
        <v>15</v>
      </c>
      <c r="J212" t="s">
        <v>73</v>
      </c>
      <c r="K212" t="s">
        <v>77</v>
      </c>
      <c r="L212">
        <v>92.9</v>
      </c>
      <c r="M212">
        <v>13.935</v>
      </c>
      <c r="N212">
        <v>78.965000000000003</v>
      </c>
      <c r="O2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2" s="9" t="str">
        <f ca="1">IF(OR(ISNUMBER(Table13[[#This Row],[Order_Date]])=FALSE,Table13[[#This Row],[Order_Date]]&lt;DATE(2000,1,1),Table13[[#This Row],[Order_Date]]&gt;TODAY()),"YES","NO")</f>
        <v>NO</v>
      </c>
      <c r="Q212" s="9">
        <f>IF(Table13[[#This Row],[Order_Status]] = "Cancelled",0,IF(Table13[[#This Row],[Order_Status]] = "Returned",Table13[[#This Row],[Net_Sales]] * -1,Table13[[#This Row],[Net_Sales]]))</f>
        <v>78.965000000000003</v>
      </c>
      <c r="R212" s="9" t="str">
        <f>IF(Table13[[#This Row],[Gross_Sales]]&gt;=500, "YES","NO")</f>
        <v>NO</v>
      </c>
    </row>
    <row r="213" spans="1:18" x14ac:dyDescent="0.3">
      <c r="A213">
        <v>100208</v>
      </c>
      <c r="B213" s="8">
        <v>45300.625</v>
      </c>
      <c r="C213" t="s">
        <v>15</v>
      </c>
      <c r="D213" t="s">
        <v>47</v>
      </c>
      <c r="E213" t="s">
        <v>69</v>
      </c>
      <c r="F213" t="s">
        <v>71</v>
      </c>
      <c r="G213">
        <v>2</v>
      </c>
      <c r="H213">
        <v>76.73</v>
      </c>
      <c r="I213">
        <v>15</v>
      </c>
      <c r="J213" t="s">
        <v>74</v>
      </c>
      <c r="K213" t="s">
        <v>77</v>
      </c>
      <c r="L213">
        <v>153.46</v>
      </c>
      <c r="M213">
        <v>23.018999999999998</v>
      </c>
      <c r="N213">
        <v>130.441</v>
      </c>
      <c r="O2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3" s="9" t="str">
        <f ca="1">IF(OR(ISNUMBER(Table13[[#This Row],[Order_Date]])=FALSE,Table13[[#This Row],[Order_Date]]&lt;DATE(2000,1,1),Table13[[#This Row],[Order_Date]]&gt;TODAY()),"YES","NO")</f>
        <v>NO</v>
      </c>
      <c r="Q213" s="9">
        <f>IF(Table13[[#This Row],[Order_Status]] = "Cancelled",0,IF(Table13[[#This Row],[Order_Status]] = "Returned",Table13[[#This Row],[Net_Sales]] * -1,Table13[[#This Row],[Net_Sales]]))</f>
        <v>130.441</v>
      </c>
      <c r="R213" s="9" t="str">
        <f>IF(Table13[[#This Row],[Gross_Sales]]&gt;=500, "YES","NO")</f>
        <v>NO</v>
      </c>
    </row>
    <row r="214" spans="1:18" x14ac:dyDescent="0.3">
      <c r="A214">
        <v>100209</v>
      </c>
      <c r="B214" s="8">
        <v>45300.666666666657</v>
      </c>
      <c r="C214" t="s">
        <v>15</v>
      </c>
      <c r="D214" t="s">
        <v>25</v>
      </c>
      <c r="E214" t="s">
        <v>70</v>
      </c>
      <c r="F214" t="s">
        <v>71</v>
      </c>
      <c r="G214">
        <v>1</v>
      </c>
      <c r="H214">
        <v>92.66</v>
      </c>
      <c r="I214">
        <v>5</v>
      </c>
      <c r="J214" t="s">
        <v>74</v>
      </c>
      <c r="K214" t="s">
        <v>79</v>
      </c>
      <c r="L214">
        <v>92.66</v>
      </c>
      <c r="M214">
        <v>4.633</v>
      </c>
      <c r="N214">
        <v>88.027000000000001</v>
      </c>
      <c r="O2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14" s="9" t="str">
        <f ca="1">IF(OR(ISNUMBER(Table13[[#This Row],[Order_Date]])=FALSE,Table13[[#This Row],[Order_Date]]&lt;DATE(2000,1,1),Table13[[#This Row],[Order_Date]]&gt;TODAY()),"YES","NO")</f>
        <v>NO</v>
      </c>
      <c r="Q214" s="9">
        <f>IF(Table13[[#This Row],[Order_Status]] = "Cancelled",0,IF(Table13[[#This Row],[Order_Status]] = "Returned",Table13[[#This Row],[Net_Sales]] * -1,Table13[[#This Row],[Net_Sales]]))</f>
        <v>0</v>
      </c>
      <c r="R214" s="9" t="str">
        <f>IF(Table13[[#This Row],[Gross_Sales]]&gt;=500, "YES","NO")</f>
        <v>NO</v>
      </c>
    </row>
    <row r="215" spans="1:18" x14ac:dyDescent="0.3">
      <c r="A215">
        <v>100210</v>
      </c>
      <c r="B215" s="8">
        <v>45300.708333333343</v>
      </c>
      <c r="C215" t="s">
        <v>14</v>
      </c>
      <c r="D215" t="s">
        <v>59</v>
      </c>
      <c r="E215" t="s">
        <v>70</v>
      </c>
      <c r="F215" t="s">
        <v>72</v>
      </c>
      <c r="G215">
        <v>5</v>
      </c>
      <c r="H215">
        <v>9.48</v>
      </c>
      <c r="I215">
        <v>10</v>
      </c>
      <c r="J215" t="s">
        <v>74</v>
      </c>
      <c r="K215" t="s">
        <v>77</v>
      </c>
      <c r="L215">
        <v>47.400000000000013</v>
      </c>
      <c r="M215">
        <v>4.7400000000000011</v>
      </c>
      <c r="N215">
        <v>42.66</v>
      </c>
      <c r="O2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5" s="9" t="str">
        <f ca="1">IF(OR(ISNUMBER(Table13[[#This Row],[Order_Date]])=FALSE,Table13[[#This Row],[Order_Date]]&lt;DATE(2000,1,1),Table13[[#This Row],[Order_Date]]&gt;TODAY()),"YES","NO")</f>
        <v>NO</v>
      </c>
      <c r="Q215" s="9">
        <f>IF(Table13[[#This Row],[Order_Status]] = "Cancelled",0,IF(Table13[[#This Row],[Order_Status]] = "Returned",Table13[[#This Row],[Net_Sales]] * -1,Table13[[#This Row],[Net_Sales]]))</f>
        <v>42.66</v>
      </c>
      <c r="R215" s="9" t="str">
        <f>IF(Table13[[#This Row],[Gross_Sales]]&gt;=500, "YES","NO")</f>
        <v>NO</v>
      </c>
    </row>
    <row r="216" spans="1:18" x14ac:dyDescent="0.3">
      <c r="A216">
        <v>100211</v>
      </c>
      <c r="B216" s="8">
        <v>45300.75</v>
      </c>
      <c r="C216" t="s">
        <v>14</v>
      </c>
      <c r="D216" t="s">
        <v>30</v>
      </c>
      <c r="E216" t="s">
        <v>68</v>
      </c>
      <c r="F216" t="s">
        <v>71</v>
      </c>
      <c r="G216">
        <v>4</v>
      </c>
      <c r="H216">
        <v>101.27</v>
      </c>
      <c r="I216">
        <v>0</v>
      </c>
      <c r="J216" t="s">
        <v>76</v>
      </c>
      <c r="K216" t="s">
        <v>77</v>
      </c>
      <c r="L216">
        <v>405.08</v>
      </c>
      <c r="M216">
        <v>0</v>
      </c>
      <c r="N216">
        <v>405.08</v>
      </c>
      <c r="O2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6" s="9" t="str">
        <f ca="1">IF(OR(ISNUMBER(Table13[[#This Row],[Order_Date]])=FALSE,Table13[[#This Row],[Order_Date]]&lt;DATE(2000,1,1),Table13[[#This Row],[Order_Date]]&gt;TODAY()),"YES","NO")</f>
        <v>NO</v>
      </c>
      <c r="Q216" s="9">
        <f>IF(Table13[[#This Row],[Order_Status]] = "Cancelled",0,IF(Table13[[#This Row],[Order_Status]] = "Returned",Table13[[#This Row],[Net_Sales]] * -1,Table13[[#This Row],[Net_Sales]]))</f>
        <v>405.08</v>
      </c>
      <c r="R216" s="9" t="str">
        <f>IF(Table13[[#This Row],[Gross_Sales]]&gt;=500, "YES","NO")</f>
        <v>NO</v>
      </c>
    </row>
    <row r="217" spans="1:18" x14ac:dyDescent="0.3">
      <c r="A217">
        <v>100212</v>
      </c>
      <c r="B217" s="8">
        <v>45300.791666666657</v>
      </c>
      <c r="C217" t="s">
        <v>14</v>
      </c>
      <c r="D217" t="s">
        <v>50</v>
      </c>
      <c r="E217" t="s">
        <v>67</v>
      </c>
      <c r="F217" t="s">
        <v>71</v>
      </c>
      <c r="G217">
        <v>1</v>
      </c>
      <c r="H217">
        <v>76.25</v>
      </c>
      <c r="I217">
        <v>5</v>
      </c>
      <c r="J217" t="s">
        <v>73</v>
      </c>
      <c r="K217" t="s">
        <v>77</v>
      </c>
      <c r="L217">
        <v>76.25</v>
      </c>
      <c r="M217">
        <v>3.8125</v>
      </c>
      <c r="N217">
        <v>72.4375</v>
      </c>
      <c r="O2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7" s="9" t="str">
        <f ca="1">IF(OR(ISNUMBER(Table13[[#This Row],[Order_Date]])=FALSE,Table13[[#This Row],[Order_Date]]&lt;DATE(2000,1,1),Table13[[#This Row],[Order_Date]]&gt;TODAY()),"YES","NO")</f>
        <v>NO</v>
      </c>
      <c r="Q217" s="9">
        <f>IF(Table13[[#This Row],[Order_Status]] = "Cancelled",0,IF(Table13[[#This Row],[Order_Status]] = "Returned",Table13[[#This Row],[Net_Sales]] * -1,Table13[[#This Row],[Net_Sales]]))</f>
        <v>72.4375</v>
      </c>
      <c r="R217" s="9" t="str">
        <f>IF(Table13[[#This Row],[Gross_Sales]]&gt;=500, "YES","NO")</f>
        <v>NO</v>
      </c>
    </row>
    <row r="218" spans="1:18" x14ac:dyDescent="0.3">
      <c r="A218">
        <v>100213</v>
      </c>
      <c r="B218" s="8">
        <v>45300.833333333343</v>
      </c>
      <c r="C218" t="s">
        <v>14</v>
      </c>
      <c r="D218" t="s">
        <v>21</v>
      </c>
      <c r="E218" t="s">
        <v>69</v>
      </c>
      <c r="F218" t="s">
        <v>72</v>
      </c>
      <c r="G218">
        <v>5</v>
      </c>
      <c r="H218">
        <v>69.790000000000006</v>
      </c>
      <c r="I218">
        <v>10</v>
      </c>
      <c r="J218" t="s">
        <v>74</v>
      </c>
      <c r="K218" t="s">
        <v>79</v>
      </c>
      <c r="L218">
        <v>348.95</v>
      </c>
      <c r="M218">
        <v>34.895000000000003</v>
      </c>
      <c r="N218">
        <v>314.05500000000012</v>
      </c>
      <c r="O2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18" s="9" t="str">
        <f ca="1">IF(OR(ISNUMBER(Table13[[#This Row],[Order_Date]])=FALSE,Table13[[#This Row],[Order_Date]]&lt;DATE(2000,1,1),Table13[[#This Row],[Order_Date]]&gt;TODAY()),"YES","NO")</f>
        <v>NO</v>
      </c>
      <c r="Q218" s="9">
        <f>IF(Table13[[#This Row],[Order_Status]] = "Cancelled",0,IF(Table13[[#This Row],[Order_Status]] = "Returned",Table13[[#This Row],[Net_Sales]] * -1,Table13[[#This Row],[Net_Sales]]))</f>
        <v>0</v>
      </c>
      <c r="R218" s="9" t="str">
        <f>IF(Table13[[#This Row],[Gross_Sales]]&gt;=500, "YES","NO")</f>
        <v>NO</v>
      </c>
    </row>
    <row r="219" spans="1:18" x14ac:dyDescent="0.3">
      <c r="A219">
        <v>100214</v>
      </c>
      <c r="B219" s="8">
        <v>45300.875</v>
      </c>
      <c r="C219" t="s">
        <v>14</v>
      </c>
      <c r="D219" t="s">
        <v>32</v>
      </c>
      <c r="E219" t="s">
        <v>70</v>
      </c>
      <c r="F219" t="s">
        <v>72</v>
      </c>
      <c r="G219">
        <v>4</v>
      </c>
      <c r="H219">
        <v>76.83</v>
      </c>
      <c r="I219">
        <v>5</v>
      </c>
      <c r="J219" t="s">
        <v>76</v>
      </c>
      <c r="K219" t="s">
        <v>77</v>
      </c>
      <c r="L219">
        <v>307.32</v>
      </c>
      <c r="M219">
        <v>15.366</v>
      </c>
      <c r="N219">
        <v>291.95400000000001</v>
      </c>
      <c r="O2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19" s="9" t="str">
        <f ca="1">IF(OR(ISNUMBER(Table13[[#This Row],[Order_Date]])=FALSE,Table13[[#This Row],[Order_Date]]&lt;DATE(2000,1,1),Table13[[#This Row],[Order_Date]]&gt;TODAY()),"YES","NO")</f>
        <v>NO</v>
      </c>
      <c r="Q219" s="9">
        <f>IF(Table13[[#This Row],[Order_Status]] = "Cancelled",0,IF(Table13[[#This Row],[Order_Status]] = "Returned",Table13[[#This Row],[Net_Sales]] * -1,Table13[[#This Row],[Net_Sales]]))</f>
        <v>291.95400000000001</v>
      </c>
      <c r="R219" s="9" t="str">
        <f>IF(Table13[[#This Row],[Gross_Sales]]&gt;=500, "YES","NO")</f>
        <v>NO</v>
      </c>
    </row>
    <row r="220" spans="1:18" x14ac:dyDescent="0.3">
      <c r="A220">
        <v>100215</v>
      </c>
      <c r="B220" s="8">
        <v>45300.916666666657</v>
      </c>
      <c r="C220" t="s">
        <v>14</v>
      </c>
      <c r="D220" t="s">
        <v>56</v>
      </c>
      <c r="E220" t="s">
        <v>68</v>
      </c>
      <c r="F220" t="s">
        <v>72</v>
      </c>
      <c r="G220">
        <v>3</v>
      </c>
      <c r="H220">
        <v>104.41</v>
      </c>
      <c r="I220">
        <v>0</v>
      </c>
      <c r="J220" t="s">
        <v>74</v>
      </c>
      <c r="K220" t="s">
        <v>77</v>
      </c>
      <c r="L220">
        <v>313.23</v>
      </c>
      <c r="M220">
        <v>0</v>
      </c>
      <c r="N220">
        <v>313.23</v>
      </c>
      <c r="O2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0" s="9" t="str">
        <f ca="1">IF(OR(ISNUMBER(Table13[[#This Row],[Order_Date]])=FALSE,Table13[[#This Row],[Order_Date]]&lt;DATE(2000,1,1),Table13[[#This Row],[Order_Date]]&gt;TODAY()),"YES","NO")</f>
        <v>NO</v>
      </c>
      <c r="Q220" s="9">
        <f>IF(Table13[[#This Row],[Order_Status]] = "Cancelled",0,IF(Table13[[#This Row],[Order_Status]] = "Returned",Table13[[#This Row],[Net_Sales]] * -1,Table13[[#This Row],[Net_Sales]]))</f>
        <v>313.23</v>
      </c>
      <c r="R220" s="9" t="str">
        <f>IF(Table13[[#This Row],[Gross_Sales]]&gt;=500, "YES","NO")</f>
        <v>NO</v>
      </c>
    </row>
    <row r="221" spans="1:18" x14ac:dyDescent="0.3">
      <c r="A221">
        <v>100216</v>
      </c>
      <c r="B221" s="8">
        <v>45300.958333333343</v>
      </c>
      <c r="C221" t="s">
        <v>14</v>
      </c>
      <c r="D221" t="s">
        <v>16</v>
      </c>
      <c r="E221" t="s">
        <v>70</v>
      </c>
      <c r="F221" t="s">
        <v>71</v>
      </c>
      <c r="G221">
        <v>1</v>
      </c>
      <c r="H221">
        <v>72.5</v>
      </c>
      <c r="I221">
        <v>5</v>
      </c>
      <c r="J221" t="s">
        <v>75</v>
      </c>
      <c r="K221" t="s">
        <v>77</v>
      </c>
      <c r="L221">
        <v>72.5</v>
      </c>
      <c r="M221">
        <v>3.625</v>
      </c>
      <c r="N221">
        <v>68.875</v>
      </c>
      <c r="O2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1" s="9" t="str">
        <f ca="1">IF(OR(ISNUMBER(Table13[[#This Row],[Order_Date]])=FALSE,Table13[[#This Row],[Order_Date]]&lt;DATE(2000,1,1),Table13[[#This Row],[Order_Date]]&gt;TODAY()),"YES","NO")</f>
        <v>NO</v>
      </c>
      <c r="Q221" s="9">
        <f>IF(Table13[[#This Row],[Order_Status]] = "Cancelled",0,IF(Table13[[#This Row],[Order_Status]] = "Returned",Table13[[#This Row],[Net_Sales]] * -1,Table13[[#This Row],[Net_Sales]]))</f>
        <v>68.875</v>
      </c>
      <c r="R221" s="9" t="str">
        <f>IF(Table13[[#This Row],[Gross_Sales]]&gt;=500, "YES","NO")</f>
        <v>NO</v>
      </c>
    </row>
    <row r="222" spans="1:18" x14ac:dyDescent="0.3">
      <c r="A222">
        <v>100217</v>
      </c>
      <c r="B222" s="8">
        <v>45301</v>
      </c>
      <c r="C222" t="s">
        <v>15</v>
      </c>
      <c r="D222" t="s">
        <v>56</v>
      </c>
      <c r="E222" t="s">
        <v>69</v>
      </c>
      <c r="F222" t="s">
        <v>71</v>
      </c>
      <c r="G222">
        <v>1</v>
      </c>
      <c r="H222">
        <v>71.81</v>
      </c>
      <c r="I222">
        <v>0</v>
      </c>
      <c r="J222" t="s">
        <v>75</v>
      </c>
      <c r="K222" t="s">
        <v>77</v>
      </c>
      <c r="L222">
        <v>71.81</v>
      </c>
      <c r="M222">
        <v>0</v>
      </c>
      <c r="N222">
        <v>71.81</v>
      </c>
      <c r="O2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2" s="9" t="str">
        <f ca="1">IF(OR(ISNUMBER(Table13[[#This Row],[Order_Date]])=FALSE,Table13[[#This Row],[Order_Date]]&lt;DATE(2000,1,1),Table13[[#This Row],[Order_Date]]&gt;TODAY()),"YES","NO")</f>
        <v>NO</v>
      </c>
      <c r="Q222" s="9">
        <f>IF(Table13[[#This Row],[Order_Status]] = "Cancelled",0,IF(Table13[[#This Row],[Order_Status]] = "Returned",Table13[[#This Row],[Net_Sales]] * -1,Table13[[#This Row],[Net_Sales]]))</f>
        <v>71.81</v>
      </c>
      <c r="R222" s="9" t="str">
        <f>IF(Table13[[#This Row],[Gross_Sales]]&gt;=500, "YES","NO")</f>
        <v>NO</v>
      </c>
    </row>
    <row r="223" spans="1:18" x14ac:dyDescent="0.3">
      <c r="A223">
        <v>100218</v>
      </c>
      <c r="B223" s="8">
        <v>45301.041666666657</v>
      </c>
      <c r="C223" t="s">
        <v>14</v>
      </c>
      <c r="D223" t="s">
        <v>42</v>
      </c>
      <c r="E223" t="s">
        <v>69</v>
      </c>
      <c r="F223" t="s">
        <v>71</v>
      </c>
      <c r="G223">
        <v>3</v>
      </c>
      <c r="H223">
        <v>118.93</v>
      </c>
      <c r="I223">
        <v>5</v>
      </c>
      <c r="J223" t="s">
        <v>73</v>
      </c>
      <c r="K223" t="s">
        <v>77</v>
      </c>
      <c r="L223">
        <v>356.79</v>
      </c>
      <c r="M223">
        <v>17.839500000000001</v>
      </c>
      <c r="N223">
        <v>338.95049999999998</v>
      </c>
      <c r="O2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3" s="9" t="str">
        <f ca="1">IF(OR(ISNUMBER(Table13[[#This Row],[Order_Date]])=FALSE,Table13[[#This Row],[Order_Date]]&lt;DATE(2000,1,1),Table13[[#This Row],[Order_Date]]&gt;TODAY()),"YES","NO")</f>
        <v>NO</v>
      </c>
      <c r="Q223" s="9">
        <f>IF(Table13[[#This Row],[Order_Status]] = "Cancelled",0,IF(Table13[[#This Row],[Order_Status]] = "Returned",Table13[[#This Row],[Net_Sales]] * -1,Table13[[#This Row],[Net_Sales]]))</f>
        <v>338.95049999999998</v>
      </c>
      <c r="R223" s="9" t="str">
        <f>IF(Table13[[#This Row],[Gross_Sales]]&gt;=500, "YES","NO")</f>
        <v>NO</v>
      </c>
    </row>
    <row r="224" spans="1:18" x14ac:dyDescent="0.3">
      <c r="A224">
        <v>100219</v>
      </c>
      <c r="B224" s="8">
        <v>45301.083333333343</v>
      </c>
      <c r="C224" t="s">
        <v>15</v>
      </c>
      <c r="D224" t="s">
        <v>41</v>
      </c>
      <c r="E224" t="s">
        <v>66</v>
      </c>
      <c r="F224" t="s">
        <v>72</v>
      </c>
      <c r="G224">
        <v>3</v>
      </c>
      <c r="H224">
        <v>92.02</v>
      </c>
      <c r="I224">
        <v>0</v>
      </c>
      <c r="J224" t="s">
        <v>76</v>
      </c>
      <c r="K224" t="s">
        <v>77</v>
      </c>
      <c r="L224">
        <v>276.06</v>
      </c>
      <c r="M224">
        <v>0</v>
      </c>
      <c r="N224">
        <v>276.06</v>
      </c>
      <c r="O2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4" s="9" t="str">
        <f ca="1">IF(OR(ISNUMBER(Table13[[#This Row],[Order_Date]])=FALSE,Table13[[#This Row],[Order_Date]]&lt;DATE(2000,1,1),Table13[[#This Row],[Order_Date]]&gt;TODAY()),"YES","NO")</f>
        <v>NO</v>
      </c>
      <c r="Q224" s="9">
        <f>IF(Table13[[#This Row],[Order_Status]] = "Cancelled",0,IF(Table13[[#This Row],[Order_Status]] = "Returned",Table13[[#This Row],[Net_Sales]] * -1,Table13[[#This Row],[Net_Sales]]))</f>
        <v>276.06</v>
      </c>
      <c r="R224" s="9" t="str">
        <f>IF(Table13[[#This Row],[Gross_Sales]]&gt;=500, "YES","NO")</f>
        <v>NO</v>
      </c>
    </row>
    <row r="225" spans="1:18" x14ac:dyDescent="0.3">
      <c r="A225">
        <v>100220</v>
      </c>
      <c r="B225" s="8">
        <v>45301.125</v>
      </c>
      <c r="C225" t="s">
        <v>14</v>
      </c>
      <c r="D225" t="s">
        <v>58</v>
      </c>
      <c r="E225" t="s">
        <v>67</v>
      </c>
      <c r="F225" t="s">
        <v>71</v>
      </c>
      <c r="G225">
        <v>1</v>
      </c>
      <c r="H225">
        <v>55.86</v>
      </c>
      <c r="I225">
        <v>5</v>
      </c>
      <c r="J225" t="s">
        <v>75</v>
      </c>
      <c r="K225" t="s">
        <v>77</v>
      </c>
      <c r="L225">
        <v>55.86</v>
      </c>
      <c r="M225">
        <v>2.7930000000000001</v>
      </c>
      <c r="N225">
        <v>53.067</v>
      </c>
      <c r="O2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5" s="9" t="str">
        <f ca="1">IF(OR(ISNUMBER(Table13[[#This Row],[Order_Date]])=FALSE,Table13[[#This Row],[Order_Date]]&lt;DATE(2000,1,1),Table13[[#This Row],[Order_Date]]&gt;TODAY()),"YES","NO")</f>
        <v>NO</v>
      </c>
      <c r="Q225" s="9">
        <f>IF(Table13[[#This Row],[Order_Status]] = "Cancelled",0,IF(Table13[[#This Row],[Order_Status]] = "Returned",Table13[[#This Row],[Net_Sales]] * -1,Table13[[#This Row],[Net_Sales]]))</f>
        <v>53.067</v>
      </c>
      <c r="R225" s="9" t="str">
        <f>IF(Table13[[#This Row],[Gross_Sales]]&gt;=500, "YES","NO")</f>
        <v>NO</v>
      </c>
    </row>
    <row r="226" spans="1:18" x14ac:dyDescent="0.3">
      <c r="A226">
        <v>100221</v>
      </c>
      <c r="B226" s="8">
        <v>45301.166666666657</v>
      </c>
      <c r="C226" t="s">
        <v>14</v>
      </c>
      <c r="D226" t="s">
        <v>30</v>
      </c>
      <c r="E226" t="s">
        <v>66</v>
      </c>
      <c r="F226" t="s">
        <v>71</v>
      </c>
      <c r="G226">
        <v>3</v>
      </c>
      <c r="H226">
        <v>86.35</v>
      </c>
      <c r="I226">
        <v>0</v>
      </c>
      <c r="J226" t="s">
        <v>75</v>
      </c>
      <c r="K226" t="s">
        <v>77</v>
      </c>
      <c r="L226">
        <v>259.05</v>
      </c>
      <c r="M226">
        <v>0</v>
      </c>
      <c r="N226">
        <v>259.05</v>
      </c>
      <c r="O2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6" s="9" t="str">
        <f ca="1">IF(OR(ISNUMBER(Table13[[#This Row],[Order_Date]])=FALSE,Table13[[#This Row],[Order_Date]]&lt;DATE(2000,1,1),Table13[[#This Row],[Order_Date]]&gt;TODAY()),"YES","NO")</f>
        <v>NO</v>
      </c>
      <c r="Q226" s="9">
        <f>IF(Table13[[#This Row],[Order_Status]] = "Cancelled",0,IF(Table13[[#This Row],[Order_Status]] = "Returned",Table13[[#This Row],[Net_Sales]] * -1,Table13[[#This Row],[Net_Sales]]))</f>
        <v>259.05</v>
      </c>
      <c r="R226" s="9" t="str">
        <f>IF(Table13[[#This Row],[Gross_Sales]]&gt;=500, "YES","NO")</f>
        <v>NO</v>
      </c>
    </row>
    <row r="227" spans="1:18" x14ac:dyDescent="0.3">
      <c r="A227">
        <v>100222</v>
      </c>
      <c r="B227" s="8">
        <v>45301.208333333343</v>
      </c>
      <c r="C227" t="s">
        <v>14</v>
      </c>
      <c r="D227" t="s">
        <v>16</v>
      </c>
      <c r="E227" t="s">
        <v>68</v>
      </c>
      <c r="F227" t="s">
        <v>72</v>
      </c>
      <c r="G227">
        <v>2</v>
      </c>
      <c r="H227">
        <v>49.76</v>
      </c>
      <c r="I227">
        <v>15</v>
      </c>
      <c r="J227" t="s">
        <v>76</v>
      </c>
      <c r="K227" t="s">
        <v>77</v>
      </c>
      <c r="L227">
        <v>99.52</v>
      </c>
      <c r="M227">
        <v>14.928000000000001</v>
      </c>
      <c r="N227">
        <v>84.591999999999999</v>
      </c>
      <c r="O2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7" s="9" t="str">
        <f ca="1">IF(OR(ISNUMBER(Table13[[#This Row],[Order_Date]])=FALSE,Table13[[#This Row],[Order_Date]]&lt;DATE(2000,1,1),Table13[[#This Row],[Order_Date]]&gt;TODAY()),"YES","NO")</f>
        <v>NO</v>
      </c>
      <c r="Q227" s="9">
        <f>IF(Table13[[#This Row],[Order_Status]] = "Cancelled",0,IF(Table13[[#This Row],[Order_Status]] = "Returned",Table13[[#This Row],[Net_Sales]] * -1,Table13[[#This Row],[Net_Sales]]))</f>
        <v>84.591999999999999</v>
      </c>
      <c r="R227" s="9" t="str">
        <f>IF(Table13[[#This Row],[Gross_Sales]]&gt;=500, "YES","NO")</f>
        <v>NO</v>
      </c>
    </row>
    <row r="228" spans="1:18" x14ac:dyDescent="0.3">
      <c r="A228">
        <v>100223</v>
      </c>
      <c r="B228" s="8">
        <v>45301.25</v>
      </c>
      <c r="C228" t="s">
        <v>15</v>
      </c>
      <c r="D228" t="s">
        <v>20</v>
      </c>
      <c r="E228" t="s">
        <v>70</v>
      </c>
      <c r="F228" t="s">
        <v>72</v>
      </c>
      <c r="G228">
        <v>4</v>
      </c>
      <c r="H228">
        <v>31.32</v>
      </c>
      <c r="I228">
        <v>5</v>
      </c>
      <c r="J228" t="s">
        <v>74</v>
      </c>
      <c r="K228" t="s">
        <v>77</v>
      </c>
      <c r="L228">
        <v>125.28</v>
      </c>
      <c r="M228">
        <v>6.2640000000000002</v>
      </c>
      <c r="N228">
        <v>119.01600000000001</v>
      </c>
      <c r="O2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8" s="9" t="str">
        <f ca="1">IF(OR(ISNUMBER(Table13[[#This Row],[Order_Date]])=FALSE,Table13[[#This Row],[Order_Date]]&lt;DATE(2000,1,1),Table13[[#This Row],[Order_Date]]&gt;TODAY()),"YES","NO")</f>
        <v>NO</v>
      </c>
      <c r="Q228" s="9">
        <f>IF(Table13[[#This Row],[Order_Status]] = "Cancelled",0,IF(Table13[[#This Row],[Order_Status]] = "Returned",Table13[[#This Row],[Net_Sales]] * -1,Table13[[#This Row],[Net_Sales]]))</f>
        <v>119.01600000000001</v>
      </c>
      <c r="R228" s="9" t="str">
        <f>IF(Table13[[#This Row],[Gross_Sales]]&gt;=500, "YES","NO")</f>
        <v>NO</v>
      </c>
    </row>
    <row r="229" spans="1:18" x14ac:dyDescent="0.3">
      <c r="A229">
        <v>100224</v>
      </c>
      <c r="B229" s="8">
        <v>45301.291666666657</v>
      </c>
      <c r="C229" t="s">
        <v>15</v>
      </c>
      <c r="D229" t="s">
        <v>19</v>
      </c>
      <c r="E229" t="s">
        <v>68</v>
      </c>
      <c r="F229" t="s">
        <v>72</v>
      </c>
      <c r="G229">
        <v>4</v>
      </c>
      <c r="H229">
        <v>73.64</v>
      </c>
      <c r="I229">
        <v>5</v>
      </c>
      <c r="J229" t="s">
        <v>76</v>
      </c>
      <c r="K229" t="s">
        <v>77</v>
      </c>
      <c r="L229">
        <v>294.56</v>
      </c>
      <c r="M229">
        <v>14.728</v>
      </c>
      <c r="N229">
        <v>279.83199999999999</v>
      </c>
      <c r="O2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29" s="9" t="str">
        <f ca="1">IF(OR(ISNUMBER(Table13[[#This Row],[Order_Date]])=FALSE,Table13[[#This Row],[Order_Date]]&lt;DATE(2000,1,1),Table13[[#This Row],[Order_Date]]&gt;TODAY()),"YES","NO")</f>
        <v>NO</v>
      </c>
      <c r="Q229" s="9">
        <f>IF(Table13[[#This Row],[Order_Status]] = "Cancelled",0,IF(Table13[[#This Row],[Order_Status]] = "Returned",Table13[[#This Row],[Net_Sales]] * -1,Table13[[#This Row],[Net_Sales]]))</f>
        <v>279.83199999999999</v>
      </c>
      <c r="R229" s="9" t="str">
        <f>IF(Table13[[#This Row],[Gross_Sales]]&gt;=500, "YES","NO")</f>
        <v>NO</v>
      </c>
    </row>
    <row r="230" spans="1:18" x14ac:dyDescent="0.3">
      <c r="A230">
        <v>100225</v>
      </c>
      <c r="B230" s="8">
        <v>45301.333333333343</v>
      </c>
      <c r="C230" t="s">
        <v>15</v>
      </c>
      <c r="D230" t="s">
        <v>30</v>
      </c>
      <c r="E230" t="s">
        <v>69</v>
      </c>
      <c r="F230" t="s">
        <v>72</v>
      </c>
      <c r="G230">
        <v>4</v>
      </c>
      <c r="H230">
        <v>111.74</v>
      </c>
      <c r="I230">
        <v>10</v>
      </c>
      <c r="J230" t="s">
        <v>74</v>
      </c>
      <c r="K230" t="s">
        <v>77</v>
      </c>
      <c r="L230">
        <v>446.96</v>
      </c>
      <c r="M230">
        <v>44.695999999999998</v>
      </c>
      <c r="N230">
        <v>402.26400000000001</v>
      </c>
      <c r="O2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0" s="9" t="str">
        <f ca="1">IF(OR(ISNUMBER(Table13[[#This Row],[Order_Date]])=FALSE,Table13[[#This Row],[Order_Date]]&lt;DATE(2000,1,1),Table13[[#This Row],[Order_Date]]&gt;TODAY()),"YES","NO")</f>
        <v>NO</v>
      </c>
      <c r="Q230" s="9">
        <f>IF(Table13[[#This Row],[Order_Status]] = "Cancelled",0,IF(Table13[[#This Row],[Order_Status]] = "Returned",Table13[[#This Row],[Net_Sales]] * -1,Table13[[#This Row],[Net_Sales]]))</f>
        <v>402.26400000000001</v>
      </c>
      <c r="R230" s="9" t="str">
        <f>IF(Table13[[#This Row],[Gross_Sales]]&gt;=500, "YES","NO")</f>
        <v>NO</v>
      </c>
    </row>
    <row r="231" spans="1:18" x14ac:dyDescent="0.3">
      <c r="A231">
        <v>100226</v>
      </c>
      <c r="B231" s="8">
        <v>45301.375</v>
      </c>
      <c r="C231" t="s">
        <v>15</v>
      </c>
      <c r="D231" t="s">
        <v>53</v>
      </c>
      <c r="E231" t="s">
        <v>66</v>
      </c>
      <c r="F231" t="s">
        <v>72</v>
      </c>
      <c r="G231">
        <v>2</v>
      </c>
      <c r="H231">
        <v>111.85</v>
      </c>
      <c r="I231">
        <v>10</v>
      </c>
      <c r="J231" t="s">
        <v>75</v>
      </c>
      <c r="K231" t="s">
        <v>77</v>
      </c>
      <c r="L231">
        <v>223.7</v>
      </c>
      <c r="M231">
        <v>22.37</v>
      </c>
      <c r="N231">
        <v>201.33</v>
      </c>
      <c r="O2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1" s="9" t="str">
        <f ca="1">IF(OR(ISNUMBER(Table13[[#This Row],[Order_Date]])=FALSE,Table13[[#This Row],[Order_Date]]&lt;DATE(2000,1,1),Table13[[#This Row],[Order_Date]]&gt;TODAY()),"YES","NO")</f>
        <v>NO</v>
      </c>
      <c r="Q231" s="9">
        <f>IF(Table13[[#This Row],[Order_Status]] = "Cancelled",0,IF(Table13[[#This Row],[Order_Status]] = "Returned",Table13[[#This Row],[Net_Sales]] * -1,Table13[[#This Row],[Net_Sales]]))</f>
        <v>201.33</v>
      </c>
      <c r="R231" s="9" t="str">
        <f>IF(Table13[[#This Row],[Gross_Sales]]&gt;=500, "YES","NO")</f>
        <v>NO</v>
      </c>
    </row>
    <row r="232" spans="1:18" x14ac:dyDescent="0.3">
      <c r="A232">
        <v>100227</v>
      </c>
      <c r="B232" s="8">
        <v>45301.416666666657</v>
      </c>
      <c r="C232" t="s">
        <v>14</v>
      </c>
      <c r="D232" t="s">
        <v>32</v>
      </c>
      <c r="E232" t="s">
        <v>66</v>
      </c>
      <c r="F232" t="s">
        <v>71</v>
      </c>
      <c r="G232">
        <v>3</v>
      </c>
      <c r="H232">
        <v>44.32</v>
      </c>
      <c r="I232">
        <v>0</v>
      </c>
      <c r="J232" t="s">
        <v>75</v>
      </c>
      <c r="K232" t="s">
        <v>77</v>
      </c>
      <c r="L232">
        <v>132.96</v>
      </c>
      <c r="M232">
        <v>0</v>
      </c>
      <c r="N232">
        <v>132.96</v>
      </c>
      <c r="O2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2" s="9" t="str">
        <f ca="1">IF(OR(ISNUMBER(Table13[[#This Row],[Order_Date]])=FALSE,Table13[[#This Row],[Order_Date]]&lt;DATE(2000,1,1),Table13[[#This Row],[Order_Date]]&gt;TODAY()),"YES","NO")</f>
        <v>NO</v>
      </c>
      <c r="Q232" s="9">
        <f>IF(Table13[[#This Row],[Order_Status]] = "Cancelled",0,IF(Table13[[#This Row],[Order_Status]] = "Returned",Table13[[#This Row],[Net_Sales]] * -1,Table13[[#This Row],[Net_Sales]]))</f>
        <v>132.96</v>
      </c>
      <c r="R232" s="9" t="str">
        <f>IF(Table13[[#This Row],[Gross_Sales]]&gt;=500, "YES","NO")</f>
        <v>NO</v>
      </c>
    </row>
    <row r="233" spans="1:18" x14ac:dyDescent="0.3">
      <c r="A233">
        <v>100228</v>
      </c>
      <c r="B233" s="8">
        <v>45301.458333333343</v>
      </c>
      <c r="C233" t="s">
        <v>15</v>
      </c>
      <c r="D233" t="s">
        <v>48</v>
      </c>
      <c r="E233" t="s">
        <v>66</v>
      </c>
      <c r="F233" t="s">
        <v>72</v>
      </c>
      <c r="G233">
        <v>5</v>
      </c>
      <c r="H233">
        <v>65.680000000000007</v>
      </c>
      <c r="I233">
        <v>5</v>
      </c>
      <c r="J233" t="s">
        <v>75</v>
      </c>
      <c r="K233" t="s">
        <v>77</v>
      </c>
      <c r="L233">
        <v>328.4</v>
      </c>
      <c r="M233">
        <v>16.420000000000002</v>
      </c>
      <c r="N233">
        <v>311.98</v>
      </c>
      <c r="O2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3" s="9" t="str">
        <f ca="1">IF(OR(ISNUMBER(Table13[[#This Row],[Order_Date]])=FALSE,Table13[[#This Row],[Order_Date]]&lt;DATE(2000,1,1),Table13[[#This Row],[Order_Date]]&gt;TODAY()),"YES","NO")</f>
        <v>NO</v>
      </c>
      <c r="Q233" s="9">
        <f>IF(Table13[[#This Row],[Order_Status]] = "Cancelled",0,IF(Table13[[#This Row],[Order_Status]] = "Returned",Table13[[#This Row],[Net_Sales]] * -1,Table13[[#This Row],[Net_Sales]]))</f>
        <v>311.98</v>
      </c>
      <c r="R233" s="9" t="str">
        <f>IF(Table13[[#This Row],[Gross_Sales]]&gt;=500, "YES","NO")</f>
        <v>NO</v>
      </c>
    </row>
    <row r="234" spans="1:18" x14ac:dyDescent="0.3">
      <c r="A234">
        <v>100229</v>
      </c>
      <c r="B234" s="8">
        <v>45301.5</v>
      </c>
      <c r="C234" t="s">
        <v>14</v>
      </c>
      <c r="D234" t="s">
        <v>45</v>
      </c>
      <c r="E234" t="s">
        <v>68</v>
      </c>
      <c r="F234" t="s">
        <v>71</v>
      </c>
      <c r="G234">
        <v>3</v>
      </c>
      <c r="H234">
        <v>29.34</v>
      </c>
      <c r="I234">
        <v>0</v>
      </c>
      <c r="J234" t="s">
        <v>73</v>
      </c>
      <c r="K234" t="s">
        <v>77</v>
      </c>
      <c r="L234">
        <v>88.02</v>
      </c>
      <c r="M234">
        <v>0</v>
      </c>
      <c r="N234">
        <v>88.02</v>
      </c>
      <c r="O2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4" s="9" t="str">
        <f ca="1">IF(OR(ISNUMBER(Table13[[#This Row],[Order_Date]])=FALSE,Table13[[#This Row],[Order_Date]]&lt;DATE(2000,1,1),Table13[[#This Row],[Order_Date]]&gt;TODAY()),"YES","NO")</f>
        <v>NO</v>
      </c>
      <c r="Q234" s="9">
        <f>IF(Table13[[#This Row],[Order_Status]] = "Cancelled",0,IF(Table13[[#This Row],[Order_Status]] = "Returned",Table13[[#This Row],[Net_Sales]] * -1,Table13[[#This Row],[Net_Sales]]))</f>
        <v>88.02</v>
      </c>
      <c r="R234" s="9" t="str">
        <f>IF(Table13[[#This Row],[Gross_Sales]]&gt;=500, "YES","NO")</f>
        <v>NO</v>
      </c>
    </row>
    <row r="235" spans="1:18" x14ac:dyDescent="0.3">
      <c r="A235">
        <v>100230</v>
      </c>
      <c r="B235" s="8">
        <v>45301.541666666657</v>
      </c>
      <c r="C235" t="s">
        <v>14</v>
      </c>
      <c r="D235" t="s">
        <v>35</v>
      </c>
      <c r="E235" t="s">
        <v>69</v>
      </c>
      <c r="F235" t="s">
        <v>71</v>
      </c>
      <c r="G235">
        <v>1</v>
      </c>
      <c r="H235">
        <v>119.5</v>
      </c>
      <c r="I235">
        <v>15</v>
      </c>
      <c r="J235" t="s">
        <v>73</v>
      </c>
      <c r="K235" t="s">
        <v>79</v>
      </c>
      <c r="L235">
        <v>119.5</v>
      </c>
      <c r="M235">
        <v>17.925000000000001</v>
      </c>
      <c r="N235">
        <v>101.575</v>
      </c>
      <c r="O2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35" s="9" t="str">
        <f ca="1">IF(OR(ISNUMBER(Table13[[#This Row],[Order_Date]])=FALSE,Table13[[#This Row],[Order_Date]]&lt;DATE(2000,1,1),Table13[[#This Row],[Order_Date]]&gt;TODAY()),"YES","NO")</f>
        <v>NO</v>
      </c>
      <c r="Q235" s="9">
        <f>IF(Table13[[#This Row],[Order_Status]] = "Cancelled",0,IF(Table13[[#This Row],[Order_Status]] = "Returned",Table13[[#This Row],[Net_Sales]] * -1,Table13[[#This Row],[Net_Sales]]))</f>
        <v>0</v>
      </c>
      <c r="R235" s="9" t="str">
        <f>IF(Table13[[#This Row],[Gross_Sales]]&gt;=500, "YES","NO")</f>
        <v>NO</v>
      </c>
    </row>
    <row r="236" spans="1:18" x14ac:dyDescent="0.3">
      <c r="A236">
        <v>100231</v>
      </c>
      <c r="B236" s="8">
        <v>45301.583333333343</v>
      </c>
      <c r="C236" t="s">
        <v>15</v>
      </c>
      <c r="D236" t="s">
        <v>27</v>
      </c>
      <c r="E236" t="s">
        <v>70</v>
      </c>
      <c r="F236" t="s">
        <v>72</v>
      </c>
      <c r="G236">
        <v>4</v>
      </c>
      <c r="H236">
        <v>117.83</v>
      </c>
      <c r="I236">
        <v>10</v>
      </c>
      <c r="J236" t="s">
        <v>73</v>
      </c>
      <c r="K236" t="s">
        <v>77</v>
      </c>
      <c r="L236">
        <v>471.32</v>
      </c>
      <c r="M236">
        <v>47.132000000000012</v>
      </c>
      <c r="N236">
        <v>424.18799999999999</v>
      </c>
      <c r="O2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6" s="9" t="str">
        <f ca="1">IF(OR(ISNUMBER(Table13[[#This Row],[Order_Date]])=FALSE,Table13[[#This Row],[Order_Date]]&lt;DATE(2000,1,1),Table13[[#This Row],[Order_Date]]&gt;TODAY()),"YES","NO")</f>
        <v>NO</v>
      </c>
      <c r="Q236" s="9">
        <f>IF(Table13[[#This Row],[Order_Status]] = "Cancelled",0,IF(Table13[[#This Row],[Order_Status]] = "Returned",Table13[[#This Row],[Net_Sales]] * -1,Table13[[#This Row],[Net_Sales]]))</f>
        <v>424.18799999999999</v>
      </c>
      <c r="R236" s="9" t="str">
        <f>IF(Table13[[#This Row],[Gross_Sales]]&gt;=500, "YES","NO")</f>
        <v>NO</v>
      </c>
    </row>
    <row r="237" spans="1:18" x14ac:dyDescent="0.3">
      <c r="A237">
        <v>100232</v>
      </c>
      <c r="B237" s="8">
        <v>45301.625</v>
      </c>
      <c r="C237" t="s">
        <v>15</v>
      </c>
      <c r="D237" t="s">
        <v>29</v>
      </c>
      <c r="E237" t="s">
        <v>70</v>
      </c>
      <c r="F237" t="s">
        <v>72</v>
      </c>
      <c r="G237">
        <v>3</v>
      </c>
      <c r="H237">
        <v>79.69</v>
      </c>
      <c r="I237">
        <v>0</v>
      </c>
      <c r="J237" t="s">
        <v>76</v>
      </c>
      <c r="K237" t="s">
        <v>77</v>
      </c>
      <c r="L237">
        <v>239.07</v>
      </c>
      <c r="M237">
        <v>0</v>
      </c>
      <c r="N237">
        <v>239.07</v>
      </c>
      <c r="O2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7" s="9" t="str">
        <f ca="1">IF(OR(ISNUMBER(Table13[[#This Row],[Order_Date]])=FALSE,Table13[[#This Row],[Order_Date]]&lt;DATE(2000,1,1),Table13[[#This Row],[Order_Date]]&gt;TODAY()),"YES","NO")</f>
        <v>NO</v>
      </c>
      <c r="Q237" s="9">
        <f>IF(Table13[[#This Row],[Order_Status]] = "Cancelled",0,IF(Table13[[#This Row],[Order_Status]] = "Returned",Table13[[#This Row],[Net_Sales]] * -1,Table13[[#This Row],[Net_Sales]]))</f>
        <v>239.07</v>
      </c>
      <c r="R237" s="9" t="str">
        <f>IF(Table13[[#This Row],[Gross_Sales]]&gt;=500, "YES","NO")</f>
        <v>NO</v>
      </c>
    </row>
    <row r="238" spans="1:18" x14ac:dyDescent="0.3">
      <c r="A238">
        <v>100233</v>
      </c>
      <c r="B238" s="8">
        <v>45301.666666666657</v>
      </c>
      <c r="C238" t="s">
        <v>15</v>
      </c>
      <c r="D238" t="s">
        <v>64</v>
      </c>
      <c r="E238" t="s">
        <v>68</v>
      </c>
      <c r="F238" t="s">
        <v>72</v>
      </c>
      <c r="G238">
        <v>5</v>
      </c>
      <c r="H238">
        <v>97.51</v>
      </c>
      <c r="I238">
        <v>0</v>
      </c>
      <c r="J238" t="s">
        <v>75</v>
      </c>
      <c r="K238" t="s">
        <v>77</v>
      </c>
      <c r="L238">
        <v>487.55</v>
      </c>
      <c r="M238">
        <v>0</v>
      </c>
      <c r="N238">
        <v>487.55</v>
      </c>
      <c r="O2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8" s="9" t="str">
        <f ca="1">IF(OR(ISNUMBER(Table13[[#This Row],[Order_Date]])=FALSE,Table13[[#This Row],[Order_Date]]&lt;DATE(2000,1,1),Table13[[#This Row],[Order_Date]]&gt;TODAY()),"YES","NO")</f>
        <v>NO</v>
      </c>
      <c r="Q238" s="9">
        <f>IF(Table13[[#This Row],[Order_Status]] = "Cancelled",0,IF(Table13[[#This Row],[Order_Status]] = "Returned",Table13[[#This Row],[Net_Sales]] * -1,Table13[[#This Row],[Net_Sales]]))</f>
        <v>487.55</v>
      </c>
      <c r="R238" s="9" t="str">
        <f>IF(Table13[[#This Row],[Gross_Sales]]&gt;=500, "YES","NO")</f>
        <v>NO</v>
      </c>
    </row>
    <row r="239" spans="1:18" x14ac:dyDescent="0.3">
      <c r="A239">
        <v>100234</v>
      </c>
      <c r="B239" s="8">
        <v>45301.708333333343</v>
      </c>
      <c r="C239" t="s">
        <v>15</v>
      </c>
      <c r="D239" t="s">
        <v>29</v>
      </c>
      <c r="E239" t="s">
        <v>66</v>
      </c>
      <c r="F239" t="s">
        <v>71</v>
      </c>
      <c r="G239">
        <v>1</v>
      </c>
      <c r="H239">
        <v>87.24</v>
      </c>
      <c r="I239">
        <v>10</v>
      </c>
      <c r="J239" t="s">
        <v>75</v>
      </c>
      <c r="K239" t="s">
        <v>77</v>
      </c>
      <c r="L239">
        <v>87.24</v>
      </c>
      <c r="M239">
        <v>8.7240000000000002</v>
      </c>
      <c r="N239">
        <v>78.515999999999991</v>
      </c>
      <c r="O2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39" s="9" t="str">
        <f ca="1">IF(OR(ISNUMBER(Table13[[#This Row],[Order_Date]])=FALSE,Table13[[#This Row],[Order_Date]]&lt;DATE(2000,1,1),Table13[[#This Row],[Order_Date]]&gt;TODAY()),"YES","NO")</f>
        <v>NO</v>
      </c>
      <c r="Q239" s="9">
        <f>IF(Table13[[#This Row],[Order_Status]] = "Cancelled",0,IF(Table13[[#This Row],[Order_Status]] = "Returned",Table13[[#This Row],[Net_Sales]] * -1,Table13[[#This Row],[Net_Sales]]))</f>
        <v>78.515999999999991</v>
      </c>
      <c r="R239" s="9" t="str">
        <f>IF(Table13[[#This Row],[Gross_Sales]]&gt;=500, "YES","NO")</f>
        <v>NO</v>
      </c>
    </row>
    <row r="240" spans="1:18" x14ac:dyDescent="0.3">
      <c r="A240">
        <v>100235</v>
      </c>
      <c r="B240" s="8">
        <v>45301.75</v>
      </c>
      <c r="C240" t="s">
        <v>15</v>
      </c>
      <c r="D240" t="s">
        <v>42</v>
      </c>
      <c r="E240" t="s">
        <v>67</v>
      </c>
      <c r="F240" t="s">
        <v>72</v>
      </c>
      <c r="G240">
        <v>2</v>
      </c>
      <c r="H240">
        <v>73.209999999999994</v>
      </c>
      <c r="I240">
        <v>5</v>
      </c>
      <c r="J240" t="s">
        <v>76</v>
      </c>
      <c r="K240" t="s">
        <v>77</v>
      </c>
      <c r="L240">
        <v>146.41999999999999</v>
      </c>
      <c r="M240">
        <v>7.3209999999999997</v>
      </c>
      <c r="N240">
        <v>139.09899999999999</v>
      </c>
      <c r="O2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0" s="9" t="str">
        <f ca="1">IF(OR(ISNUMBER(Table13[[#This Row],[Order_Date]])=FALSE,Table13[[#This Row],[Order_Date]]&lt;DATE(2000,1,1),Table13[[#This Row],[Order_Date]]&gt;TODAY()),"YES","NO")</f>
        <v>NO</v>
      </c>
      <c r="Q240" s="9">
        <f>IF(Table13[[#This Row],[Order_Status]] = "Cancelled",0,IF(Table13[[#This Row],[Order_Status]] = "Returned",Table13[[#This Row],[Net_Sales]] * -1,Table13[[#This Row],[Net_Sales]]))</f>
        <v>139.09899999999999</v>
      </c>
      <c r="R240" s="9" t="str">
        <f>IF(Table13[[#This Row],[Gross_Sales]]&gt;=500, "YES","NO")</f>
        <v>NO</v>
      </c>
    </row>
    <row r="241" spans="1:18" x14ac:dyDescent="0.3">
      <c r="A241">
        <v>100236</v>
      </c>
      <c r="B241" s="8">
        <v>45301.791666666657</v>
      </c>
      <c r="C241" t="s">
        <v>15</v>
      </c>
      <c r="D241" t="s">
        <v>44</v>
      </c>
      <c r="E241" t="s">
        <v>68</v>
      </c>
      <c r="F241" t="s">
        <v>72</v>
      </c>
      <c r="G241">
        <v>2</v>
      </c>
      <c r="H241">
        <v>11.14</v>
      </c>
      <c r="I241">
        <v>0</v>
      </c>
      <c r="J241" t="s">
        <v>73</v>
      </c>
      <c r="K241" t="s">
        <v>77</v>
      </c>
      <c r="L241">
        <v>22.28</v>
      </c>
      <c r="M241">
        <v>0</v>
      </c>
      <c r="N241">
        <v>22.28</v>
      </c>
      <c r="O2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1" s="9" t="str">
        <f ca="1">IF(OR(ISNUMBER(Table13[[#This Row],[Order_Date]])=FALSE,Table13[[#This Row],[Order_Date]]&lt;DATE(2000,1,1),Table13[[#This Row],[Order_Date]]&gt;TODAY()),"YES","NO")</f>
        <v>NO</v>
      </c>
      <c r="Q241" s="9">
        <f>IF(Table13[[#This Row],[Order_Status]] = "Cancelled",0,IF(Table13[[#This Row],[Order_Status]] = "Returned",Table13[[#This Row],[Net_Sales]] * -1,Table13[[#This Row],[Net_Sales]]))</f>
        <v>22.28</v>
      </c>
      <c r="R241" s="9" t="str">
        <f>IF(Table13[[#This Row],[Gross_Sales]]&gt;=500, "YES","NO")</f>
        <v>NO</v>
      </c>
    </row>
    <row r="242" spans="1:18" x14ac:dyDescent="0.3">
      <c r="A242">
        <v>100237</v>
      </c>
      <c r="B242" s="8">
        <v>45301.833333333343</v>
      </c>
      <c r="C242" t="s">
        <v>15</v>
      </c>
      <c r="D242" t="s">
        <v>29</v>
      </c>
      <c r="E242" t="s">
        <v>68</v>
      </c>
      <c r="F242" t="s">
        <v>72</v>
      </c>
      <c r="G242">
        <v>5</v>
      </c>
      <c r="H242">
        <v>57.3</v>
      </c>
      <c r="I242">
        <v>10</v>
      </c>
      <c r="J242" t="s">
        <v>76</v>
      </c>
      <c r="K242" t="s">
        <v>77</v>
      </c>
      <c r="L242">
        <v>286.5</v>
      </c>
      <c r="M242">
        <v>28.65</v>
      </c>
      <c r="N242">
        <v>257.85000000000002</v>
      </c>
      <c r="O2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2" s="9" t="str">
        <f ca="1">IF(OR(ISNUMBER(Table13[[#This Row],[Order_Date]])=FALSE,Table13[[#This Row],[Order_Date]]&lt;DATE(2000,1,1),Table13[[#This Row],[Order_Date]]&gt;TODAY()),"YES","NO")</f>
        <v>NO</v>
      </c>
      <c r="Q242" s="9">
        <f>IF(Table13[[#This Row],[Order_Status]] = "Cancelled",0,IF(Table13[[#This Row],[Order_Status]] = "Returned",Table13[[#This Row],[Net_Sales]] * -1,Table13[[#This Row],[Net_Sales]]))</f>
        <v>257.85000000000002</v>
      </c>
      <c r="R242" s="9" t="str">
        <f>IF(Table13[[#This Row],[Gross_Sales]]&gt;=500, "YES","NO")</f>
        <v>NO</v>
      </c>
    </row>
    <row r="243" spans="1:18" x14ac:dyDescent="0.3">
      <c r="A243">
        <v>100238</v>
      </c>
      <c r="B243" s="8">
        <v>45301.875</v>
      </c>
      <c r="C243" t="s">
        <v>15</v>
      </c>
      <c r="D243" t="s">
        <v>55</v>
      </c>
      <c r="E243" t="s">
        <v>69</v>
      </c>
      <c r="F243" t="s">
        <v>72</v>
      </c>
      <c r="G243">
        <v>1</v>
      </c>
      <c r="H243">
        <v>82.6</v>
      </c>
      <c r="I243">
        <v>5</v>
      </c>
      <c r="J243" t="s">
        <v>73</v>
      </c>
      <c r="K243" t="s">
        <v>77</v>
      </c>
      <c r="L243">
        <v>82.6</v>
      </c>
      <c r="M243">
        <v>4.13</v>
      </c>
      <c r="N243">
        <v>78.47</v>
      </c>
      <c r="O2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3" s="9" t="str">
        <f ca="1">IF(OR(ISNUMBER(Table13[[#This Row],[Order_Date]])=FALSE,Table13[[#This Row],[Order_Date]]&lt;DATE(2000,1,1),Table13[[#This Row],[Order_Date]]&gt;TODAY()),"YES","NO")</f>
        <v>NO</v>
      </c>
      <c r="Q243" s="9">
        <f>IF(Table13[[#This Row],[Order_Status]] = "Cancelled",0,IF(Table13[[#This Row],[Order_Status]] = "Returned",Table13[[#This Row],[Net_Sales]] * -1,Table13[[#This Row],[Net_Sales]]))</f>
        <v>78.47</v>
      </c>
      <c r="R243" s="9" t="str">
        <f>IF(Table13[[#This Row],[Gross_Sales]]&gt;=500, "YES","NO")</f>
        <v>NO</v>
      </c>
    </row>
    <row r="244" spans="1:18" x14ac:dyDescent="0.3">
      <c r="A244">
        <v>100239</v>
      </c>
      <c r="B244" s="8">
        <v>45301.916666666657</v>
      </c>
      <c r="C244" t="s">
        <v>14</v>
      </c>
      <c r="D244" t="s">
        <v>54</v>
      </c>
      <c r="E244" t="s">
        <v>70</v>
      </c>
      <c r="F244" t="s">
        <v>72</v>
      </c>
      <c r="G244">
        <v>4</v>
      </c>
      <c r="H244">
        <v>82.92</v>
      </c>
      <c r="I244">
        <v>15</v>
      </c>
      <c r="J244" t="s">
        <v>75</v>
      </c>
      <c r="K244" t="s">
        <v>77</v>
      </c>
      <c r="L244">
        <v>331.68</v>
      </c>
      <c r="M244">
        <v>49.752000000000002</v>
      </c>
      <c r="N244">
        <v>281.928</v>
      </c>
      <c r="O2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4" s="9" t="str">
        <f ca="1">IF(OR(ISNUMBER(Table13[[#This Row],[Order_Date]])=FALSE,Table13[[#This Row],[Order_Date]]&lt;DATE(2000,1,1),Table13[[#This Row],[Order_Date]]&gt;TODAY()),"YES","NO")</f>
        <v>NO</v>
      </c>
      <c r="Q244" s="9">
        <f>IF(Table13[[#This Row],[Order_Status]] = "Cancelled",0,IF(Table13[[#This Row],[Order_Status]] = "Returned",Table13[[#This Row],[Net_Sales]] * -1,Table13[[#This Row],[Net_Sales]]))</f>
        <v>281.928</v>
      </c>
      <c r="R244" s="9" t="str">
        <f>IF(Table13[[#This Row],[Gross_Sales]]&gt;=500, "YES","NO")</f>
        <v>NO</v>
      </c>
    </row>
    <row r="245" spans="1:18" x14ac:dyDescent="0.3">
      <c r="A245">
        <v>100240</v>
      </c>
      <c r="B245" s="8">
        <v>45301.958333333343</v>
      </c>
      <c r="C245" t="s">
        <v>15</v>
      </c>
      <c r="D245" t="s">
        <v>38</v>
      </c>
      <c r="E245" t="s">
        <v>68</v>
      </c>
      <c r="F245" t="s">
        <v>71</v>
      </c>
      <c r="G245">
        <v>3</v>
      </c>
      <c r="H245">
        <v>47.91</v>
      </c>
      <c r="I245">
        <v>10</v>
      </c>
      <c r="J245" t="s">
        <v>74</v>
      </c>
      <c r="K245" t="s">
        <v>77</v>
      </c>
      <c r="L245">
        <v>143.72999999999999</v>
      </c>
      <c r="M245">
        <v>14.372999999999999</v>
      </c>
      <c r="N245">
        <v>129.357</v>
      </c>
      <c r="O2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5" s="9" t="str">
        <f ca="1">IF(OR(ISNUMBER(Table13[[#This Row],[Order_Date]])=FALSE,Table13[[#This Row],[Order_Date]]&lt;DATE(2000,1,1),Table13[[#This Row],[Order_Date]]&gt;TODAY()),"YES","NO")</f>
        <v>NO</v>
      </c>
      <c r="Q245" s="9">
        <f>IF(Table13[[#This Row],[Order_Status]] = "Cancelled",0,IF(Table13[[#This Row],[Order_Status]] = "Returned",Table13[[#This Row],[Net_Sales]] * -1,Table13[[#This Row],[Net_Sales]]))</f>
        <v>129.357</v>
      </c>
      <c r="R245" s="9" t="str">
        <f>IF(Table13[[#This Row],[Gross_Sales]]&gt;=500, "YES","NO")</f>
        <v>NO</v>
      </c>
    </row>
    <row r="246" spans="1:18" x14ac:dyDescent="0.3">
      <c r="A246">
        <v>100241</v>
      </c>
      <c r="B246" s="8">
        <v>45302</v>
      </c>
      <c r="C246" t="s">
        <v>15</v>
      </c>
      <c r="D246" t="s">
        <v>58</v>
      </c>
      <c r="E246" t="s">
        <v>68</v>
      </c>
      <c r="F246" t="s">
        <v>71</v>
      </c>
      <c r="G246">
        <v>1</v>
      </c>
      <c r="H246">
        <v>113.29</v>
      </c>
      <c r="I246">
        <v>0</v>
      </c>
      <c r="J246" t="s">
        <v>73</v>
      </c>
      <c r="K246" t="s">
        <v>77</v>
      </c>
      <c r="L246">
        <v>113.29</v>
      </c>
      <c r="M246">
        <v>0</v>
      </c>
      <c r="N246">
        <v>113.29</v>
      </c>
      <c r="O2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6" s="9" t="str">
        <f ca="1">IF(OR(ISNUMBER(Table13[[#This Row],[Order_Date]])=FALSE,Table13[[#This Row],[Order_Date]]&lt;DATE(2000,1,1),Table13[[#This Row],[Order_Date]]&gt;TODAY()),"YES","NO")</f>
        <v>NO</v>
      </c>
      <c r="Q246" s="9">
        <f>IF(Table13[[#This Row],[Order_Status]] = "Cancelled",0,IF(Table13[[#This Row],[Order_Status]] = "Returned",Table13[[#This Row],[Net_Sales]] * -1,Table13[[#This Row],[Net_Sales]]))</f>
        <v>113.29</v>
      </c>
      <c r="R246" s="9" t="str">
        <f>IF(Table13[[#This Row],[Gross_Sales]]&gt;=500, "YES","NO")</f>
        <v>NO</v>
      </c>
    </row>
    <row r="247" spans="1:18" x14ac:dyDescent="0.3">
      <c r="A247">
        <v>100242</v>
      </c>
      <c r="B247" s="8">
        <v>45302.041666666657</v>
      </c>
      <c r="C247" t="s">
        <v>14</v>
      </c>
      <c r="D247" t="s">
        <v>51</v>
      </c>
      <c r="E247" t="s">
        <v>66</v>
      </c>
      <c r="F247" t="s">
        <v>71</v>
      </c>
      <c r="G247">
        <v>2</v>
      </c>
      <c r="H247">
        <v>24.25</v>
      </c>
      <c r="I247">
        <v>15</v>
      </c>
      <c r="J247" t="s">
        <v>75</v>
      </c>
      <c r="K247" t="s">
        <v>77</v>
      </c>
      <c r="L247">
        <v>48.5</v>
      </c>
      <c r="M247">
        <v>7.2749999999999986</v>
      </c>
      <c r="N247">
        <v>41.225000000000001</v>
      </c>
      <c r="O2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7" s="9" t="str">
        <f ca="1">IF(OR(ISNUMBER(Table13[[#This Row],[Order_Date]])=FALSE,Table13[[#This Row],[Order_Date]]&lt;DATE(2000,1,1),Table13[[#This Row],[Order_Date]]&gt;TODAY()),"YES","NO")</f>
        <v>NO</v>
      </c>
      <c r="Q247" s="9">
        <f>IF(Table13[[#This Row],[Order_Status]] = "Cancelled",0,IF(Table13[[#This Row],[Order_Status]] = "Returned",Table13[[#This Row],[Net_Sales]] * -1,Table13[[#This Row],[Net_Sales]]))</f>
        <v>41.225000000000001</v>
      </c>
      <c r="R247" s="9" t="str">
        <f>IF(Table13[[#This Row],[Gross_Sales]]&gt;=500, "YES","NO")</f>
        <v>NO</v>
      </c>
    </row>
    <row r="248" spans="1:18" x14ac:dyDescent="0.3">
      <c r="A248">
        <v>100243</v>
      </c>
      <c r="B248" s="8">
        <v>45302.083333333343</v>
      </c>
      <c r="C248" t="s">
        <v>15</v>
      </c>
      <c r="D248" t="s">
        <v>61</v>
      </c>
      <c r="E248" t="s">
        <v>66</v>
      </c>
      <c r="F248" t="s">
        <v>72</v>
      </c>
      <c r="G248">
        <v>5</v>
      </c>
      <c r="H248">
        <v>62.54</v>
      </c>
      <c r="I248">
        <v>5</v>
      </c>
      <c r="J248" t="s">
        <v>75</v>
      </c>
      <c r="K248" t="s">
        <v>77</v>
      </c>
      <c r="L248">
        <v>312.7</v>
      </c>
      <c r="M248">
        <v>15.635</v>
      </c>
      <c r="N248">
        <v>297.065</v>
      </c>
      <c r="O2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8" s="9" t="str">
        <f ca="1">IF(OR(ISNUMBER(Table13[[#This Row],[Order_Date]])=FALSE,Table13[[#This Row],[Order_Date]]&lt;DATE(2000,1,1),Table13[[#This Row],[Order_Date]]&gt;TODAY()),"YES","NO")</f>
        <v>NO</v>
      </c>
      <c r="Q248" s="9">
        <f>IF(Table13[[#This Row],[Order_Status]] = "Cancelled",0,IF(Table13[[#This Row],[Order_Status]] = "Returned",Table13[[#This Row],[Net_Sales]] * -1,Table13[[#This Row],[Net_Sales]]))</f>
        <v>297.065</v>
      </c>
      <c r="R248" s="9" t="str">
        <f>IF(Table13[[#This Row],[Gross_Sales]]&gt;=500, "YES","NO")</f>
        <v>NO</v>
      </c>
    </row>
    <row r="249" spans="1:18" x14ac:dyDescent="0.3">
      <c r="A249">
        <v>100244</v>
      </c>
      <c r="B249" s="8">
        <v>45302.125</v>
      </c>
      <c r="C249" t="s">
        <v>14</v>
      </c>
      <c r="D249" t="s">
        <v>45</v>
      </c>
      <c r="E249" t="s">
        <v>67</v>
      </c>
      <c r="F249" t="s">
        <v>72</v>
      </c>
      <c r="G249">
        <v>5</v>
      </c>
      <c r="H249">
        <v>84.45</v>
      </c>
      <c r="I249">
        <v>5</v>
      </c>
      <c r="J249" t="s">
        <v>74</v>
      </c>
      <c r="K249" t="s">
        <v>77</v>
      </c>
      <c r="L249">
        <v>422.25</v>
      </c>
      <c r="M249">
        <v>21.112500000000001</v>
      </c>
      <c r="N249">
        <v>401.13749999999999</v>
      </c>
      <c r="O2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49" s="9" t="str">
        <f ca="1">IF(OR(ISNUMBER(Table13[[#This Row],[Order_Date]])=FALSE,Table13[[#This Row],[Order_Date]]&lt;DATE(2000,1,1),Table13[[#This Row],[Order_Date]]&gt;TODAY()),"YES","NO")</f>
        <v>NO</v>
      </c>
      <c r="Q249" s="9">
        <f>IF(Table13[[#This Row],[Order_Status]] = "Cancelled",0,IF(Table13[[#This Row],[Order_Status]] = "Returned",Table13[[#This Row],[Net_Sales]] * -1,Table13[[#This Row],[Net_Sales]]))</f>
        <v>401.13749999999999</v>
      </c>
      <c r="R249" s="9" t="str">
        <f>IF(Table13[[#This Row],[Gross_Sales]]&gt;=500, "YES","NO")</f>
        <v>NO</v>
      </c>
    </row>
    <row r="250" spans="1:18" x14ac:dyDescent="0.3">
      <c r="A250">
        <v>100245</v>
      </c>
      <c r="B250" s="8">
        <v>45302.166666666657</v>
      </c>
      <c r="C250" t="s">
        <v>14</v>
      </c>
      <c r="D250" t="s">
        <v>50</v>
      </c>
      <c r="E250" t="s">
        <v>69</v>
      </c>
      <c r="F250" t="s">
        <v>72</v>
      </c>
      <c r="G250">
        <v>3</v>
      </c>
      <c r="H250">
        <v>85.17</v>
      </c>
      <c r="I250">
        <v>10</v>
      </c>
      <c r="J250" t="s">
        <v>75</v>
      </c>
      <c r="K250" t="s">
        <v>79</v>
      </c>
      <c r="L250">
        <v>255.51</v>
      </c>
      <c r="M250">
        <v>25.550999999999998</v>
      </c>
      <c r="N250">
        <v>229.959</v>
      </c>
      <c r="O2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50" s="9" t="str">
        <f ca="1">IF(OR(ISNUMBER(Table13[[#This Row],[Order_Date]])=FALSE,Table13[[#This Row],[Order_Date]]&lt;DATE(2000,1,1),Table13[[#This Row],[Order_Date]]&gt;TODAY()),"YES","NO")</f>
        <v>NO</v>
      </c>
      <c r="Q250" s="9">
        <f>IF(Table13[[#This Row],[Order_Status]] = "Cancelled",0,IF(Table13[[#This Row],[Order_Status]] = "Returned",Table13[[#This Row],[Net_Sales]] * -1,Table13[[#This Row],[Net_Sales]]))</f>
        <v>0</v>
      </c>
      <c r="R250" s="9" t="str">
        <f>IF(Table13[[#This Row],[Gross_Sales]]&gt;=500, "YES","NO")</f>
        <v>NO</v>
      </c>
    </row>
    <row r="251" spans="1:18" x14ac:dyDescent="0.3">
      <c r="A251">
        <v>100246</v>
      </c>
      <c r="B251" s="8">
        <v>45302.208333333343</v>
      </c>
      <c r="C251" t="s">
        <v>15</v>
      </c>
      <c r="D251" t="s">
        <v>26</v>
      </c>
      <c r="E251" t="s">
        <v>67</v>
      </c>
      <c r="F251" t="s">
        <v>71</v>
      </c>
      <c r="G251">
        <v>5</v>
      </c>
      <c r="H251">
        <v>79.59</v>
      </c>
      <c r="I251">
        <v>10</v>
      </c>
      <c r="J251" t="s">
        <v>75</v>
      </c>
      <c r="K251" t="s">
        <v>79</v>
      </c>
      <c r="L251">
        <v>397.95</v>
      </c>
      <c r="M251">
        <v>39.795000000000009</v>
      </c>
      <c r="N251">
        <v>358.15499999999997</v>
      </c>
      <c r="O2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51" s="9" t="str">
        <f ca="1">IF(OR(ISNUMBER(Table13[[#This Row],[Order_Date]])=FALSE,Table13[[#This Row],[Order_Date]]&lt;DATE(2000,1,1),Table13[[#This Row],[Order_Date]]&gt;TODAY()),"YES","NO")</f>
        <v>NO</v>
      </c>
      <c r="Q251" s="9">
        <f>IF(Table13[[#This Row],[Order_Status]] = "Cancelled",0,IF(Table13[[#This Row],[Order_Status]] = "Returned",Table13[[#This Row],[Net_Sales]] * -1,Table13[[#This Row],[Net_Sales]]))</f>
        <v>0</v>
      </c>
      <c r="R251" s="9" t="str">
        <f>IF(Table13[[#This Row],[Gross_Sales]]&gt;=500, "YES","NO")</f>
        <v>NO</v>
      </c>
    </row>
    <row r="252" spans="1:18" x14ac:dyDescent="0.3">
      <c r="A252">
        <v>100247</v>
      </c>
      <c r="B252" s="8">
        <v>45302.25</v>
      </c>
      <c r="C252" t="s">
        <v>14</v>
      </c>
      <c r="D252" t="s">
        <v>41</v>
      </c>
      <c r="E252" t="s">
        <v>66</v>
      </c>
      <c r="F252" t="s">
        <v>72</v>
      </c>
      <c r="G252">
        <v>5</v>
      </c>
      <c r="H252">
        <v>36.659999999999997</v>
      </c>
      <c r="I252">
        <v>10</v>
      </c>
      <c r="J252" t="s">
        <v>73</v>
      </c>
      <c r="K252" t="s">
        <v>77</v>
      </c>
      <c r="L252">
        <v>183.3</v>
      </c>
      <c r="M252">
        <v>18.329999999999998</v>
      </c>
      <c r="N252">
        <v>164.97</v>
      </c>
      <c r="O2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2" s="9" t="str">
        <f ca="1">IF(OR(ISNUMBER(Table13[[#This Row],[Order_Date]])=FALSE,Table13[[#This Row],[Order_Date]]&lt;DATE(2000,1,1),Table13[[#This Row],[Order_Date]]&gt;TODAY()),"YES","NO")</f>
        <v>NO</v>
      </c>
      <c r="Q252" s="9">
        <f>IF(Table13[[#This Row],[Order_Status]] = "Cancelled",0,IF(Table13[[#This Row],[Order_Status]] = "Returned",Table13[[#This Row],[Net_Sales]] * -1,Table13[[#This Row],[Net_Sales]]))</f>
        <v>164.97</v>
      </c>
      <c r="R252" s="9" t="str">
        <f>IF(Table13[[#This Row],[Gross_Sales]]&gt;=500, "YES","NO")</f>
        <v>NO</v>
      </c>
    </row>
    <row r="253" spans="1:18" x14ac:dyDescent="0.3">
      <c r="A253">
        <v>100248</v>
      </c>
      <c r="B253" s="8">
        <v>45302.291666666657</v>
      </c>
      <c r="C253" t="s">
        <v>14</v>
      </c>
      <c r="D253" t="s">
        <v>44</v>
      </c>
      <c r="E253" t="s">
        <v>70</v>
      </c>
      <c r="F253" t="s">
        <v>72</v>
      </c>
      <c r="G253">
        <v>1</v>
      </c>
      <c r="H253">
        <v>22.96</v>
      </c>
      <c r="I253">
        <v>5</v>
      </c>
      <c r="J253" t="s">
        <v>73</v>
      </c>
      <c r="K253" t="s">
        <v>77</v>
      </c>
      <c r="L253">
        <v>22.96</v>
      </c>
      <c r="M253">
        <v>1.1479999999999999</v>
      </c>
      <c r="N253">
        <v>21.812000000000001</v>
      </c>
      <c r="O2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3" s="9" t="str">
        <f ca="1">IF(OR(ISNUMBER(Table13[[#This Row],[Order_Date]])=FALSE,Table13[[#This Row],[Order_Date]]&lt;DATE(2000,1,1),Table13[[#This Row],[Order_Date]]&gt;TODAY()),"YES","NO")</f>
        <v>NO</v>
      </c>
      <c r="Q253" s="9">
        <f>IF(Table13[[#This Row],[Order_Status]] = "Cancelled",0,IF(Table13[[#This Row],[Order_Status]] = "Returned",Table13[[#This Row],[Net_Sales]] * -1,Table13[[#This Row],[Net_Sales]]))</f>
        <v>21.812000000000001</v>
      </c>
      <c r="R253" s="9" t="str">
        <f>IF(Table13[[#This Row],[Gross_Sales]]&gt;=500, "YES","NO")</f>
        <v>NO</v>
      </c>
    </row>
    <row r="254" spans="1:18" x14ac:dyDescent="0.3">
      <c r="A254">
        <v>100249</v>
      </c>
      <c r="B254" s="8">
        <v>45302.333333333343</v>
      </c>
      <c r="C254" t="s">
        <v>14</v>
      </c>
      <c r="D254" t="s">
        <v>35</v>
      </c>
      <c r="E254" t="s">
        <v>66</v>
      </c>
      <c r="F254" t="s">
        <v>72</v>
      </c>
      <c r="G254">
        <v>4</v>
      </c>
      <c r="H254">
        <v>78.13</v>
      </c>
      <c r="I254">
        <v>15</v>
      </c>
      <c r="J254" t="s">
        <v>74</v>
      </c>
      <c r="K254" t="s">
        <v>77</v>
      </c>
      <c r="L254">
        <v>312.52</v>
      </c>
      <c r="M254">
        <v>46.877999999999993</v>
      </c>
      <c r="N254">
        <v>265.642</v>
      </c>
      <c r="O2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4" s="9" t="str">
        <f ca="1">IF(OR(ISNUMBER(Table13[[#This Row],[Order_Date]])=FALSE,Table13[[#This Row],[Order_Date]]&lt;DATE(2000,1,1),Table13[[#This Row],[Order_Date]]&gt;TODAY()),"YES","NO")</f>
        <v>NO</v>
      </c>
      <c r="Q254" s="9">
        <f>IF(Table13[[#This Row],[Order_Status]] = "Cancelled",0,IF(Table13[[#This Row],[Order_Status]] = "Returned",Table13[[#This Row],[Net_Sales]] * -1,Table13[[#This Row],[Net_Sales]]))</f>
        <v>265.642</v>
      </c>
      <c r="R254" s="9" t="str">
        <f>IF(Table13[[#This Row],[Gross_Sales]]&gt;=500, "YES","NO")</f>
        <v>NO</v>
      </c>
    </row>
    <row r="255" spans="1:18" x14ac:dyDescent="0.3">
      <c r="A255">
        <v>100250</v>
      </c>
      <c r="B255" s="8">
        <v>45302.375</v>
      </c>
      <c r="C255" t="s">
        <v>14</v>
      </c>
      <c r="D255" t="s">
        <v>26</v>
      </c>
      <c r="E255" t="s">
        <v>69</v>
      </c>
      <c r="F255" t="s">
        <v>71</v>
      </c>
      <c r="G255">
        <v>3</v>
      </c>
      <c r="H255">
        <v>73.92</v>
      </c>
      <c r="I255">
        <v>5</v>
      </c>
      <c r="J255" t="s">
        <v>74</v>
      </c>
      <c r="K255" t="s">
        <v>77</v>
      </c>
      <c r="L255">
        <v>221.76</v>
      </c>
      <c r="M255">
        <v>11.087999999999999</v>
      </c>
      <c r="N255">
        <v>210.672</v>
      </c>
      <c r="O2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5" s="9" t="str">
        <f ca="1">IF(OR(ISNUMBER(Table13[[#This Row],[Order_Date]])=FALSE,Table13[[#This Row],[Order_Date]]&lt;DATE(2000,1,1),Table13[[#This Row],[Order_Date]]&gt;TODAY()),"YES","NO")</f>
        <v>NO</v>
      </c>
      <c r="Q255" s="9">
        <f>IF(Table13[[#This Row],[Order_Status]] = "Cancelled",0,IF(Table13[[#This Row],[Order_Status]] = "Returned",Table13[[#This Row],[Net_Sales]] * -1,Table13[[#This Row],[Net_Sales]]))</f>
        <v>210.672</v>
      </c>
      <c r="R255" s="9" t="str">
        <f>IF(Table13[[#This Row],[Gross_Sales]]&gt;=500, "YES","NO")</f>
        <v>NO</v>
      </c>
    </row>
    <row r="256" spans="1:18" x14ac:dyDescent="0.3">
      <c r="A256">
        <v>100251</v>
      </c>
      <c r="B256" s="8">
        <v>45302.416666666657</v>
      </c>
      <c r="C256" t="s">
        <v>15</v>
      </c>
      <c r="D256" t="s">
        <v>50</v>
      </c>
      <c r="E256" t="s">
        <v>66</v>
      </c>
      <c r="F256" t="s">
        <v>72</v>
      </c>
      <c r="G256">
        <v>1</v>
      </c>
      <c r="H256">
        <v>25.63</v>
      </c>
      <c r="I256">
        <v>0</v>
      </c>
      <c r="J256" t="s">
        <v>75</v>
      </c>
      <c r="K256" t="s">
        <v>77</v>
      </c>
      <c r="L256">
        <v>25.63</v>
      </c>
      <c r="M256">
        <v>0</v>
      </c>
      <c r="N256">
        <v>25.63</v>
      </c>
      <c r="O2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6" s="9" t="str">
        <f ca="1">IF(OR(ISNUMBER(Table13[[#This Row],[Order_Date]])=FALSE,Table13[[#This Row],[Order_Date]]&lt;DATE(2000,1,1),Table13[[#This Row],[Order_Date]]&gt;TODAY()),"YES","NO")</f>
        <v>NO</v>
      </c>
      <c r="Q256" s="9">
        <f>IF(Table13[[#This Row],[Order_Status]] = "Cancelled",0,IF(Table13[[#This Row],[Order_Status]] = "Returned",Table13[[#This Row],[Net_Sales]] * -1,Table13[[#This Row],[Net_Sales]]))</f>
        <v>25.63</v>
      </c>
      <c r="R256" s="9" t="str">
        <f>IF(Table13[[#This Row],[Gross_Sales]]&gt;=500, "YES","NO")</f>
        <v>NO</v>
      </c>
    </row>
    <row r="257" spans="1:18" x14ac:dyDescent="0.3">
      <c r="A257">
        <v>100252</v>
      </c>
      <c r="B257" s="8">
        <v>45302.458333333343</v>
      </c>
      <c r="C257" t="s">
        <v>14</v>
      </c>
      <c r="D257" t="s">
        <v>18</v>
      </c>
      <c r="E257" t="s">
        <v>69</v>
      </c>
      <c r="F257" t="s">
        <v>71</v>
      </c>
      <c r="G257">
        <v>4</v>
      </c>
      <c r="H257">
        <v>86.09</v>
      </c>
      <c r="I257">
        <v>5</v>
      </c>
      <c r="J257" t="s">
        <v>73</v>
      </c>
      <c r="K257" t="s">
        <v>77</v>
      </c>
      <c r="L257">
        <v>344.36</v>
      </c>
      <c r="M257">
        <v>17.218</v>
      </c>
      <c r="N257">
        <v>327.142</v>
      </c>
      <c r="O2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7" s="9" t="str">
        <f ca="1">IF(OR(ISNUMBER(Table13[[#This Row],[Order_Date]])=FALSE,Table13[[#This Row],[Order_Date]]&lt;DATE(2000,1,1),Table13[[#This Row],[Order_Date]]&gt;TODAY()),"YES","NO")</f>
        <v>NO</v>
      </c>
      <c r="Q257" s="9">
        <f>IF(Table13[[#This Row],[Order_Status]] = "Cancelled",0,IF(Table13[[#This Row],[Order_Status]] = "Returned",Table13[[#This Row],[Net_Sales]] * -1,Table13[[#This Row],[Net_Sales]]))</f>
        <v>327.142</v>
      </c>
      <c r="R257" s="9" t="str">
        <f>IF(Table13[[#This Row],[Gross_Sales]]&gt;=500, "YES","NO")</f>
        <v>NO</v>
      </c>
    </row>
    <row r="258" spans="1:18" x14ac:dyDescent="0.3">
      <c r="A258">
        <v>100253</v>
      </c>
      <c r="B258" s="8">
        <v>45302.5</v>
      </c>
      <c r="C258" t="s">
        <v>15</v>
      </c>
      <c r="D258" t="s">
        <v>42</v>
      </c>
      <c r="E258" t="s">
        <v>69</v>
      </c>
      <c r="F258" t="s">
        <v>72</v>
      </c>
      <c r="G258">
        <v>1</v>
      </c>
      <c r="H258">
        <v>57.34</v>
      </c>
      <c r="I258">
        <v>0</v>
      </c>
      <c r="J258" t="s">
        <v>74</v>
      </c>
      <c r="K258" t="s">
        <v>77</v>
      </c>
      <c r="L258">
        <v>57.34</v>
      </c>
      <c r="M258">
        <v>0</v>
      </c>
      <c r="N258">
        <v>57.34</v>
      </c>
      <c r="O2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58" s="9" t="str">
        <f ca="1">IF(OR(ISNUMBER(Table13[[#This Row],[Order_Date]])=FALSE,Table13[[#This Row],[Order_Date]]&lt;DATE(2000,1,1),Table13[[#This Row],[Order_Date]]&gt;TODAY()),"YES","NO")</f>
        <v>NO</v>
      </c>
      <c r="Q258" s="9">
        <f>IF(Table13[[#This Row],[Order_Status]] = "Cancelled",0,IF(Table13[[#This Row],[Order_Status]] = "Returned",Table13[[#This Row],[Net_Sales]] * -1,Table13[[#This Row],[Net_Sales]]))</f>
        <v>57.34</v>
      </c>
      <c r="R258" s="9" t="str">
        <f>IF(Table13[[#This Row],[Gross_Sales]]&gt;=500, "YES","NO")</f>
        <v>NO</v>
      </c>
    </row>
    <row r="259" spans="1:18" x14ac:dyDescent="0.3">
      <c r="A259">
        <v>100254</v>
      </c>
      <c r="B259" s="8">
        <v>45302.541666666657</v>
      </c>
      <c r="C259" t="s">
        <v>14</v>
      </c>
      <c r="D259" t="s">
        <v>40</v>
      </c>
      <c r="E259" t="s">
        <v>69</v>
      </c>
      <c r="F259" t="s">
        <v>71</v>
      </c>
      <c r="G259">
        <v>1</v>
      </c>
      <c r="H259">
        <v>81.790000000000006</v>
      </c>
      <c r="I259">
        <v>15</v>
      </c>
      <c r="J259" t="s">
        <v>74</v>
      </c>
      <c r="K259" t="s">
        <v>78</v>
      </c>
      <c r="L259">
        <v>81.790000000000006</v>
      </c>
      <c r="M259">
        <v>12.2685</v>
      </c>
      <c r="N259">
        <v>69.521500000000003</v>
      </c>
      <c r="O2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59" s="9" t="str">
        <f ca="1">IF(OR(ISNUMBER(Table13[[#This Row],[Order_Date]])=FALSE,Table13[[#This Row],[Order_Date]]&lt;DATE(2000,1,1),Table13[[#This Row],[Order_Date]]&gt;TODAY()),"YES","NO")</f>
        <v>NO</v>
      </c>
      <c r="Q259" s="9">
        <f>IF(Table13[[#This Row],[Order_Status]] = "Cancelled",0,IF(Table13[[#This Row],[Order_Status]] = "Returned",Table13[[#This Row],[Net_Sales]] * -1,Table13[[#This Row],[Net_Sales]]))</f>
        <v>-69.521500000000003</v>
      </c>
      <c r="R259" s="9" t="str">
        <f>IF(Table13[[#This Row],[Gross_Sales]]&gt;=500, "YES","NO")</f>
        <v>NO</v>
      </c>
    </row>
    <row r="260" spans="1:18" x14ac:dyDescent="0.3">
      <c r="A260">
        <v>100255</v>
      </c>
      <c r="B260" s="8">
        <v>45302.583333333343</v>
      </c>
      <c r="C260" t="s">
        <v>14</v>
      </c>
      <c r="D260" t="s">
        <v>26</v>
      </c>
      <c r="E260" t="s">
        <v>69</v>
      </c>
      <c r="F260" t="s">
        <v>71</v>
      </c>
      <c r="G260">
        <v>5</v>
      </c>
      <c r="H260">
        <v>101.3</v>
      </c>
      <c r="I260">
        <v>10</v>
      </c>
      <c r="J260" t="s">
        <v>76</v>
      </c>
      <c r="K260" t="s">
        <v>77</v>
      </c>
      <c r="L260">
        <v>506.5</v>
      </c>
      <c r="M260">
        <v>50.650000000000013</v>
      </c>
      <c r="N260">
        <v>455.85</v>
      </c>
      <c r="O2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0" s="9" t="str">
        <f ca="1">IF(OR(ISNUMBER(Table13[[#This Row],[Order_Date]])=FALSE,Table13[[#This Row],[Order_Date]]&lt;DATE(2000,1,1),Table13[[#This Row],[Order_Date]]&gt;TODAY()),"YES","NO")</f>
        <v>NO</v>
      </c>
      <c r="Q260" s="9">
        <f>IF(Table13[[#This Row],[Order_Status]] = "Cancelled",0,IF(Table13[[#This Row],[Order_Status]] = "Returned",Table13[[#This Row],[Net_Sales]] * -1,Table13[[#This Row],[Net_Sales]]))</f>
        <v>455.85</v>
      </c>
      <c r="R260" s="9" t="str">
        <f>IF(Table13[[#This Row],[Gross_Sales]]&gt;=500, "YES","NO")</f>
        <v>YES</v>
      </c>
    </row>
    <row r="261" spans="1:18" x14ac:dyDescent="0.3">
      <c r="A261">
        <v>100256</v>
      </c>
      <c r="B261" s="8">
        <v>45302.625</v>
      </c>
      <c r="C261" t="s">
        <v>14</v>
      </c>
      <c r="D261" t="s">
        <v>26</v>
      </c>
      <c r="E261" t="s">
        <v>69</v>
      </c>
      <c r="F261" t="s">
        <v>71</v>
      </c>
      <c r="G261">
        <v>4</v>
      </c>
      <c r="H261">
        <v>24.52</v>
      </c>
      <c r="I261">
        <v>10</v>
      </c>
      <c r="J261" t="s">
        <v>74</v>
      </c>
      <c r="K261" t="s">
        <v>77</v>
      </c>
      <c r="L261">
        <v>98.08</v>
      </c>
      <c r="M261">
        <v>9.8079999999999998</v>
      </c>
      <c r="N261">
        <v>88.271999999999991</v>
      </c>
      <c r="O2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1" s="9" t="str">
        <f ca="1">IF(OR(ISNUMBER(Table13[[#This Row],[Order_Date]])=FALSE,Table13[[#This Row],[Order_Date]]&lt;DATE(2000,1,1),Table13[[#This Row],[Order_Date]]&gt;TODAY()),"YES","NO")</f>
        <v>NO</v>
      </c>
      <c r="Q261" s="9">
        <f>IF(Table13[[#This Row],[Order_Status]] = "Cancelled",0,IF(Table13[[#This Row],[Order_Status]] = "Returned",Table13[[#This Row],[Net_Sales]] * -1,Table13[[#This Row],[Net_Sales]]))</f>
        <v>88.271999999999991</v>
      </c>
      <c r="R261" s="9" t="str">
        <f>IF(Table13[[#This Row],[Gross_Sales]]&gt;=500, "YES","NO")</f>
        <v>NO</v>
      </c>
    </row>
    <row r="262" spans="1:18" x14ac:dyDescent="0.3">
      <c r="A262">
        <v>100257</v>
      </c>
      <c r="B262" s="8">
        <v>45302.666666666657</v>
      </c>
      <c r="C262" t="s">
        <v>14</v>
      </c>
      <c r="D262" t="s">
        <v>22</v>
      </c>
      <c r="E262" t="s">
        <v>70</v>
      </c>
      <c r="F262" t="s">
        <v>72</v>
      </c>
      <c r="G262">
        <v>3</v>
      </c>
      <c r="H262">
        <v>7.2</v>
      </c>
      <c r="I262">
        <v>5</v>
      </c>
      <c r="J262" t="s">
        <v>75</v>
      </c>
      <c r="K262" t="s">
        <v>77</v>
      </c>
      <c r="L262">
        <v>21.6</v>
      </c>
      <c r="M262">
        <v>1.08</v>
      </c>
      <c r="N262">
        <v>20.52</v>
      </c>
      <c r="O2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2" s="9" t="str">
        <f ca="1">IF(OR(ISNUMBER(Table13[[#This Row],[Order_Date]])=FALSE,Table13[[#This Row],[Order_Date]]&lt;DATE(2000,1,1),Table13[[#This Row],[Order_Date]]&gt;TODAY()),"YES","NO")</f>
        <v>NO</v>
      </c>
      <c r="Q262" s="9">
        <f>IF(Table13[[#This Row],[Order_Status]] = "Cancelled",0,IF(Table13[[#This Row],[Order_Status]] = "Returned",Table13[[#This Row],[Net_Sales]] * -1,Table13[[#This Row],[Net_Sales]]))</f>
        <v>20.52</v>
      </c>
      <c r="R262" s="9" t="str">
        <f>IF(Table13[[#This Row],[Gross_Sales]]&gt;=500, "YES","NO")</f>
        <v>NO</v>
      </c>
    </row>
    <row r="263" spans="1:18" x14ac:dyDescent="0.3">
      <c r="A263">
        <v>100258</v>
      </c>
      <c r="B263" s="8">
        <v>45302.708333333343</v>
      </c>
      <c r="C263" t="s">
        <v>15</v>
      </c>
      <c r="D263" t="s">
        <v>53</v>
      </c>
      <c r="E263" t="s">
        <v>67</v>
      </c>
      <c r="F263" t="s">
        <v>72</v>
      </c>
      <c r="G263">
        <v>3</v>
      </c>
      <c r="H263">
        <v>94.6</v>
      </c>
      <c r="I263">
        <v>10</v>
      </c>
      <c r="J263" t="s">
        <v>73</v>
      </c>
      <c r="K263" t="s">
        <v>77</v>
      </c>
      <c r="L263">
        <v>283.8</v>
      </c>
      <c r="M263">
        <v>28.38</v>
      </c>
      <c r="N263">
        <v>255.42</v>
      </c>
      <c r="O2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3" s="9" t="str">
        <f ca="1">IF(OR(ISNUMBER(Table13[[#This Row],[Order_Date]])=FALSE,Table13[[#This Row],[Order_Date]]&lt;DATE(2000,1,1),Table13[[#This Row],[Order_Date]]&gt;TODAY()),"YES","NO")</f>
        <v>NO</v>
      </c>
      <c r="Q263" s="9">
        <f>IF(Table13[[#This Row],[Order_Status]] = "Cancelled",0,IF(Table13[[#This Row],[Order_Status]] = "Returned",Table13[[#This Row],[Net_Sales]] * -1,Table13[[#This Row],[Net_Sales]]))</f>
        <v>255.42</v>
      </c>
      <c r="R263" s="9" t="str">
        <f>IF(Table13[[#This Row],[Gross_Sales]]&gt;=500, "YES","NO")</f>
        <v>NO</v>
      </c>
    </row>
    <row r="264" spans="1:18" x14ac:dyDescent="0.3">
      <c r="A264">
        <v>100259</v>
      </c>
      <c r="B264" s="8">
        <v>45302.75</v>
      </c>
      <c r="C264" t="s">
        <v>15</v>
      </c>
      <c r="D264" t="s">
        <v>33</v>
      </c>
      <c r="E264" t="s">
        <v>68</v>
      </c>
      <c r="F264" t="s">
        <v>71</v>
      </c>
      <c r="G264">
        <v>4</v>
      </c>
      <c r="H264">
        <v>75.12</v>
      </c>
      <c r="I264">
        <v>15</v>
      </c>
      <c r="J264" t="s">
        <v>74</v>
      </c>
      <c r="K264" t="s">
        <v>77</v>
      </c>
      <c r="L264">
        <v>300.48</v>
      </c>
      <c r="M264">
        <v>45.072000000000003</v>
      </c>
      <c r="N264">
        <v>255.40799999999999</v>
      </c>
      <c r="O2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4" s="9" t="str">
        <f ca="1">IF(OR(ISNUMBER(Table13[[#This Row],[Order_Date]])=FALSE,Table13[[#This Row],[Order_Date]]&lt;DATE(2000,1,1),Table13[[#This Row],[Order_Date]]&gt;TODAY()),"YES","NO")</f>
        <v>NO</v>
      </c>
      <c r="Q264" s="9">
        <f>IF(Table13[[#This Row],[Order_Status]] = "Cancelled",0,IF(Table13[[#This Row],[Order_Status]] = "Returned",Table13[[#This Row],[Net_Sales]] * -1,Table13[[#This Row],[Net_Sales]]))</f>
        <v>255.40799999999999</v>
      </c>
      <c r="R264" s="9" t="str">
        <f>IF(Table13[[#This Row],[Gross_Sales]]&gt;=500, "YES","NO")</f>
        <v>NO</v>
      </c>
    </row>
    <row r="265" spans="1:18" x14ac:dyDescent="0.3">
      <c r="A265">
        <v>100260</v>
      </c>
      <c r="B265" s="8">
        <v>45302.791666666657</v>
      </c>
      <c r="C265" t="s">
        <v>14</v>
      </c>
      <c r="D265" t="s">
        <v>39</v>
      </c>
      <c r="E265" t="s">
        <v>67</v>
      </c>
      <c r="F265" t="s">
        <v>71</v>
      </c>
      <c r="G265">
        <v>5</v>
      </c>
      <c r="H265">
        <v>85.46</v>
      </c>
      <c r="I265">
        <v>10</v>
      </c>
      <c r="J265" t="s">
        <v>76</v>
      </c>
      <c r="K265" t="s">
        <v>77</v>
      </c>
      <c r="L265">
        <v>427.3</v>
      </c>
      <c r="M265">
        <v>42.73</v>
      </c>
      <c r="N265">
        <v>384.56999999999988</v>
      </c>
      <c r="O2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5" s="9" t="str">
        <f ca="1">IF(OR(ISNUMBER(Table13[[#This Row],[Order_Date]])=FALSE,Table13[[#This Row],[Order_Date]]&lt;DATE(2000,1,1),Table13[[#This Row],[Order_Date]]&gt;TODAY()),"YES","NO")</f>
        <v>NO</v>
      </c>
      <c r="Q265" s="9">
        <f>IF(Table13[[#This Row],[Order_Status]] = "Cancelled",0,IF(Table13[[#This Row],[Order_Status]] = "Returned",Table13[[#This Row],[Net_Sales]] * -1,Table13[[#This Row],[Net_Sales]]))</f>
        <v>384.56999999999988</v>
      </c>
      <c r="R265" s="9" t="str">
        <f>IF(Table13[[#This Row],[Gross_Sales]]&gt;=500, "YES","NO")</f>
        <v>NO</v>
      </c>
    </row>
    <row r="266" spans="1:18" x14ac:dyDescent="0.3">
      <c r="A266">
        <v>100261</v>
      </c>
      <c r="B266" s="8">
        <v>45302.833333333343</v>
      </c>
      <c r="C266" t="s">
        <v>14</v>
      </c>
      <c r="D266" t="s">
        <v>33</v>
      </c>
      <c r="E266" t="s">
        <v>69</v>
      </c>
      <c r="F266" t="s">
        <v>72</v>
      </c>
      <c r="G266">
        <v>2</v>
      </c>
      <c r="H266">
        <v>101.39</v>
      </c>
      <c r="I266">
        <v>5</v>
      </c>
      <c r="J266" t="s">
        <v>73</v>
      </c>
      <c r="K266" t="s">
        <v>77</v>
      </c>
      <c r="L266">
        <v>202.78</v>
      </c>
      <c r="M266">
        <v>10.138999999999999</v>
      </c>
      <c r="N266">
        <v>192.64099999999999</v>
      </c>
      <c r="O2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6" s="9" t="str">
        <f ca="1">IF(OR(ISNUMBER(Table13[[#This Row],[Order_Date]])=FALSE,Table13[[#This Row],[Order_Date]]&lt;DATE(2000,1,1),Table13[[#This Row],[Order_Date]]&gt;TODAY()),"YES","NO")</f>
        <v>NO</v>
      </c>
      <c r="Q266" s="9">
        <f>IF(Table13[[#This Row],[Order_Status]] = "Cancelled",0,IF(Table13[[#This Row],[Order_Status]] = "Returned",Table13[[#This Row],[Net_Sales]] * -1,Table13[[#This Row],[Net_Sales]]))</f>
        <v>192.64099999999999</v>
      </c>
      <c r="R266" s="9" t="str">
        <f>IF(Table13[[#This Row],[Gross_Sales]]&gt;=500, "YES","NO")</f>
        <v>NO</v>
      </c>
    </row>
    <row r="267" spans="1:18" x14ac:dyDescent="0.3">
      <c r="A267">
        <v>100262</v>
      </c>
      <c r="B267" s="8">
        <v>45302.875</v>
      </c>
      <c r="C267" t="s">
        <v>15</v>
      </c>
      <c r="D267" t="s">
        <v>46</v>
      </c>
      <c r="E267" t="s">
        <v>70</v>
      </c>
      <c r="F267" t="s">
        <v>72</v>
      </c>
      <c r="G267">
        <v>1</v>
      </c>
      <c r="H267">
        <v>97.32</v>
      </c>
      <c r="I267">
        <v>15</v>
      </c>
      <c r="J267" t="s">
        <v>74</v>
      </c>
      <c r="K267" t="s">
        <v>77</v>
      </c>
      <c r="L267">
        <v>97.32</v>
      </c>
      <c r="M267">
        <v>14.598000000000001</v>
      </c>
      <c r="N267">
        <v>82.721999999999994</v>
      </c>
      <c r="O2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7" s="9" t="str">
        <f ca="1">IF(OR(ISNUMBER(Table13[[#This Row],[Order_Date]])=FALSE,Table13[[#This Row],[Order_Date]]&lt;DATE(2000,1,1),Table13[[#This Row],[Order_Date]]&gt;TODAY()),"YES","NO")</f>
        <v>NO</v>
      </c>
      <c r="Q267" s="9">
        <f>IF(Table13[[#This Row],[Order_Status]] = "Cancelled",0,IF(Table13[[#This Row],[Order_Status]] = "Returned",Table13[[#This Row],[Net_Sales]] * -1,Table13[[#This Row],[Net_Sales]]))</f>
        <v>82.721999999999994</v>
      </c>
      <c r="R267" s="9" t="str">
        <f>IF(Table13[[#This Row],[Gross_Sales]]&gt;=500, "YES","NO")</f>
        <v>NO</v>
      </c>
    </row>
    <row r="268" spans="1:18" x14ac:dyDescent="0.3">
      <c r="A268">
        <v>100263</v>
      </c>
      <c r="B268" s="8">
        <v>45302.916666666657</v>
      </c>
      <c r="C268" t="s">
        <v>14</v>
      </c>
      <c r="D268" t="s">
        <v>60</v>
      </c>
      <c r="E268" t="s">
        <v>66</v>
      </c>
      <c r="F268" t="s">
        <v>71</v>
      </c>
      <c r="G268">
        <v>5</v>
      </c>
      <c r="H268">
        <v>115.51</v>
      </c>
      <c r="I268">
        <v>0</v>
      </c>
      <c r="J268" t="s">
        <v>76</v>
      </c>
      <c r="K268" t="s">
        <v>77</v>
      </c>
      <c r="L268">
        <v>577.55000000000007</v>
      </c>
      <c r="M268">
        <v>0</v>
      </c>
      <c r="N268">
        <v>577.55000000000007</v>
      </c>
      <c r="O2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8" s="9" t="str">
        <f ca="1">IF(OR(ISNUMBER(Table13[[#This Row],[Order_Date]])=FALSE,Table13[[#This Row],[Order_Date]]&lt;DATE(2000,1,1),Table13[[#This Row],[Order_Date]]&gt;TODAY()),"YES","NO")</f>
        <v>NO</v>
      </c>
      <c r="Q268" s="9">
        <f>IF(Table13[[#This Row],[Order_Status]] = "Cancelled",0,IF(Table13[[#This Row],[Order_Status]] = "Returned",Table13[[#This Row],[Net_Sales]] * -1,Table13[[#This Row],[Net_Sales]]))</f>
        <v>577.55000000000007</v>
      </c>
      <c r="R268" s="9" t="str">
        <f>IF(Table13[[#This Row],[Gross_Sales]]&gt;=500, "YES","NO")</f>
        <v>YES</v>
      </c>
    </row>
    <row r="269" spans="1:18" x14ac:dyDescent="0.3">
      <c r="A269">
        <v>100264</v>
      </c>
      <c r="B269" s="8">
        <v>45302.958333333343</v>
      </c>
      <c r="C269" t="s">
        <v>14</v>
      </c>
      <c r="D269" t="s">
        <v>17</v>
      </c>
      <c r="E269" t="s">
        <v>70</v>
      </c>
      <c r="F269" t="s">
        <v>72</v>
      </c>
      <c r="G269">
        <v>4</v>
      </c>
      <c r="H269">
        <v>66.63</v>
      </c>
      <c r="I269">
        <v>5</v>
      </c>
      <c r="J269" t="s">
        <v>74</v>
      </c>
      <c r="K269" t="s">
        <v>77</v>
      </c>
      <c r="L269">
        <v>266.52</v>
      </c>
      <c r="M269">
        <v>13.326000000000001</v>
      </c>
      <c r="N269">
        <v>253.19399999999999</v>
      </c>
      <c r="O2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69" s="9" t="str">
        <f ca="1">IF(OR(ISNUMBER(Table13[[#This Row],[Order_Date]])=FALSE,Table13[[#This Row],[Order_Date]]&lt;DATE(2000,1,1),Table13[[#This Row],[Order_Date]]&gt;TODAY()),"YES","NO")</f>
        <v>NO</v>
      </c>
      <c r="Q269" s="9">
        <f>IF(Table13[[#This Row],[Order_Status]] = "Cancelled",0,IF(Table13[[#This Row],[Order_Status]] = "Returned",Table13[[#This Row],[Net_Sales]] * -1,Table13[[#This Row],[Net_Sales]]))</f>
        <v>253.19399999999999</v>
      </c>
      <c r="R269" s="9" t="str">
        <f>IF(Table13[[#This Row],[Gross_Sales]]&gt;=500, "YES","NO")</f>
        <v>NO</v>
      </c>
    </row>
    <row r="270" spans="1:18" x14ac:dyDescent="0.3">
      <c r="A270">
        <v>100265</v>
      </c>
      <c r="B270" s="8">
        <v>45303</v>
      </c>
      <c r="C270" t="s">
        <v>14</v>
      </c>
      <c r="D270" t="s">
        <v>48</v>
      </c>
      <c r="E270" t="s">
        <v>69</v>
      </c>
      <c r="F270" t="s">
        <v>72</v>
      </c>
      <c r="G270">
        <v>1</v>
      </c>
      <c r="H270">
        <v>61.18</v>
      </c>
      <c r="I270">
        <v>0</v>
      </c>
      <c r="J270" t="s">
        <v>73</v>
      </c>
      <c r="K270" t="s">
        <v>77</v>
      </c>
      <c r="L270">
        <v>61.18</v>
      </c>
      <c r="M270">
        <v>0</v>
      </c>
      <c r="N270">
        <v>61.18</v>
      </c>
      <c r="O2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0" s="9" t="str">
        <f ca="1">IF(OR(ISNUMBER(Table13[[#This Row],[Order_Date]])=FALSE,Table13[[#This Row],[Order_Date]]&lt;DATE(2000,1,1),Table13[[#This Row],[Order_Date]]&gt;TODAY()),"YES","NO")</f>
        <v>NO</v>
      </c>
      <c r="Q270" s="9">
        <f>IF(Table13[[#This Row],[Order_Status]] = "Cancelled",0,IF(Table13[[#This Row],[Order_Status]] = "Returned",Table13[[#This Row],[Net_Sales]] * -1,Table13[[#This Row],[Net_Sales]]))</f>
        <v>61.18</v>
      </c>
      <c r="R270" s="9" t="str">
        <f>IF(Table13[[#This Row],[Gross_Sales]]&gt;=500, "YES","NO")</f>
        <v>NO</v>
      </c>
    </row>
    <row r="271" spans="1:18" x14ac:dyDescent="0.3">
      <c r="A271">
        <v>100266</v>
      </c>
      <c r="B271" s="8">
        <v>45303.041666666657</v>
      </c>
      <c r="C271" t="s">
        <v>15</v>
      </c>
      <c r="D271" t="s">
        <v>46</v>
      </c>
      <c r="E271" t="s">
        <v>70</v>
      </c>
      <c r="F271" t="s">
        <v>72</v>
      </c>
      <c r="G271">
        <v>3</v>
      </c>
      <c r="H271">
        <v>51.22</v>
      </c>
      <c r="I271">
        <v>15</v>
      </c>
      <c r="J271" t="s">
        <v>73</v>
      </c>
      <c r="K271" t="s">
        <v>77</v>
      </c>
      <c r="L271">
        <v>153.66</v>
      </c>
      <c r="M271">
        <v>23.048999999999999</v>
      </c>
      <c r="N271">
        <v>130.61099999999999</v>
      </c>
      <c r="O2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1" s="9" t="str">
        <f ca="1">IF(OR(ISNUMBER(Table13[[#This Row],[Order_Date]])=FALSE,Table13[[#This Row],[Order_Date]]&lt;DATE(2000,1,1),Table13[[#This Row],[Order_Date]]&gt;TODAY()),"YES","NO")</f>
        <v>NO</v>
      </c>
      <c r="Q271" s="9">
        <f>IF(Table13[[#This Row],[Order_Status]] = "Cancelled",0,IF(Table13[[#This Row],[Order_Status]] = "Returned",Table13[[#This Row],[Net_Sales]] * -1,Table13[[#This Row],[Net_Sales]]))</f>
        <v>130.61099999999999</v>
      </c>
      <c r="R271" s="9" t="str">
        <f>IF(Table13[[#This Row],[Gross_Sales]]&gt;=500, "YES","NO")</f>
        <v>NO</v>
      </c>
    </row>
    <row r="272" spans="1:18" x14ac:dyDescent="0.3">
      <c r="A272">
        <v>100267</v>
      </c>
      <c r="B272" s="8">
        <v>45303.083333333343</v>
      </c>
      <c r="C272" t="s">
        <v>15</v>
      </c>
      <c r="D272" t="s">
        <v>54</v>
      </c>
      <c r="E272" t="s">
        <v>70</v>
      </c>
      <c r="F272" t="s">
        <v>72</v>
      </c>
      <c r="G272">
        <v>2</v>
      </c>
      <c r="H272">
        <v>22.67</v>
      </c>
      <c r="I272">
        <v>5</v>
      </c>
      <c r="J272" t="s">
        <v>73</v>
      </c>
      <c r="K272" t="s">
        <v>77</v>
      </c>
      <c r="L272">
        <v>45.34</v>
      </c>
      <c r="M272">
        <v>2.2669999999999999</v>
      </c>
      <c r="N272">
        <v>43.073</v>
      </c>
      <c r="O2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2" s="9" t="str">
        <f ca="1">IF(OR(ISNUMBER(Table13[[#This Row],[Order_Date]])=FALSE,Table13[[#This Row],[Order_Date]]&lt;DATE(2000,1,1),Table13[[#This Row],[Order_Date]]&gt;TODAY()),"YES","NO")</f>
        <v>NO</v>
      </c>
      <c r="Q272" s="9">
        <f>IF(Table13[[#This Row],[Order_Status]] = "Cancelled",0,IF(Table13[[#This Row],[Order_Status]] = "Returned",Table13[[#This Row],[Net_Sales]] * -1,Table13[[#This Row],[Net_Sales]]))</f>
        <v>43.073</v>
      </c>
      <c r="R272" s="9" t="str">
        <f>IF(Table13[[#This Row],[Gross_Sales]]&gt;=500, "YES","NO")</f>
        <v>NO</v>
      </c>
    </row>
    <row r="273" spans="1:18" x14ac:dyDescent="0.3">
      <c r="A273">
        <v>100268</v>
      </c>
      <c r="B273" s="8">
        <v>45303.125</v>
      </c>
      <c r="C273" t="s">
        <v>15</v>
      </c>
      <c r="D273" t="s">
        <v>50</v>
      </c>
      <c r="E273" t="s">
        <v>69</v>
      </c>
      <c r="F273" t="s">
        <v>71</v>
      </c>
      <c r="G273">
        <v>3</v>
      </c>
      <c r="H273">
        <v>70.849999999999994</v>
      </c>
      <c r="I273">
        <v>5</v>
      </c>
      <c r="J273" t="s">
        <v>75</v>
      </c>
      <c r="K273" t="s">
        <v>77</v>
      </c>
      <c r="L273">
        <v>212.55</v>
      </c>
      <c r="M273">
        <v>10.6275</v>
      </c>
      <c r="N273">
        <v>201.92250000000001</v>
      </c>
      <c r="O2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3" s="9" t="str">
        <f ca="1">IF(OR(ISNUMBER(Table13[[#This Row],[Order_Date]])=FALSE,Table13[[#This Row],[Order_Date]]&lt;DATE(2000,1,1),Table13[[#This Row],[Order_Date]]&gt;TODAY()),"YES","NO")</f>
        <v>NO</v>
      </c>
      <c r="Q273" s="9">
        <f>IF(Table13[[#This Row],[Order_Status]] = "Cancelled",0,IF(Table13[[#This Row],[Order_Status]] = "Returned",Table13[[#This Row],[Net_Sales]] * -1,Table13[[#This Row],[Net_Sales]]))</f>
        <v>201.92250000000001</v>
      </c>
      <c r="R273" s="9" t="str">
        <f>IF(Table13[[#This Row],[Gross_Sales]]&gt;=500, "YES","NO")</f>
        <v>NO</v>
      </c>
    </row>
    <row r="274" spans="1:18" x14ac:dyDescent="0.3">
      <c r="A274">
        <v>100269</v>
      </c>
      <c r="B274" s="8">
        <v>45303.166666666657</v>
      </c>
      <c r="C274" t="s">
        <v>14</v>
      </c>
      <c r="D274" t="s">
        <v>64</v>
      </c>
      <c r="E274" t="s">
        <v>70</v>
      </c>
      <c r="F274" t="s">
        <v>72</v>
      </c>
      <c r="G274">
        <v>4</v>
      </c>
      <c r="H274">
        <v>36.86</v>
      </c>
      <c r="I274">
        <v>15</v>
      </c>
      <c r="J274" t="s">
        <v>74</v>
      </c>
      <c r="K274" t="s">
        <v>77</v>
      </c>
      <c r="L274">
        <v>147.44</v>
      </c>
      <c r="M274">
        <v>22.116</v>
      </c>
      <c r="N274">
        <v>125.324</v>
      </c>
      <c r="O2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4" s="9" t="str">
        <f ca="1">IF(OR(ISNUMBER(Table13[[#This Row],[Order_Date]])=FALSE,Table13[[#This Row],[Order_Date]]&lt;DATE(2000,1,1),Table13[[#This Row],[Order_Date]]&gt;TODAY()),"YES","NO")</f>
        <v>NO</v>
      </c>
      <c r="Q274" s="9">
        <f>IF(Table13[[#This Row],[Order_Status]] = "Cancelled",0,IF(Table13[[#This Row],[Order_Status]] = "Returned",Table13[[#This Row],[Net_Sales]] * -1,Table13[[#This Row],[Net_Sales]]))</f>
        <v>125.324</v>
      </c>
      <c r="R274" s="9" t="str">
        <f>IF(Table13[[#This Row],[Gross_Sales]]&gt;=500, "YES","NO")</f>
        <v>NO</v>
      </c>
    </row>
    <row r="275" spans="1:18" x14ac:dyDescent="0.3">
      <c r="A275">
        <v>100270</v>
      </c>
      <c r="B275" s="8">
        <v>45303.208333333343</v>
      </c>
      <c r="C275" t="s">
        <v>14</v>
      </c>
      <c r="D275" t="s">
        <v>60</v>
      </c>
      <c r="E275" t="s">
        <v>68</v>
      </c>
      <c r="F275" t="s">
        <v>72</v>
      </c>
      <c r="G275">
        <v>1</v>
      </c>
      <c r="H275">
        <v>110.95</v>
      </c>
      <c r="I275">
        <v>10</v>
      </c>
      <c r="J275" t="s">
        <v>75</v>
      </c>
      <c r="K275" t="s">
        <v>77</v>
      </c>
      <c r="L275">
        <v>110.95</v>
      </c>
      <c r="M275">
        <v>11.095000000000001</v>
      </c>
      <c r="N275">
        <v>99.855000000000004</v>
      </c>
      <c r="O2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5" s="9" t="str">
        <f ca="1">IF(OR(ISNUMBER(Table13[[#This Row],[Order_Date]])=FALSE,Table13[[#This Row],[Order_Date]]&lt;DATE(2000,1,1),Table13[[#This Row],[Order_Date]]&gt;TODAY()),"YES","NO")</f>
        <v>NO</v>
      </c>
      <c r="Q275" s="9">
        <f>IF(Table13[[#This Row],[Order_Status]] = "Cancelled",0,IF(Table13[[#This Row],[Order_Status]] = "Returned",Table13[[#This Row],[Net_Sales]] * -1,Table13[[#This Row],[Net_Sales]]))</f>
        <v>99.855000000000004</v>
      </c>
      <c r="R275" s="9" t="str">
        <f>IF(Table13[[#This Row],[Gross_Sales]]&gt;=500, "YES","NO")</f>
        <v>NO</v>
      </c>
    </row>
    <row r="276" spans="1:18" x14ac:dyDescent="0.3">
      <c r="A276">
        <v>100271</v>
      </c>
      <c r="B276" s="8">
        <v>45303.25</v>
      </c>
      <c r="C276" t="s">
        <v>15</v>
      </c>
      <c r="D276" t="s">
        <v>46</v>
      </c>
      <c r="E276" t="s">
        <v>68</v>
      </c>
      <c r="F276" t="s">
        <v>71</v>
      </c>
      <c r="G276">
        <v>4</v>
      </c>
      <c r="H276">
        <v>72.069999999999993</v>
      </c>
      <c r="I276">
        <v>5</v>
      </c>
      <c r="J276" t="s">
        <v>73</v>
      </c>
      <c r="K276" t="s">
        <v>77</v>
      </c>
      <c r="L276">
        <v>288.27999999999997</v>
      </c>
      <c r="M276">
        <v>14.414</v>
      </c>
      <c r="N276">
        <v>273.86599999999999</v>
      </c>
      <c r="O2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6" s="9" t="str">
        <f ca="1">IF(OR(ISNUMBER(Table13[[#This Row],[Order_Date]])=FALSE,Table13[[#This Row],[Order_Date]]&lt;DATE(2000,1,1),Table13[[#This Row],[Order_Date]]&gt;TODAY()),"YES","NO")</f>
        <v>NO</v>
      </c>
      <c r="Q276" s="9">
        <f>IF(Table13[[#This Row],[Order_Status]] = "Cancelled",0,IF(Table13[[#This Row],[Order_Status]] = "Returned",Table13[[#This Row],[Net_Sales]] * -1,Table13[[#This Row],[Net_Sales]]))</f>
        <v>273.86599999999999</v>
      </c>
      <c r="R276" s="9" t="str">
        <f>IF(Table13[[#This Row],[Gross_Sales]]&gt;=500, "YES","NO")</f>
        <v>NO</v>
      </c>
    </row>
    <row r="277" spans="1:18" x14ac:dyDescent="0.3">
      <c r="A277">
        <v>100272</v>
      </c>
      <c r="B277" s="8">
        <v>45303.291666666657</v>
      </c>
      <c r="C277" t="s">
        <v>15</v>
      </c>
      <c r="D277" t="s">
        <v>26</v>
      </c>
      <c r="E277" t="s">
        <v>70</v>
      </c>
      <c r="F277" t="s">
        <v>71</v>
      </c>
      <c r="G277">
        <v>1</v>
      </c>
      <c r="H277">
        <v>73.180000000000007</v>
      </c>
      <c r="I277">
        <v>5</v>
      </c>
      <c r="J277" t="s">
        <v>76</v>
      </c>
      <c r="K277" t="s">
        <v>79</v>
      </c>
      <c r="L277">
        <v>73.180000000000007</v>
      </c>
      <c r="M277">
        <v>3.6590000000000011</v>
      </c>
      <c r="N277">
        <v>69.521000000000001</v>
      </c>
      <c r="O2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77" s="9" t="str">
        <f ca="1">IF(OR(ISNUMBER(Table13[[#This Row],[Order_Date]])=FALSE,Table13[[#This Row],[Order_Date]]&lt;DATE(2000,1,1),Table13[[#This Row],[Order_Date]]&gt;TODAY()),"YES","NO")</f>
        <v>NO</v>
      </c>
      <c r="Q277" s="9">
        <f>IF(Table13[[#This Row],[Order_Status]] = "Cancelled",0,IF(Table13[[#This Row],[Order_Status]] = "Returned",Table13[[#This Row],[Net_Sales]] * -1,Table13[[#This Row],[Net_Sales]]))</f>
        <v>0</v>
      </c>
      <c r="R277" s="9" t="str">
        <f>IF(Table13[[#This Row],[Gross_Sales]]&gt;=500, "YES","NO")</f>
        <v>NO</v>
      </c>
    </row>
    <row r="278" spans="1:18" x14ac:dyDescent="0.3">
      <c r="A278">
        <v>100273</v>
      </c>
      <c r="B278" s="8">
        <v>45303.333333333343</v>
      </c>
      <c r="C278" t="s">
        <v>15</v>
      </c>
      <c r="D278" t="s">
        <v>31</v>
      </c>
      <c r="E278" t="s">
        <v>66</v>
      </c>
      <c r="F278" t="s">
        <v>72</v>
      </c>
      <c r="G278">
        <v>5</v>
      </c>
      <c r="H278">
        <v>45.82</v>
      </c>
      <c r="I278">
        <v>0</v>
      </c>
      <c r="J278" t="s">
        <v>74</v>
      </c>
      <c r="K278" t="s">
        <v>77</v>
      </c>
      <c r="L278">
        <v>229.1</v>
      </c>
      <c r="M278">
        <v>0</v>
      </c>
      <c r="N278">
        <v>229.1</v>
      </c>
      <c r="O2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8" s="9" t="str">
        <f ca="1">IF(OR(ISNUMBER(Table13[[#This Row],[Order_Date]])=FALSE,Table13[[#This Row],[Order_Date]]&lt;DATE(2000,1,1),Table13[[#This Row],[Order_Date]]&gt;TODAY()),"YES","NO")</f>
        <v>NO</v>
      </c>
      <c r="Q278" s="9">
        <f>IF(Table13[[#This Row],[Order_Status]] = "Cancelled",0,IF(Table13[[#This Row],[Order_Status]] = "Returned",Table13[[#This Row],[Net_Sales]] * -1,Table13[[#This Row],[Net_Sales]]))</f>
        <v>229.1</v>
      </c>
      <c r="R278" s="9" t="str">
        <f>IF(Table13[[#This Row],[Gross_Sales]]&gt;=500, "YES","NO")</f>
        <v>NO</v>
      </c>
    </row>
    <row r="279" spans="1:18" x14ac:dyDescent="0.3">
      <c r="A279">
        <v>100274</v>
      </c>
      <c r="B279" s="8">
        <v>45303.375</v>
      </c>
      <c r="C279" t="s">
        <v>15</v>
      </c>
      <c r="D279" t="s">
        <v>19</v>
      </c>
      <c r="E279" t="s">
        <v>69</v>
      </c>
      <c r="F279" t="s">
        <v>72</v>
      </c>
      <c r="G279">
        <v>2</v>
      </c>
      <c r="H279">
        <v>10.98</v>
      </c>
      <c r="I279">
        <v>10</v>
      </c>
      <c r="J279" t="s">
        <v>75</v>
      </c>
      <c r="K279" t="s">
        <v>77</v>
      </c>
      <c r="L279">
        <v>21.96</v>
      </c>
      <c r="M279">
        <v>2.1960000000000002</v>
      </c>
      <c r="N279">
        <v>19.763999999999999</v>
      </c>
      <c r="O2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79" s="9" t="str">
        <f ca="1">IF(OR(ISNUMBER(Table13[[#This Row],[Order_Date]])=FALSE,Table13[[#This Row],[Order_Date]]&lt;DATE(2000,1,1),Table13[[#This Row],[Order_Date]]&gt;TODAY()),"YES","NO")</f>
        <v>NO</v>
      </c>
      <c r="Q279" s="9">
        <f>IF(Table13[[#This Row],[Order_Status]] = "Cancelled",0,IF(Table13[[#This Row],[Order_Status]] = "Returned",Table13[[#This Row],[Net_Sales]] * -1,Table13[[#This Row],[Net_Sales]]))</f>
        <v>19.763999999999999</v>
      </c>
      <c r="R279" s="9" t="str">
        <f>IF(Table13[[#This Row],[Gross_Sales]]&gt;=500, "YES","NO")</f>
        <v>NO</v>
      </c>
    </row>
    <row r="280" spans="1:18" x14ac:dyDescent="0.3">
      <c r="A280">
        <v>100275</v>
      </c>
      <c r="B280" s="8">
        <v>45303.416666666657</v>
      </c>
      <c r="C280" t="s">
        <v>14</v>
      </c>
      <c r="D280" t="s">
        <v>21</v>
      </c>
      <c r="E280" t="s">
        <v>68</v>
      </c>
      <c r="F280" t="s">
        <v>72</v>
      </c>
      <c r="G280">
        <v>5</v>
      </c>
      <c r="H280">
        <v>8.65</v>
      </c>
      <c r="I280">
        <v>0</v>
      </c>
      <c r="J280" t="s">
        <v>74</v>
      </c>
      <c r="K280" t="s">
        <v>77</v>
      </c>
      <c r="L280">
        <v>43.25</v>
      </c>
      <c r="M280">
        <v>0</v>
      </c>
      <c r="N280">
        <v>43.25</v>
      </c>
      <c r="O2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0" s="9" t="str">
        <f ca="1">IF(OR(ISNUMBER(Table13[[#This Row],[Order_Date]])=FALSE,Table13[[#This Row],[Order_Date]]&lt;DATE(2000,1,1),Table13[[#This Row],[Order_Date]]&gt;TODAY()),"YES","NO")</f>
        <v>NO</v>
      </c>
      <c r="Q280" s="9">
        <f>IF(Table13[[#This Row],[Order_Status]] = "Cancelled",0,IF(Table13[[#This Row],[Order_Status]] = "Returned",Table13[[#This Row],[Net_Sales]] * -1,Table13[[#This Row],[Net_Sales]]))</f>
        <v>43.25</v>
      </c>
      <c r="R280" s="9" t="str">
        <f>IF(Table13[[#This Row],[Gross_Sales]]&gt;=500, "YES","NO")</f>
        <v>NO</v>
      </c>
    </row>
    <row r="281" spans="1:18" x14ac:dyDescent="0.3">
      <c r="A281">
        <v>100276</v>
      </c>
      <c r="B281" s="8">
        <v>45303.458333333343</v>
      </c>
      <c r="C281" t="s">
        <v>15</v>
      </c>
      <c r="D281" t="s">
        <v>39</v>
      </c>
      <c r="E281" t="s">
        <v>66</v>
      </c>
      <c r="F281" t="s">
        <v>72</v>
      </c>
      <c r="G281">
        <v>5</v>
      </c>
      <c r="H281">
        <v>53.68</v>
      </c>
      <c r="I281">
        <v>0</v>
      </c>
      <c r="J281" t="s">
        <v>76</v>
      </c>
      <c r="K281" t="s">
        <v>78</v>
      </c>
      <c r="L281">
        <v>268.39999999999998</v>
      </c>
      <c r="M281">
        <v>0</v>
      </c>
      <c r="N281">
        <v>268.39999999999998</v>
      </c>
      <c r="O2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81" s="9" t="str">
        <f ca="1">IF(OR(ISNUMBER(Table13[[#This Row],[Order_Date]])=FALSE,Table13[[#This Row],[Order_Date]]&lt;DATE(2000,1,1),Table13[[#This Row],[Order_Date]]&gt;TODAY()),"YES","NO")</f>
        <v>NO</v>
      </c>
      <c r="Q281" s="9">
        <f>IF(Table13[[#This Row],[Order_Status]] = "Cancelled",0,IF(Table13[[#This Row],[Order_Status]] = "Returned",Table13[[#This Row],[Net_Sales]] * -1,Table13[[#This Row],[Net_Sales]]))</f>
        <v>-268.39999999999998</v>
      </c>
      <c r="R281" s="9" t="str">
        <f>IF(Table13[[#This Row],[Gross_Sales]]&gt;=500, "YES","NO")</f>
        <v>NO</v>
      </c>
    </row>
    <row r="282" spans="1:18" x14ac:dyDescent="0.3">
      <c r="A282">
        <v>100277</v>
      </c>
      <c r="B282" s="8">
        <v>45303.5</v>
      </c>
      <c r="C282" t="s">
        <v>14</v>
      </c>
      <c r="D282" t="s">
        <v>53</v>
      </c>
      <c r="E282" t="s">
        <v>70</v>
      </c>
      <c r="F282" t="s">
        <v>71</v>
      </c>
      <c r="G282">
        <v>4</v>
      </c>
      <c r="H282">
        <v>14.73</v>
      </c>
      <c r="I282">
        <v>10</v>
      </c>
      <c r="J282" t="s">
        <v>75</v>
      </c>
      <c r="K282" t="s">
        <v>77</v>
      </c>
      <c r="L282">
        <v>58.92</v>
      </c>
      <c r="M282">
        <v>5.8920000000000003</v>
      </c>
      <c r="N282">
        <v>53.027999999999999</v>
      </c>
      <c r="O2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2" s="9" t="str">
        <f ca="1">IF(OR(ISNUMBER(Table13[[#This Row],[Order_Date]])=FALSE,Table13[[#This Row],[Order_Date]]&lt;DATE(2000,1,1),Table13[[#This Row],[Order_Date]]&gt;TODAY()),"YES","NO")</f>
        <v>NO</v>
      </c>
      <c r="Q282" s="9">
        <f>IF(Table13[[#This Row],[Order_Status]] = "Cancelled",0,IF(Table13[[#This Row],[Order_Status]] = "Returned",Table13[[#This Row],[Net_Sales]] * -1,Table13[[#This Row],[Net_Sales]]))</f>
        <v>53.027999999999999</v>
      </c>
      <c r="R282" s="9" t="str">
        <f>IF(Table13[[#This Row],[Gross_Sales]]&gt;=500, "YES","NO")</f>
        <v>NO</v>
      </c>
    </row>
    <row r="283" spans="1:18" x14ac:dyDescent="0.3">
      <c r="A283">
        <v>100278</v>
      </c>
      <c r="B283" s="8">
        <v>45303.541666666657</v>
      </c>
      <c r="C283" t="s">
        <v>15</v>
      </c>
      <c r="D283" t="s">
        <v>59</v>
      </c>
      <c r="E283" t="s">
        <v>66</v>
      </c>
      <c r="F283" t="s">
        <v>71</v>
      </c>
      <c r="G283">
        <v>2</v>
      </c>
      <c r="H283">
        <v>74.790000000000006</v>
      </c>
      <c r="I283">
        <v>10</v>
      </c>
      <c r="J283" t="s">
        <v>73</v>
      </c>
      <c r="K283" t="s">
        <v>77</v>
      </c>
      <c r="L283">
        <v>149.58000000000001</v>
      </c>
      <c r="M283">
        <v>14.958</v>
      </c>
      <c r="N283">
        <v>134.62200000000001</v>
      </c>
      <c r="O2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3" s="9" t="str">
        <f ca="1">IF(OR(ISNUMBER(Table13[[#This Row],[Order_Date]])=FALSE,Table13[[#This Row],[Order_Date]]&lt;DATE(2000,1,1),Table13[[#This Row],[Order_Date]]&gt;TODAY()),"YES","NO")</f>
        <v>NO</v>
      </c>
      <c r="Q283" s="9">
        <f>IF(Table13[[#This Row],[Order_Status]] = "Cancelled",0,IF(Table13[[#This Row],[Order_Status]] = "Returned",Table13[[#This Row],[Net_Sales]] * -1,Table13[[#This Row],[Net_Sales]]))</f>
        <v>134.62200000000001</v>
      </c>
      <c r="R283" s="9" t="str">
        <f>IF(Table13[[#This Row],[Gross_Sales]]&gt;=500, "YES","NO")</f>
        <v>NO</v>
      </c>
    </row>
    <row r="284" spans="1:18" x14ac:dyDescent="0.3">
      <c r="A284">
        <v>100279</v>
      </c>
      <c r="B284" s="8">
        <v>45303.583333333343</v>
      </c>
      <c r="C284" t="s">
        <v>14</v>
      </c>
      <c r="D284" t="s">
        <v>26</v>
      </c>
      <c r="E284" t="s">
        <v>67</v>
      </c>
      <c r="F284" t="s">
        <v>71</v>
      </c>
      <c r="G284">
        <v>1</v>
      </c>
      <c r="H284">
        <v>106.31</v>
      </c>
      <c r="I284">
        <v>15</v>
      </c>
      <c r="J284" t="s">
        <v>75</v>
      </c>
      <c r="K284" t="s">
        <v>77</v>
      </c>
      <c r="L284">
        <v>106.31</v>
      </c>
      <c r="M284">
        <v>15.9465</v>
      </c>
      <c r="N284">
        <v>90.363500000000002</v>
      </c>
      <c r="O2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4" s="9" t="str">
        <f ca="1">IF(OR(ISNUMBER(Table13[[#This Row],[Order_Date]])=FALSE,Table13[[#This Row],[Order_Date]]&lt;DATE(2000,1,1),Table13[[#This Row],[Order_Date]]&gt;TODAY()),"YES","NO")</f>
        <v>NO</v>
      </c>
      <c r="Q284" s="9">
        <f>IF(Table13[[#This Row],[Order_Status]] = "Cancelled",0,IF(Table13[[#This Row],[Order_Status]] = "Returned",Table13[[#This Row],[Net_Sales]] * -1,Table13[[#This Row],[Net_Sales]]))</f>
        <v>90.363500000000002</v>
      </c>
      <c r="R284" s="9" t="str">
        <f>IF(Table13[[#This Row],[Gross_Sales]]&gt;=500, "YES","NO")</f>
        <v>NO</v>
      </c>
    </row>
    <row r="285" spans="1:18" x14ac:dyDescent="0.3">
      <c r="A285">
        <v>100280</v>
      </c>
      <c r="B285" s="8">
        <v>45303.625</v>
      </c>
      <c r="C285" t="s">
        <v>15</v>
      </c>
      <c r="D285" t="s">
        <v>38</v>
      </c>
      <c r="E285" t="s">
        <v>68</v>
      </c>
      <c r="F285" t="s">
        <v>72</v>
      </c>
      <c r="G285">
        <v>1</v>
      </c>
      <c r="H285">
        <v>106.54</v>
      </c>
      <c r="I285">
        <v>10</v>
      </c>
      <c r="J285" t="s">
        <v>74</v>
      </c>
      <c r="K285" t="s">
        <v>77</v>
      </c>
      <c r="L285">
        <v>106.54</v>
      </c>
      <c r="M285">
        <v>10.654</v>
      </c>
      <c r="N285">
        <v>95.88600000000001</v>
      </c>
      <c r="O2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5" s="9" t="str">
        <f ca="1">IF(OR(ISNUMBER(Table13[[#This Row],[Order_Date]])=FALSE,Table13[[#This Row],[Order_Date]]&lt;DATE(2000,1,1),Table13[[#This Row],[Order_Date]]&gt;TODAY()),"YES","NO")</f>
        <v>NO</v>
      </c>
      <c r="Q285" s="9">
        <f>IF(Table13[[#This Row],[Order_Status]] = "Cancelled",0,IF(Table13[[#This Row],[Order_Status]] = "Returned",Table13[[#This Row],[Net_Sales]] * -1,Table13[[#This Row],[Net_Sales]]))</f>
        <v>95.88600000000001</v>
      </c>
      <c r="R285" s="9" t="str">
        <f>IF(Table13[[#This Row],[Gross_Sales]]&gt;=500, "YES","NO")</f>
        <v>NO</v>
      </c>
    </row>
    <row r="286" spans="1:18" x14ac:dyDescent="0.3">
      <c r="A286">
        <v>100281</v>
      </c>
      <c r="B286" s="8">
        <v>45303.666666666657</v>
      </c>
      <c r="C286" t="s">
        <v>15</v>
      </c>
      <c r="D286" t="s">
        <v>33</v>
      </c>
      <c r="E286" t="s">
        <v>70</v>
      </c>
      <c r="F286" t="s">
        <v>72</v>
      </c>
      <c r="G286">
        <v>3</v>
      </c>
      <c r="H286">
        <v>80.790000000000006</v>
      </c>
      <c r="I286">
        <v>5</v>
      </c>
      <c r="J286" t="s">
        <v>74</v>
      </c>
      <c r="K286" t="s">
        <v>77</v>
      </c>
      <c r="L286">
        <v>242.37</v>
      </c>
      <c r="M286">
        <v>12.118499999999999</v>
      </c>
      <c r="N286">
        <v>230.25149999999999</v>
      </c>
      <c r="O2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6" s="9" t="str">
        <f ca="1">IF(OR(ISNUMBER(Table13[[#This Row],[Order_Date]])=FALSE,Table13[[#This Row],[Order_Date]]&lt;DATE(2000,1,1),Table13[[#This Row],[Order_Date]]&gt;TODAY()),"YES","NO")</f>
        <v>NO</v>
      </c>
      <c r="Q286" s="9">
        <f>IF(Table13[[#This Row],[Order_Status]] = "Cancelled",0,IF(Table13[[#This Row],[Order_Status]] = "Returned",Table13[[#This Row],[Net_Sales]] * -1,Table13[[#This Row],[Net_Sales]]))</f>
        <v>230.25149999999999</v>
      </c>
      <c r="R286" s="9" t="str">
        <f>IF(Table13[[#This Row],[Gross_Sales]]&gt;=500, "YES","NO")</f>
        <v>NO</v>
      </c>
    </row>
    <row r="287" spans="1:18" x14ac:dyDescent="0.3">
      <c r="A287">
        <v>100282</v>
      </c>
      <c r="B287" s="8">
        <v>45303.708333333343</v>
      </c>
      <c r="C287" t="s">
        <v>15</v>
      </c>
      <c r="D287" t="s">
        <v>47</v>
      </c>
      <c r="E287" t="s">
        <v>69</v>
      </c>
      <c r="F287" t="s">
        <v>72</v>
      </c>
      <c r="G287">
        <v>1</v>
      </c>
      <c r="H287">
        <v>29.29</v>
      </c>
      <c r="I287">
        <v>10</v>
      </c>
      <c r="J287" t="s">
        <v>74</v>
      </c>
      <c r="K287" t="s">
        <v>77</v>
      </c>
      <c r="L287">
        <v>29.29</v>
      </c>
      <c r="M287">
        <v>2.9289999999999998</v>
      </c>
      <c r="N287">
        <v>26.361000000000001</v>
      </c>
      <c r="O2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7" s="9" t="str">
        <f ca="1">IF(OR(ISNUMBER(Table13[[#This Row],[Order_Date]])=FALSE,Table13[[#This Row],[Order_Date]]&lt;DATE(2000,1,1),Table13[[#This Row],[Order_Date]]&gt;TODAY()),"YES","NO")</f>
        <v>NO</v>
      </c>
      <c r="Q287" s="9">
        <f>IF(Table13[[#This Row],[Order_Status]] = "Cancelled",0,IF(Table13[[#This Row],[Order_Status]] = "Returned",Table13[[#This Row],[Net_Sales]] * -1,Table13[[#This Row],[Net_Sales]]))</f>
        <v>26.361000000000001</v>
      </c>
      <c r="R287" s="9" t="str">
        <f>IF(Table13[[#This Row],[Gross_Sales]]&gt;=500, "YES","NO")</f>
        <v>NO</v>
      </c>
    </row>
    <row r="288" spans="1:18" x14ac:dyDescent="0.3">
      <c r="A288">
        <v>100283</v>
      </c>
      <c r="B288" s="8">
        <v>45303.75</v>
      </c>
      <c r="C288" t="s">
        <v>15</v>
      </c>
      <c r="D288" t="s">
        <v>31</v>
      </c>
      <c r="E288" t="s">
        <v>70</v>
      </c>
      <c r="F288" t="s">
        <v>72</v>
      </c>
      <c r="G288">
        <v>4</v>
      </c>
      <c r="H288">
        <v>104.24</v>
      </c>
      <c r="I288">
        <v>15</v>
      </c>
      <c r="J288" t="s">
        <v>74</v>
      </c>
      <c r="K288" t="s">
        <v>77</v>
      </c>
      <c r="L288">
        <v>416.96</v>
      </c>
      <c r="M288">
        <v>62.543999999999997</v>
      </c>
      <c r="N288">
        <v>354.416</v>
      </c>
      <c r="O2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88" s="9" t="str">
        <f ca="1">IF(OR(ISNUMBER(Table13[[#This Row],[Order_Date]])=FALSE,Table13[[#This Row],[Order_Date]]&lt;DATE(2000,1,1),Table13[[#This Row],[Order_Date]]&gt;TODAY()),"YES","NO")</f>
        <v>NO</v>
      </c>
      <c r="Q288" s="9">
        <f>IF(Table13[[#This Row],[Order_Status]] = "Cancelled",0,IF(Table13[[#This Row],[Order_Status]] = "Returned",Table13[[#This Row],[Net_Sales]] * -1,Table13[[#This Row],[Net_Sales]]))</f>
        <v>354.416</v>
      </c>
      <c r="R288" s="9" t="str">
        <f>IF(Table13[[#This Row],[Gross_Sales]]&gt;=500, "YES","NO")</f>
        <v>NO</v>
      </c>
    </row>
    <row r="289" spans="1:18" x14ac:dyDescent="0.3">
      <c r="A289">
        <v>100284</v>
      </c>
      <c r="B289" s="8">
        <v>45303.791666666657</v>
      </c>
      <c r="C289" t="s">
        <v>14</v>
      </c>
      <c r="D289" t="s">
        <v>59</v>
      </c>
      <c r="E289" t="s">
        <v>69</v>
      </c>
      <c r="F289" t="s">
        <v>71</v>
      </c>
      <c r="G289">
        <v>5</v>
      </c>
      <c r="H289">
        <v>106.9</v>
      </c>
      <c r="I289">
        <v>15</v>
      </c>
      <c r="J289" t="s">
        <v>73</v>
      </c>
      <c r="K289" t="s">
        <v>78</v>
      </c>
      <c r="L289">
        <v>534.5</v>
      </c>
      <c r="M289">
        <v>80.174999999999997</v>
      </c>
      <c r="N289">
        <v>454.32499999999999</v>
      </c>
      <c r="O2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289" s="9" t="str">
        <f ca="1">IF(OR(ISNUMBER(Table13[[#This Row],[Order_Date]])=FALSE,Table13[[#This Row],[Order_Date]]&lt;DATE(2000,1,1),Table13[[#This Row],[Order_Date]]&gt;TODAY()),"YES","NO")</f>
        <v>NO</v>
      </c>
      <c r="Q289" s="9">
        <f>IF(Table13[[#This Row],[Order_Status]] = "Cancelled",0,IF(Table13[[#This Row],[Order_Status]] = "Returned",Table13[[#This Row],[Net_Sales]] * -1,Table13[[#This Row],[Net_Sales]]))</f>
        <v>-454.32499999999999</v>
      </c>
      <c r="R289" s="9" t="str">
        <f>IF(Table13[[#This Row],[Gross_Sales]]&gt;=500, "YES","NO")</f>
        <v>YES</v>
      </c>
    </row>
    <row r="290" spans="1:18" x14ac:dyDescent="0.3">
      <c r="A290">
        <v>100285</v>
      </c>
      <c r="B290" s="8">
        <v>45303.833333333343</v>
      </c>
      <c r="C290" t="s">
        <v>15</v>
      </c>
      <c r="D290" t="s">
        <v>39</v>
      </c>
      <c r="E290" t="s">
        <v>70</v>
      </c>
      <c r="F290" t="s">
        <v>71</v>
      </c>
      <c r="G290">
        <v>5</v>
      </c>
      <c r="H290">
        <v>27.62</v>
      </c>
      <c r="I290">
        <v>15</v>
      </c>
      <c r="J290" t="s">
        <v>75</v>
      </c>
      <c r="K290" t="s">
        <v>77</v>
      </c>
      <c r="L290">
        <v>138.1</v>
      </c>
      <c r="M290">
        <v>20.715</v>
      </c>
      <c r="N290">
        <v>117.38500000000001</v>
      </c>
      <c r="O2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0" s="9" t="str">
        <f ca="1">IF(OR(ISNUMBER(Table13[[#This Row],[Order_Date]])=FALSE,Table13[[#This Row],[Order_Date]]&lt;DATE(2000,1,1),Table13[[#This Row],[Order_Date]]&gt;TODAY()),"YES","NO")</f>
        <v>NO</v>
      </c>
      <c r="Q290" s="9">
        <f>IF(Table13[[#This Row],[Order_Status]] = "Cancelled",0,IF(Table13[[#This Row],[Order_Status]] = "Returned",Table13[[#This Row],[Net_Sales]] * -1,Table13[[#This Row],[Net_Sales]]))</f>
        <v>117.38500000000001</v>
      </c>
      <c r="R290" s="9" t="str">
        <f>IF(Table13[[#This Row],[Gross_Sales]]&gt;=500, "YES","NO")</f>
        <v>NO</v>
      </c>
    </row>
    <row r="291" spans="1:18" x14ac:dyDescent="0.3">
      <c r="A291">
        <v>100286</v>
      </c>
      <c r="B291" s="8">
        <v>45303.875</v>
      </c>
      <c r="C291" t="s">
        <v>14</v>
      </c>
      <c r="D291" t="s">
        <v>55</v>
      </c>
      <c r="E291" t="s">
        <v>66</v>
      </c>
      <c r="F291" t="s">
        <v>72</v>
      </c>
      <c r="G291">
        <v>5</v>
      </c>
      <c r="H291">
        <v>89.8</v>
      </c>
      <c r="I291">
        <v>10</v>
      </c>
      <c r="J291" t="s">
        <v>73</v>
      </c>
      <c r="K291" t="s">
        <v>77</v>
      </c>
      <c r="L291">
        <v>449</v>
      </c>
      <c r="M291">
        <v>44.900000000000013</v>
      </c>
      <c r="N291">
        <v>404.1</v>
      </c>
      <c r="O2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1" s="9" t="str">
        <f ca="1">IF(OR(ISNUMBER(Table13[[#This Row],[Order_Date]])=FALSE,Table13[[#This Row],[Order_Date]]&lt;DATE(2000,1,1),Table13[[#This Row],[Order_Date]]&gt;TODAY()),"YES","NO")</f>
        <v>NO</v>
      </c>
      <c r="Q291" s="9">
        <f>IF(Table13[[#This Row],[Order_Status]] = "Cancelled",0,IF(Table13[[#This Row],[Order_Status]] = "Returned",Table13[[#This Row],[Net_Sales]] * -1,Table13[[#This Row],[Net_Sales]]))</f>
        <v>404.1</v>
      </c>
      <c r="R291" s="9" t="str">
        <f>IF(Table13[[#This Row],[Gross_Sales]]&gt;=500, "YES","NO")</f>
        <v>NO</v>
      </c>
    </row>
    <row r="292" spans="1:18" x14ac:dyDescent="0.3">
      <c r="A292">
        <v>100287</v>
      </c>
      <c r="B292" s="8">
        <v>45303.916666666657</v>
      </c>
      <c r="C292" t="s">
        <v>14</v>
      </c>
      <c r="D292" t="s">
        <v>41</v>
      </c>
      <c r="E292" t="s">
        <v>66</v>
      </c>
      <c r="F292" t="s">
        <v>71</v>
      </c>
      <c r="G292">
        <v>2</v>
      </c>
      <c r="H292">
        <v>37.950000000000003</v>
      </c>
      <c r="I292">
        <v>10</v>
      </c>
      <c r="J292" t="s">
        <v>73</v>
      </c>
      <c r="K292" t="s">
        <v>77</v>
      </c>
      <c r="L292">
        <v>75.900000000000006</v>
      </c>
      <c r="M292">
        <v>7.5900000000000007</v>
      </c>
      <c r="N292">
        <v>68.31</v>
      </c>
      <c r="O2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2" s="9" t="str">
        <f ca="1">IF(OR(ISNUMBER(Table13[[#This Row],[Order_Date]])=FALSE,Table13[[#This Row],[Order_Date]]&lt;DATE(2000,1,1),Table13[[#This Row],[Order_Date]]&gt;TODAY()),"YES","NO")</f>
        <v>NO</v>
      </c>
      <c r="Q292" s="9">
        <f>IF(Table13[[#This Row],[Order_Status]] = "Cancelled",0,IF(Table13[[#This Row],[Order_Status]] = "Returned",Table13[[#This Row],[Net_Sales]] * -1,Table13[[#This Row],[Net_Sales]]))</f>
        <v>68.31</v>
      </c>
      <c r="R292" s="9" t="str">
        <f>IF(Table13[[#This Row],[Gross_Sales]]&gt;=500, "YES","NO")</f>
        <v>NO</v>
      </c>
    </row>
    <row r="293" spans="1:18" x14ac:dyDescent="0.3">
      <c r="A293">
        <v>100288</v>
      </c>
      <c r="B293" s="8">
        <v>45303.958333333343</v>
      </c>
      <c r="C293" t="s">
        <v>14</v>
      </c>
      <c r="D293" t="s">
        <v>35</v>
      </c>
      <c r="E293" t="s">
        <v>66</v>
      </c>
      <c r="F293" t="s">
        <v>72</v>
      </c>
      <c r="G293">
        <v>1</v>
      </c>
      <c r="H293">
        <v>97.3</v>
      </c>
      <c r="I293">
        <v>0</v>
      </c>
      <c r="J293" t="s">
        <v>73</v>
      </c>
      <c r="K293" t="s">
        <v>77</v>
      </c>
      <c r="L293">
        <v>97.3</v>
      </c>
      <c r="M293">
        <v>0</v>
      </c>
      <c r="N293">
        <v>97.3</v>
      </c>
      <c r="O2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3" s="9" t="str">
        <f ca="1">IF(OR(ISNUMBER(Table13[[#This Row],[Order_Date]])=FALSE,Table13[[#This Row],[Order_Date]]&lt;DATE(2000,1,1),Table13[[#This Row],[Order_Date]]&gt;TODAY()),"YES","NO")</f>
        <v>NO</v>
      </c>
      <c r="Q293" s="9">
        <f>IF(Table13[[#This Row],[Order_Status]] = "Cancelled",0,IF(Table13[[#This Row],[Order_Status]] = "Returned",Table13[[#This Row],[Net_Sales]] * -1,Table13[[#This Row],[Net_Sales]]))</f>
        <v>97.3</v>
      </c>
      <c r="R293" s="9" t="str">
        <f>IF(Table13[[#This Row],[Gross_Sales]]&gt;=500, "YES","NO")</f>
        <v>NO</v>
      </c>
    </row>
    <row r="294" spans="1:18" x14ac:dyDescent="0.3">
      <c r="A294">
        <v>100289</v>
      </c>
      <c r="B294" s="8">
        <v>45304</v>
      </c>
      <c r="C294" t="s">
        <v>14</v>
      </c>
      <c r="D294" t="s">
        <v>58</v>
      </c>
      <c r="E294" t="s">
        <v>67</v>
      </c>
      <c r="F294" t="s">
        <v>72</v>
      </c>
      <c r="G294">
        <v>4</v>
      </c>
      <c r="H294">
        <v>119.68</v>
      </c>
      <c r="I294">
        <v>0</v>
      </c>
      <c r="J294" t="s">
        <v>74</v>
      </c>
      <c r="K294" t="s">
        <v>77</v>
      </c>
      <c r="L294">
        <v>478.72</v>
      </c>
      <c r="M294">
        <v>0</v>
      </c>
      <c r="N294">
        <v>478.72</v>
      </c>
      <c r="O2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4" s="9" t="str">
        <f ca="1">IF(OR(ISNUMBER(Table13[[#This Row],[Order_Date]])=FALSE,Table13[[#This Row],[Order_Date]]&lt;DATE(2000,1,1),Table13[[#This Row],[Order_Date]]&gt;TODAY()),"YES","NO")</f>
        <v>NO</v>
      </c>
      <c r="Q294" s="9">
        <f>IF(Table13[[#This Row],[Order_Status]] = "Cancelled",0,IF(Table13[[#This Row],[Order_Status]] = "Returned",Table13[[#This Row],[Net_Sales]] * -1,Table13[[#This Row],[Net_Sales]]))</f>
        <v>478.72</v>
      </c>
      <c r="R294" s="9" t="str">
        <f>IF(Table13[[#This Row],[Gross_Sales]]&gt;=500, "YES","NO")</f>
        <v>NO</v>
      </c>
    </row>
    <row r="295" spans="1:18" x14ac:dyDescent="0.3">
      <c r="A295">
        <v>100290</v>
      </c>
      <c r="B295" s="8">
        <v>45304.041666666657</v>
      </c>
      <c r="C295" t="s">
        <v>15</v>
      </c>
      <c r="D295" t="s">
        <v>28</v>
      </c>
      <c r="E295" t="s">
        <v>69</v>
      </c>
      <c r="F295" t="s">
        <v>71</v>
      </c>
      <c r="G295">
        <v>2</v>
      </c>
      <c r="H295">
        <v>8.4499999999999993</v>
      </c>
      <c r="I295">
        <v>5</v>
      </c>
      <c r="J295" t="s">
        <v>74</v>
      </c>
      <c r="K295" t="s">
        <v>77</v>
      </c>
      <c r="L295">
        <v>16.899999999999999</v>
      </c>
      <c r="M295">
        <v>0.84499999999999997</v>
      </c>
      <c r="N295">
        <v>16.055</v>
      </c>
      <c r="O2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5" s="9" t="str">
        <f ca="1">IF(OR(ISNUMBER(Table13[[#This Row],[Order_Date]])=FALSE,Table13[[#This Row],[Order_Date]]&lt;DATE(2000,1,1),Table13[[#This Row],[Order_Date]]&gt;TODAY()),"YES","NO")</f>
        <v>NO</v>
      </c>
      <c r="Q295" s="9">
        <f>IF(Table13[[#This Row],[Order_Status]] = "Cancelled",0,IF(Table13[[#This Row],[Order_Status]] = "Returned",Table13[[#This Row],[Net_Sales]] * -1,Table13[[#This Row],[Net_Sales]]))</f>
        <v>16.055</v>
      </c>
      <c r="R295" s="9" t="str">
        <f>IF(Table13[[#This Row],[Gross_Sales]]&gt;=500, "YES","NO")</f>
        <v>NO</v>
      </c>
    </row>
    <row r="296" spans="1:18" x14ac:dyDescent="0.3">
      <c r="A296">
        <v>100291</v>
      </c>
      <c r="B296" s="8">
        <v>45304.083333333343</v>
      </c>
      <c r="C296" t="s">
        <v>14</v>
      </c>
      <c r="D296" t="s">
        <v>26</v>
      </c>
      <c r="E296" t="s">
        <v>66</v>
      </c>
      <c r="F296" t="s">
        <v>72</v>
      </c>
      <c r="G296">
        <v>3</v>
      </c>
      <c r="H296">
        <v>108.2</v>
      </c>
      <c r="I296">
        <v>0</v>
      </c>
      <c r="J296" t="s">
        <v>74</v>
      </c>
      <c r="K296" t="s">
        <v>77</v>
      </c>
      <c r="L296">
        <v>324.60000000000002</v>
      </c>
      <c r="M296">
        <v>0</v>
      </c>
      <c r="N296">
        <v>324.60000000000002</v>
      </c>
      <c r="O2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6" s="9" t="str">
        <f ca="1">IF(OR(ISNUMBER(Table13[[#This Row],[Order_Date]])=FALSE,Table13[[#This Row],[Order_Date]]&lt;DATE(2000,1,1),Table13[[#This Row],[Order_Date]]&gt;TODAY()),"YES","NO")</f>
        <v>NO</v>
      </c>
      <c r="Q296" s="9">
        <f>IF(Table13[[#This Row],[Order_Status]] = "Cancelled",0,IF(Table13[[#This Row],[Order_Status]] = "Returned",Table13[[#This Row],[Net_Sales]] * -1,Table13[[#This Row],[Net_Sales]]))</f>
        <v>324.60000000000002</v>
      </c>
      <c r="R296" s="9" t="str">
        <f>IF(Table13[[#This Row],[Gross_Sales]]&gt;=500, "YES","NO")</f>
        <v>NO</v>
      </c>
    </row>
    <row r="297" spans="1:18" x14ac:dyDescent="0.3">
      <c r="A297">
        <v>100292</v>
      </c>
      <c r="B297" s="8">
        <v>45304.125</v>
      </c>
      <c r="C297" t="s">
        <v>14</v>
      </c>
      <c r="D297" t="s">
        <v>41</v>
      </c>
      <c r="E297" t="s">
        <v>67</v>
      </c>
      <c r="F297" t="s">
        <v>72</v>
      </c>
      <c r="G297">
        <v>4</v>
      </c>
      <c r="H297">
        <v>76.599999999999994</v>
      </c>
      <c r="I297">
        <v>5</v>
      </c>
      <c r="J297" t="s">
        <v>75</v>
      </c>
      <c r="K297" t="s">
        <v>77</v>
      </c>
      <c r="L297">
        <v>306.39999999999998</v>
      </c>
      <c r="M297">
        <v>15.32</v>
      </c>
      <c r="N297">
        <v>291.08</v>
      </c>
      <c r="O2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7" s="9" t="str">
        <f ca="1">IF(OR(ISNUMBER(Table13[[#This Row],[Order_Date]])=FALSE,Table13[[#This Row],[Order_Date]]&lt;DATE(2000,1,1),Table13[[#This Row],[Order_Date]]&gt;TODAY()),"YES","NO")</f>
        <v>NO</v>
      </c>
      <c r="Q297" s="9">
        <f>IF(Table13[[#This Row],[Order_Status]] = "Cancelled",0,IF(Table13[[#This Row],[Order_Status]] = "Returned",Table13[[#This Row],[Net_Sales]] * -1,Table13[[#This Row],[Net_Sales]]))</f>
        <v>291.08</v>
      </c>
      <c r="R297" s="9" t="str">
        <f>IF(Table13[[#This Row],[Gross_Sales]]&gt;=500, "YES","NO")</f>
        <v>NO</v>
      </c>
    </row>
    <row r="298" spans="1:18" x14ac:dyDescent="0.3">
      <c r="A298">
        <v>100293</v>
      </c>
      <c r="B298" s="8">
        <v>45304.166666666657</v>
      </c>
      <c r="C298" t="s">
        <v>14</v>
      </c>
      <c r="D298" t="s">
        <v>53</v>
      </c>
      <c r="E298" t="s">
        <v>69</v>
      </c>
      <c r="F298" t="s">
        <v>71</v>
      </c>
      <c r="G298">
        <v>4</v>
      </c>
      <c r="H298">
        <v>116.94</v>
      </c>
      <c r="I298">
        <v>15</v>
      </c>
      <c r="J298" t="s">
        <v>76</v>
      </c>
      <c r="K298" t="s">
        <v>77</v>
      </c>
      <c r="L298">
        <v>467.76</v>
      </c>
      <c r="M298">
        <v>70.164000000000001</v>
      </c>
      <c r="N298">
        <v>397.596</v>
      </c>
      <c r="O2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8" s="9" t="str">
        <f ca="1">IF(OR(ISNUMBER(Table13[[#This Row],[Order_Date]])=FALSE,Table13[[#This Row],[Order_Date]]&lt;DATE(2000,1,1),Table13[[#This Row],[Order_Date]]&gt;TODAY()),"YES","NO")</f>
        <v>NO</v>
      </c>
      <c r="Q298" s="9">
        <f>IF(Table13[[#This Row],[Order_Status]] = "Cancelled",0,IF(Table13[[#This Row],[Order_Status]] = "Returned",Table13[[#This Row],[Net_Sales]] * -1,Table13[[#This Row],[Net_Sales]]))</f>
        <v>397.596</v>
      </c>
      <c r="R298" s="9" t="str">
        <f>IF(Table13[[#This Row],[Gross_Sales]]&gt;=500, "YES","NO")</f>
        <v>NO</v>
      </c>
    </row>
    <row r="299" spans="1:18" x14ac:dyDescent="0.3">
      <c r="A299">
        <v>100294</v>
      </c>
      <c r="B299" s="8">
        <v>45304.208333333343</v>
      </c>
      <c r="C299" t="s">
        <v>15</v>
      </c>
      <c r="D299" t="s">
        <v>51</v>
      </c>
      <c r="E299" t="s">
        <v>70</v>
      </c>
      <c r="F299" t="s">
        <v>72</v>
      </c>
      <c r="G299">
        <v>4</v>
      </c>
      <c r="H299">
        <v>58.48</v>
      </c>
      <c r="I299">
        <v>0</v>
      </c>
      <c r="J299" t="s">
        <v>74</v>
      </c>
      <c r="K299" t="s">
        <v>77</v>
      </c>
      <c r="L299">
        <v>233.92</v>
      </c>
      <c r="M299">
        <v>0</v>
      </c>
      <c r="N299">
        <v>233.92</v>
      </c>
      <c r="O2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299" s="9" t="str">
        <f ca="1">IF(OR(ISNUMBER(Table13[[#This Row],[Order_Date]])=FALSE,Table13[[#This Row],[Order_Date]]&lt;DATE(2000,1,1),Table13[[#This Row],[Order_Date]]&gt;TODAY()),"YES","NO")</f>
        <v>NO</v>
      </c>
      <c r="Q299" s="9">
        <f>IF(Table13[[#This Row],[Order_Status]] = "Cancelled",0,IF(Table13[[#This Row],[Order_Status]] = "Returned",Table13[[#This Row],[Net_Sales]] * -1,Table13[[#This Row],[Net_Sales]]))</f>
        <v>233.92</v>
      </c>
      <c r="R299" s="9" t="str">
        <f>IF(Table13[[#This Row],[Gross_Sales]]&gt;=500, "YES","NO")</f>
        <v>NO</v>
      </c>
    </row>
    <row r="300" spans="1:18" x14ac:dyDescent="0.3">
      <c r="A300">
        <v>100295</v>
      </c>
      <c r="B300" s="8">
        <v>45304.25</v>
      </c>
      <c r="C300" t="s">
        <v>15</v>
      </c>
      <c r="D300" t="s">
        <v>19</v>
      </c>
      <c r="E300" t="s">
        <v>67</v>
      </c>
      <c r="F300" t="s">
        <v>72</v>
      </c>
      <c r="G300">
        <v>5</v>
      </c>
      <c r="H300">
        <v>102.45</v>
      </c>
      <c r="I300">
        <v>10</v>
      </c>
      <c r="J300" t="s">
        <v>75</v>
      </c>
      <c r="K300" t="s">
        <v>77</v>
      </c>
      <c r="L300">
        <v>512.25</v>
      </c>
      <c r="M300">
        <v>51.225000000000001</v>
      </c>
      <c r="N300">
        <v>461.02499999999998</v>
      </c>
      <c r="O3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0" s="9" t="str">
        <f ca="1">IF(OR(ISNUMBER(Table13[[#This Row],[Order_Date]])=FALSE,Table13[[#This Row],[Order_Date]]&lt;DATE(2000,1,1),Table13[[#This Row],[Order_Date]]&gt;TODAY()),"YES","NO")</f>
        <v>NO</v>
      </c>
      <c r="Q300" s="9">
        <f>IF(Table13[[#This Row],[Order_Status]] = "Cancelled",0,IF(Table13[[#This Row],[Order_Status]] = "Returned",Table13[[#This Row],[Net_Sales]] * -1,Table13[[#This Row],[Net_Sales]]))</f>
        <v>461.02499999999998</v>
      </c>
      <c r="R300" s="9" t="str">
        <f>IF(Table13[[#This Row],[Gross_Sales]]&gt;=500, "YES","NO")</f>
        <v>YES</v>
      </c>
    </row>
    <row r="301" spans="1:18" x14ac:dyDescent="0.3">
      <c r="A301">
        <v>100296</v>
      </c>
      <c r="B301" s="8">
        <v>45304.291666666657</v>
      </c>
      <c r="C301" t="s">
        <v>15</v>
      </c>
      <c r="D301" t="s">
        <v>18</v>
      </c>
      <c r="E301" t="s">
        <v>68</v>
      </c>
      <c r="F301" t="s">
        <v>71</v>
      </c>
      <c r="G301">
        <v>4</v>
      </c>
      <c r="H301">
        <v>12.18</v>
      </c>
      <c r="I301">
        <v>0</v>
      </c>
      <c r="J301" t="s">
        <v>74</v>
      </c>
      <c r="K301" t="s">
        <v>77</v>
      </c>
      <c r="L301">
        <v>48.72</v>
      </c>
      <c r="M301">
        <v>0</v>
      </c>
      <c r="N301">
        <v>48.72</v>
      </c>
      <c r="O3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1" s="9" t="str">
        <f ca="1">IF(OR(ISNUMBER(Table13[[#This Row],[Order_Date]])=FALSE,Table13[[#This Row],[Order_Date]]&lt;DATE(2000,1,1),Table13[[#This Row],[Order_Date]]&gt;TODAY()),"YES","NO")</f>
        <v>NO</v>
      </c>
      <c r="Q301" s="9">
        <f>IF(Table13[[#This Row],[Order_Status]] = "Cancelled",0,IF(Table13[[#This Row],[Order_Status]] = "Returned",Table13[[#This Row],[Net_Sales]] * -1,Table13[[#This Row],[Net_Sales]]))</f>
        <v>48.72</v>
      </c>
      <c r="R301" s="9" t="str">
        <f>IF(Table13[[#This Row],[Gross_Sales]]&gt;=500, "YES","NO")</f>
        <v>NO</v>
      </c>
    </row>
    <row r="302" spans="1:18" x14ac:dyDescent="0.3">
      <c r="A302">
        <v>100297</v>
      </c>
      <c r="B302" s="8">
        <v>45304.333333333343</v>
      </c>
      <c r="C302" t="s">
        <v>15</v>
      </c>
      <c r="D302" t="s">
        <v>19</v>
      </c>
      <c r="E302" t="s">
        <v>67</v>
      </c>
      <c r="F302" t="s">
        <v>72</v>
      </c>
      <c r="G302">
        <v>1</v>
      </c>
      <c r="H302">
        <v>43.56</v>
      </c>
      <c r="I302">
        <v>5</v>
      </c>
      <c r="J302" t="s">
        <v>74</v>
      </c>
      <c r="K302" t="s">
        <v>77</v>
      </c>
      <c r="L302">
        <v>43.56</v>
      </c>
      <c r="M302">
        <v>2.1779999999999999</v>
      </c>
      <c r="N302">
        <v>41.382000000000012</v>
      </c>
      <c r="O3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2" s="9" t="str">
        <f ca="1">IF(OR(ISNUMBER(Table13[[#This Row],[Order_Date]])=FALSE,Table13[[#This Row],[Order_Date]]&lt;DATE(2000,1,1),Table13[[#This Row],[Order_Date]]&gt;TODAY()),"YES","NO")</f>
        <v>NO</v>
      </c>
      <c r="Q302" s="9">
        <f>IF(Table13[[#This Row],[Order_Status]] = "Cancelled",0,IF(Table13[[#This Row],[Order_Status]] = "Returned",Table13[[#This Row],[Net_Sales]] * -1,Table13[[#This Row],[Net_Sales]]))</f>
        <v>41.382000000000012</v>
      </c>
      <c r="R302" s="9" t="str">
        <f>IF(Table13[[#This Row],[Gross_Sales]]&gt;=500, "YES","NO")</f>
        <v>NO</v>
      </c>
    </row>
    <row r="303" spans="1:18" x14ac:dyDescent="0.3">
      <c r="A303">
        <v>100298</v>
      </c>
      <c r="B303" s="8">
        <v>45304.375</v>
      </c>
      <c r="C303" t="s">
        <v>14</v>
      </c>
      <c r="D303" t="s">
        <v>38</v>
      </c>
      <c r="E303" t="s">
        <v>67</v>
      </c>
      <c r="F303" t="s">
        <v>71</v>
      </c>
      <c r="G303">
        <v>4</v>
      </c>
      <c r="H303">
        <v>12.71</v>
      </c>
      <c r="I303">
        <v>0</v>
      </c>
      <c r="J303" t="s">
        <v>73</v>
      </c>
      <c r="K303" t="s">
        <v>78</v>
      </c>
      <c r="L303">
        <v>50.84</v>
      </c>
      <c r="M303">
        <v>0</v>
      </c>
      <c r="N303">
        <v>50.84</v>
      </c>
      <c r="O3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03" s="9" t="str">
        <f ca="1">IF(OR(ISNUMBER(Table13[[#This Row],[Order_Date]])=FALSE,Table13[[#This Row],[Order_Date]]&lt;DATE(2000,1,1),Table13[[#This Row],[Order_Date]]&gt;TODAY()),"YES","NO")</f>
        <v>NO</v>
      </c>
      <c r="Q303" s="9">
        <f>IF(Table13[[#This Row],[Order_Status]] = "Cancelled",0,IF(Table13[[#This Row],[Order_Status]] = "Returned",Table13[[#This Row],[Net_Sales]] * -1,Table13[[#This Row],[Net_Sales]]))</f>
        <v>-50.84</v>
      </c>
      <c r="R303" s="9" t="str">
        <f>IF(Table13[[#This Row],[Gross_Sales]]&gt;=500, "YES","NO")</f>
        <v>NO</v>
      </c>
    </row>
    <row r="304" spans="1:18" x14ac:dyDescent="0.3">
      <c r="A304">
        <v>100299</v>
      </c>
      <c r="B304" s="8">
        <v>45304.416666666657</v>
      </c>
      <c r="C304" t="s">
        <v>14</v>
      </c>
      <c r="D304" t="s">
        <v>57</v>
      </c>
      <c r="E304" t="s">
        <v>69</v>
      </c>
      <c r="F304" t="s">
        <v>72</v>
      </c>
      <c r="G304">
        <v>5</v>
      </c>
      <c r="H304">
        <v>117.16</v>
      </c>
      <c r="I304">
        <v>15</v>
      </c>
      <c r="J304" t="s">
        <v>73</v>
      </c>
      <c r="K304" t="s">
        <v>78</v>
      </c>
      <c r="L304">
        <v>585.79999999999995</v>
      </c>
      <c r="M304">
        <v>87.86999999999999</v>
      </c>
      <c r="N304">
        <v>497.92999999999989</v>
      </c>
      <c r="O3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04" s="9" t="str">
        <f ca="1">IF(OR(ISNUMBER(Table13[[#This Row],[Order_Date]])=FALSE,Table13[[#This Row],[Order_Date]]&lt;DATE(2000,1,1),Table13[[#This Row],[Order_Date]]&gt;TODAY()),"YES","NO")</f>
        <v>NO</v>
      </c>
      <c r="Q304" s="9">
        <f>IF(Table13[[#This Row],[Order_Status]] = "Cancelled",0,IF(Table13[[#This Row],[Order_Status]] = "Returned",Table13[[#This Row],[Net_Sales]] * -1,Table13[[#This Row],[Net_Sales]]))</f>
        <v>-497.92999999999989</v>
      </c>
      <c r="R304" s="9" t="str">
        <f>IF(Table13[[#This Row],[Gross_Sales]]&gt;=500, "YES","NO")</f>
        <v>YES</v>
      </c>
    </row>
    <row r="305" spans="1:18" x14ac:dyDescent="0.3">
      <c r="A305">
        <v>100300</v>
      </c>
      <c r="B305" s="8">
        <v>45304.458333333343</v>
      </c>
      <c r="C305" t="s">
        <v>15</v>
      </c>
      <c r="D305" t="s">
        <v>29</v>
      </c>
      <c r="E305" t="s">
        <v>70</v>
      </c>
      <c r="F305" t="s">
        <v>71</v>
      </c>
      <c r="G305">
        <v>4</v>
      </c>
      <c r="H305">
        <v>98.95</v>
      </c>
      <c r="I305">
        <v>10</v>
      </c>
      <c r="J305" t="s">
        <v>73</v>
      </c>
      <c r="K305" t="s">
        <v>77</v>
      </c>
      <c r="L305">
        <v>395.8</v>
      </c>
      <c r="M305">
        <v>39.580000000000013</v>
      </c>
      <c r="N305">
        <v>356.22</v>
      </c>
      <c r="O3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5" s="9" t="str">
        <f ca="1">IF(OR(ISNUMBER(Table13[[#This Row],[Order_Date]])=FALSE,Table13[[#This Row],[Order_Date]]&lt;DATE(2000,1,1),Table13[[#This Row],[Order_Date]]&gt;TODAY()),"YES","NO")</f>
        <v>NO</v>
      </c>
      <c r="Q305" s="9">
        <f>IF(Table13[[#This Row],[Order_Status]] = "Cancelled",0,IF(Table13[[#This Row],[Order_Status]] = "Returned",Table13[[#This Row],[Net_Sales]] * -1,Table13[[#This Row],[Net_Sales]]))</f>
        <v>356.22</v>
      </c>
      <c r="R305" s="9" t="str">
        <f>IF(Table13[[#This Row],[Gross_Sales]]&gt;=500, "YES","NO")</f>
        <v>NO</v>
      </c>
    </row>
    <row r="306" spans="1:18" x14ac:dyDescent="0.3">
      <c r="A306">
        <v>100301</v>
      </c>
      <c r="B306" s="8">
        <v>45304.5</v>
      </c>
      <c r="C306" t="s">
        <v>14</v>
      </c>
      <c r="D306" t="s">
        <v>36</v>
      </c>
      <c r="E306" t="s">
        <v>68</v>
      </c>
      <c r="F306" t="s">
        <v>71</v>
      </c>
      <c r="G306">
        <v>3</v>
      </c>
      <c r="H306">
        <v>103.04</v>
      </c>
      <c r="I306">
        <v>5</v>
      </c>
      <c r="J306" t="s">
        <v>75</v>
      </c>
      <c r="K306" t="s">
        <v>77</v>
      </c>
      <c r="L306">
        <v>309.12</v>
      </c>
      <c r="M306">
        <v>15.456</v>
      </c>
      <c r="N306">
        <v>293.66399999999999</v>
      </c>
      <c r="O3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6" s="9" t="str">
        <f ca="1">IF(OR(ISNUMBER(Table13[[#This Row],[Order_Date]])=FALSE,Table13[[#This Row],[Order_Date]]&lt;DATE(2000,1,1),Table13[[#This Row],[Order_Date]]&gt;TODAY()),"YES","NO")</f>
        <v>NO</v>
      </c>
      <c r="Q306" s="9">
        <f>IF(Table13[[#This Row],[Order_Status]] = "Cancelled",0,IF(Table13[[#This Row],[Order_Status]] = "Returned",Table13[[#This Row],[Net_Sales]] * -1,Table13[[#This Row],[Net_Sales]]))</f>
        <v>293.66399999999999</v>
      </c>
      <c r="R306" s="9" t="str">
        <f>IF(Table13[[#This Row],[Gross_Sales]]&gt;=500, "YES","NO")</f>
        <v>NO</v>
      </c>
    </row>
    <row r="307" spans="1:18" x14ac:dyDescent="0.3">
      <c r="A307">
        <v>100302</v>
      </c>
      <c r="B307" s="8">
        <v>45304.541666666657</v>
      </c>
      <c r="C307" t="s">
        <v>14</v>
      </c>
      <c r="D307" t="s">
        <v>41</v>
      </c>
      <c r="E307" t="s">
        <v>66</v>
      </c>
      <c r="F307" t="s">
        <v>71</v>
      </c>
      <c r="G307">
        <v>3</v>
      </c>
      <c r="H307">
        <v>112.87</v>
      </c>
      <c r="I307">
        <v>10</v>
      </c>
      <c r="J307" t="s">
        <v>76</v>
      </c>
      <c r="K307" t="s">
        <v>77</v>
      </c>
      <c r="L307">
        <v>338.61</v>
      </c>
      <c r="M307">
        <v>33.860999999999997</v>
      </c>
      <c r="N307">
        <v>304.74900000000002</v>
      </c>
      <c r="O3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7" s="9" t="str">
        <f ca="1">IF(OR(ISNUMBER(Table13[[#This Row],[Order_Date]])=FALSE,Table13[[#This Row],[Order_Date]]&lt;DATE(2000,1,1),Table13[[#This Row],[Order_Date]]&gt;TODAY()),"YES","NO")</f>
        <v>NO</v>
      </c>
      <c r="Q307" s="9">
        <f>IF(Table13[[#This Row],[Order_Status]] = "Cancelled",0,IF(Table13[[#This Row],[Order_Status]] = "Returned",Table13[[#This Row],[Net_Sales]] * -1,Table13[[#This Row],[Net_Sales]]))</f>
        <v>304.74900000000002</v>
      </c>
      <c r="R307" s="9" t="str">
        <f>IF(Table13[[#This Row],[Gross_Sales]]&gt;=500, "YES","NO")</f>
        <v>NO</v>
      </c>
    </row>
    <row r="308" spans="1:18" x14ac:dyDescent="0.3">
      <c r="A308">
        <v>100303</v>
      </c>
      <c r="B308" s="8">
        <v>45304.583333333343</v>
      </c>
      <c r="C308" t="s">
        <v>14</v>
      </c>
      <c r="D308" t="s">
        <v>52</v>
      </c>
      <c r="E308" t="s">
        <v>66</v>
      </c>
      <c r="F308" t="s">
        <v>72</v>
      </c>
      <c r="G308">
        <v>5</v>
      </c>
      <c r="H308">
        <v>14.79</v>
      </c>
      <c r="I308">
        <v>10</v>
      </c>
      <c r="J308" t="s">
        <v>76</v>
      </c>
      <c r="K308" t="s">
        <v>77</v>
      </c>
      <c r="L308">
        <v>73.949999999999989</v>
      </c>
      <c r="M308">
        <v>7.3949999999999996</v>
      </c>
      <c r="N308">
        <v>66.554999999999993</v>
      </c>
      <c r="O3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8" s="9" t="str">
        <f ca="1">IF(OR(ISNUMBER(Table13[[#This Row],[Order_Date]])=FALSE,Table13[[#This Row],[Order_Date]]&lt;DATE(2000,1,1),Table13[[#This Row],[Order_Date]]&gt;TODAY()),"YES","NO")</f>
        <v>NO</v>
      </c>
      <c r="Q308" s="9">
        <f>IF(Table13[[#This Row],[Order_Status]] = "Cancelled",0,IF(Table13[[#This Row],[Order_Status]] = "Returned",Table13[[#This Row],[Net_Sales]] * -1,Table13[[#This Row],[Net_Sales]]))</f>
        <v>66.554999999999993</v>
      </c>
      <c r="R308" s="9" t="str">
        <f>IF(Table13[[#This Row],[Gross_Sales]]&gt;=500, "YES","NO")</f>
        <v>NO</v>
      </c>
    </row>
    <row r="309" spans="1:18" x14ac:dyDescent="0.3">
      <c r="A309">
        <v>100304</v>
      </c>
      <c r="B309" s="8">
        <v>45304.625</v>
      </c>
      <c r="C309" t="s">
        <v>15</v>
      </c>
      <c r="D309" t="s">
        <v>47</v>
      </c>
      <c r="E309" t="s">
        <v>67</v>
      </c>
      <c r="F309" t="s">
        <v>71</v>
      </c>
      <c r="G309">
        <v>1</v>
      </c>
      <c r="H309">
        <v>49.34</v>
      </c>
      <c r="I309">
        <v>5</v>
      </c>
      <c r="J309" t="s">
        <v>75</v>
      </c>
      <c r="K309" t="s">
        <v>77</v>
      </c>
      <c r="L309">
        <v>49.34</v>
      </c>
      <c r="M309">
        <v>2.467000000000001</v>
      </c>
      <c r="N309">
        <v>46.872999999999998</v>
      </c>
      <c r="O3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09" s="9" t="str">
        <f ca="1">IF(OR(ISNUMBER(Table13[[#This Row],[Order_Date]])=FALSE,Table13[[#This Row],[Order_Date]]&lt;DATE(2000,1,1),Table13[[#This Row],[Order_Date]]&gt;TODAY()),"YES","NO")</f>
        <v>NO</v>
      </c>
      <c r="Q309" s="9">
        <f>IF(Table13[[#This Row],[Order_Status]] = "Cancelled",0,IF(Table13[[#This Row],[Order_Status]] = "Returned",Table13[[#This Row],[Net_Sales]] * -1,Table13[[#This Row],[Net_Sales]]))</f>
        <v>46.872999999999998</v>
      </c>
      <c r="R309" s="9" t="str">
        <f>IF(Table13[[#This Row],[Gross_Sales]]&gt;=500, "YES","NO")</f>
        <v>NO</v>
      </c>
    </row>
    <row r="310" spans="1:18" x14ac:dyDescent="0.3">
      <c r="A310">
        <v>100305</v>
      </c>
      <c r="B310" s="8">
        <v>45304.666666666657</v>
      </c>
      <c r="C310" t="s">
        <v>15</v>
      </c>
      <c r="D310" t="s">
        <v>50</v>
      </c>
      <c r="E310" t="s">
        <v>69</v>
      </c>
      <c r="F310" t="s">
        <v>71</v>
      </c>
      <c r="G310">
        <v>1</v>
      </c>
      <c r="H310">
        <v>13.17</v>
      </c>
      <c r="I310">
        <v>10</v>
      </c>
      <c r="J310" t="s">
        <v>74</v>
      </c>
      <c r="K310" t="s">
        <v>77</v>
      </c>
      <c r="L310">
        <v>13.17</v>
      </c>
      <c r="M310">
        <v>1.3169999999999999</v>
      </c>
      <c r="N310">
        <v>11.853</v>
      </c>
      <c r="O3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0" s="9" t="str">
        <f ca="1">IF(OR(ISNUMBER(Table13[[#This Row],[Order_Date]])=FALSE,Table13[[#This Row],[Order_Date]]&lt;DATE(2000,1,1),Table13[[#This Row],[Order_Date]]&gt;TODAY()),"YES","NO")</f>
        <v>NO</v>
      </c>
      <c r="Q310" s="9">
        <f>IF(Table13[[#This Row],[Order_Status]] = "Cancelled",0,IF(Table13[[#This Row],[Order_Status]] = "Returned",Table13[[#This Row],[Net_Sales]] * -1,Table13[[#This Row],[Net_Sales]]))</f>
        <v>11.853</v>
      </c>
      <c r="R310" s="9" t="str">
        <f>IF(Table13[[#This Row],[Gross_Sales]]&gt;=500, "YES","NO")</f>
        <v>NO</v>
      </c>
    </row>
    <row r="311" spans="1:18" x14ac:dyDescent="0.3">
      <c r="A311">
        <v>100306</v>
      </c>
      <c r="B311" s="8">
        <v>45304.708333333343</v>
      </c>
      <c r="C311" t="s">
        <v>14</v>
      </c>
      <c r="D311" t="s">
        <v>39</v>
      </c>
      <c r="E311" t="s">
        <v>69</v>
      </c>
      <c r="F311" t="s">
        <v>71</v>
      </c>
      <c r="G311">
        <v>2</v>
      </c>
      <c r="H311">
        <v>29.24</v>
      </c>
      <c r="I311">
        <v>10</v>
      </c>
      <c r="J311" t="s">
        <v>75</v>
      </c>
      <c r="K311" t="s">
        <v>77</v>
      </c>
      <c r="L311">
        <v>58.48</v>
      </c>
      <c r="M311">
        <v>5.8479999999999999</v>
      </c>
      <c r="N311">
        <v>52.631999999999998</v>
      </c>
      <c r="O3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1" s="9" t="str">
        <f ca="1">IF(OR(ISNUMBER(Table13[[#This Row],[Order_Date]])=FALSE,Table13[[#This Row],[Order_Date]]&lt;DATE(2000,1,1),Table13[[#This Row],[Order_Date]]&gt;TODAY()),"YES","NO")</f>
        <v>NO</v>
      </c>
      <c r="Q311" s="9">
        <f>IF(Table13[[#This Row],[Order_Status]] = "Cancelled",0,IF(Table13[[#This Row],[Order_Status]] = "Returned",Table13[[#This Row],[Net_Sales]] * -1,Table13[[#This Row],[Net_Sales]]))</f>
        <v>52.631999999999998</v>
      </c>
      <c r="R311" s="9" t="str">
        <f>IF(Table13[[#This Row],[Gross_Sales]]&gt;=500, "YES","NO")</f>
        <v>NO</v>
      </c>
    </row>
    <row r="312" spans="1:18" x14ac:dyDescent="0.3">
      <c r="A312">
        <v>100307</v>
      </c>
      <c r="B312" s="8">
        <v>45304.75</v>
      </c>
      <c r="C312" t="s">
        <v>15</v>
      </c>
      <c r="D312" t="s">
        <v>64</v>
      </c>
      <c r="E312" t="s">
        <v>66</v>
      </c>
      <c r="F312" t="s">
        <v>71</v>
      </c>
      <c r="G312">
        <v>5</v>
      </c>
      <c r="H312">
        <v>31.38</v>
      </c>
      <c r="I312">
        <v>0</v>
      </c>
      <c r="J312" t="s">
        <v>74</v>
      </c>
      <c r="K312" t="s">
        <v>77</v>
      </c>
      <c r="L312">
        <v>156.9</v>
      </c>
      <c r="M312">
        <v>0</v>
      </c>
      <c r="N312">
        <v>156.9</v>
      </c>
      <c r="O3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2" s="9" t="str">
        <f ca="1">IF(OR(ISNUMBER(Table13[[#This Row],[Order_Date]])=FALSE,Table13[[#This Row],[Order_Date]]&lt;DATE(2000,1,1),Table13[[#This Row],[Order_Date]]&gt;TODAY()),"YES","NO")</f>
        <v>NO</v>
      </c>
      <c r="Q312" s="9">
        <f>IF(Table13[[#This Row],[Order_Status]] = "Cancelled",0,IF(Table13[[#This Row],[Order_Status]] = "Returned",Table13[[#This Row],[Net_Sales]] * -1,Table13[[#This Row],[Net_Sales]]))</f>
        <v>156.9</v>
      </c>
      <c r="R312" s="9" t="str">
        <f>IF(Table13[[#This Row],[Gross_Sales]]&gt;=500, "YES","NO")</f>
        <v>NO</v>
      </c>
    </row>
    <row r="313" spans="1:18" x14ac:dyDescent="0.3">
      <c r="A313">
        <v>100308</v>
      </c>
      <c r="B313" s="8">
        <v>45304.791666666657</v>
      </c>
      <c r="C313" t="s">
        <v>15</v>
      </c>
      <c r="D313" t="s">
        <v>20</v>
      </c>
      <c r="E313" t="s">
        <v>68</v>
      </c>
      <c r="F313" t="s">
        <v>71</v>
      </c>
      <c r="G313">
        <v>4</v>
      </c>
      <c r="H313">
        <v>58.95</v>
      </c>
      <c r="I313">
        <v>10</v>
      </c>
      <c r="J313" t="s">
        <v>75</v>
      </c>
      <c r="K313" t="s">
        <v>77</v>
      </c>
      <c r="L313">
        <v>235.8</v>
      </c>
      <c r="M313">
        <v>23.58</v>
      </c>
      <c r="N313">
        <v>212.22</v>
      </c>
      <c r="O3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3" s="9" t="str">
        <f ca="1">IF(OR(ISNUMBER(Table13[[#This Row],[Order_Date]])=FALSE,Table13[[#This Row],[Order_Date]]&lt;DATE(2000,1,1),Table13[[#This Row],[Order_Date]]&gt;TODAY()),"YES","NO")</f>
        <v>NO</v>
      </c>
      <c r="Q313" s="9">
        <f>IF(Table13[[#This Row],[Order_Status]] = "Cancelled",0,IF(Table13[[#This Row],[Order_Status]] = "Returned",Table13[[#This Row],[Net_Sales]] * -1,Table13[[#This Row],[Net_Sales]]))</f>
        <v>212.22</v>
      </c>
      <c r="R313" s="9" t="str">
        <f>IF(Table13[[#This Row],[Gross_Sales]]&gt;=500, "YES","NO")</f>
        <v>NO</v>
      </c>
    </row>
    <row r="314" spans="1:18" x14ac:dyDescent="0.3">
      <c r="A314">
        <v>100309</v>
      </c>
      <c r="B314" s="8">
        <v>45304.833333333343</v>
      </c>
      <c r="C314" t="s">
        <v>15</v>
      </c>
      <c r="D314" t="s">
        <v>62</v>
      </c>
      <c r="E314" t="s">
        <v>70</v>
      </c>
      <c r="F314" t="s">
        <v>72</v>
      </c>
      <c r="G314">
        <v>5</v>
      </c>
      <c r="H314">
        <v>35.880000000000003</v>
      </c>
      <c r="I314">
        <v>10</v>
      </c>
      <c r="J314" t="s">
        <v>75</v>
      </c>
      <c r="K314" t="s">
        <v>77</v>
      </c>
      <c r="L314">
        <v>179.4</v>
      </c>
      <c r="M314">
        <v>17.940000000000001</v>
      </c>
      <c r="N314">
        <v>161.46</v>
      </c>
      <c r="O3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4" s="9" t="str">
        <f ca="1">IF(OR(ISNUMBER(Table13[[#This Row],[Order_Date]])=FALSE,Table13[[#This Row],[Order_Date]]&lt;DATE(2000,1,1),Table13[[#This Row],[Order_Date]]&gt;TODAY()),"YES","NO")</f>
        <v>NO</v>
      </c>
      <c r="Q314" s="9">
        <f>IF(Table13[[#This Row],[Order_Status]] = "Cancelled",0,IF(Table13[[#This Row],[Order_Status]] = "Returned",Table13[[#This Row],[Net_Sales]] * -1,Table13[[#This Row],[Net_Sales]]))</f>
        <v>161.46</v>
      </c>
      <c r="R314" s="9" t="str">
        <f>IF(Table13[[#This Row],[Gross_Sales]]&gt;=500, "YES","NO")</f>
        <v>NO</v>
      </c>
    </row>
    <row r="315" spans="1:18" x14ac:dyDescent="0.3">
      <c r="A315">
        <v>100310</v>
      </c>
      <c r="B315" s="8">
        <v>45304.875</v>
      </c>
      <c r="C315" t="s">
        <v>15</v>
      </c>
      <c r="D315" t="s">
        <v>48</v>
      </c>
      <c r="E315" t="s">
        <v>68</v>
      </c>
      <c r="F315" t="s">
        <v>72</v>
      </c>
      <c r="G315">
        <v>2</v>
      </c>
      <c r="H315">
        <v>16.61</v>
      </c>
      <c r="I315">
        <v>10</v>
      </c>
      <c r="J315" t="s">
        <v>75</v>
      </c>
      <c r="K315" t="s">
        <v>77</v>
      </c>
      <c r="L315">
        <v>33.22</v>
      </c>
      <c r="M315">
        <v>3.3220000000000001</v>
      </c>
      <c r="N315">
        <v>29.898</v>
      </c>
      <c r="O3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5" s="9" t="str">
        <f ca="1">IF(OR(ISNUMBER(Table13[[#This Row],[Order_Date]])=FALSE,Table13[[#This Row],[Order_Date]]&lt;DATE(2000,1,1),Table13[[#This Row],[Order_Date]]&gt;TODAY()),"YES","NO")</f>
        <v>NO</v>
      </c>
      <c r="Q315" s="9">
        <f>IF(Table13[[#This Row],[Order_Status]] = "Cancelled",0,IF(Table13[[#This Row],[Order_Status]] = "Returned",Table13[[#This Row],[Net_Sales]] * -1,Table13[[#This Row],[Net_Sales]]))</f>
        <v>29.898</v>
      </c>
      <c r="R315" s="9" t="str">
        <f>IF(Table13[[#This Row],[Gross_Sales]]&gt;=500, "YES","NO")</f>
        <v>NO</v>
      </c>
    </row>
    <row r="316" spans="1:18" x14ac:dyDescent="0.3">
      <c r="A316">
        <v>100311</v>
      </c>
      <c r="B316" s="8">
        <v>45304.916666666657</v>
      </c>
      <c r="C316" t="s">
        <v>15</v>
      </c>
      <c r="D316" t="s">
        <v>18</v>
      </c>
      <c r="E316" t="s">
        <v>70</v>
      </c>
      <c r="F316" t="s">
        <v>72</v>
      </c>
      <c r="G316">
        <v>5</v>
      </c>
      <c r="H316">
        <v>24.26</v>
      </c>
      <c r="I316">
        <v>10</v>
      </c>
      <c r="J316" t="s">
        <v>76</v>
      </c>
      <c r="K316" t="s">
        <v>77</v>
      </c>
      <c r="L316">
        <v>121.3</v>
      </c>
      <c r="M316">
        <v>12.13</v>
      </c>
      <c r="N316">
        <v>109.17</v>
      </c>
      <c r="O3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6" s="9" t="str">
        <f ca="1">IF(OR(ISNUMBER(Table13[[#This Row],[Order_Date]])=FALSE,Table13[[#This Row],[Order_Date]]&lt;DATE(2000,1,1),Table13[[#This Row],[Order_Date]]&gt;TODAY()),"YES","NO")</f>
        <v>NO</v>
      </c>
      <c r="Q316" s="9">
        <f>IF(Table13[[#This Row],[Order_Status]] = "Cancelled",0,IF(Table13[[#This Row],[Order_Status]] = "Returned",Table13[[#This Row],[Net_Sales]] * -1,Table13[[#This Row],[Net_Sales]]))</f>
        <v>109.17</v>
      </c>
      <c r="R316" s="9" t="str">
        <f>IF(Table13[[#This Row],[Gross_Sales]]&gt;=500, "YES","NO")</f>
        <v>NO</v>
      </c>
    </row>
    <row r="317" spans="1:18" x14ac:dyDescent="0.3">
      <c r="A317">
        <v>100312</v>
      </c>
      <c r="B317" s="8">
        <v>45304.958333333343</v>
      </c>
      <c r="C317" t="s">
        <v>14</v>
      </c>
      <c r="D317" t="s">
        <v>26</v>
      </c>
      <c r="E317" t="s">
        <v>66</v>
      </c>
      <c r="F317" t="s">
        <v>72</v>
      </c>
      <c r="G317">
        <v>5</v>
      </c>
      <c r="H317">
        <v>21.94</v>
      </c>
      <c r="I317">
        <v>5</v>
      </c>
      <c r="J317" t="s">
        <v>73</v>
      </c>
      <c r="K317" t="s">
        <v>77</v>
      </c>
      <c r="L317">
        <v>109.7</v>
      </c>
      <c r="M317">
        <v>5.4850000000000003</v>
      </c>
      <c r="N317">
        <v>104.215</v>
      </c>
      <c r="O3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7" s="9" t="str">
        <f ca="1">IF(OR(ISNUMBER(Table13[[#This Row],[Order_Date]])=FALSE,Table13[[#This Row],[Order_Date]]&lt;DATE(2000,1,1),Table13[[#This Row],[Order_Date]]&gt;TODAY()),"YES","NO")</f>
        <v>NO</v>
      </c>
      <c r="Q317" s="9">
        <f>IF(Table13[[#This Row],[Order_Status]] = "Cancelled",0,IF(Table13[[#This Row],[Order_Status]] = "Returned",Table13[[#This Row],[Net_Sales]] * -1,Table13[[#This Row],[Net_Sales]]))</f>
        <v>104.215</v>
      </c>
      <c r="R317" s="9" t="str">
        <f>IF(Table13[[#This Row],[Gross_Sales]]&gt;=500, "YES","NO")</f>
        <v>NO</v>
      </c>
    </row>
    <row r="318" spans="1:18" x14ac:dyDescent="0.3">
      <c r="A318">
        <v>100313</v>
      </c>
      <c r="B318" s="8">
        <v>45305</v>
      </c>
      <c r="C318" t="s">
        <v>15</v>
      </c>
      <c r="D318" t="s">
        <v>34</v>
      </c>
      <c r="E318" t="s">
        <v>70</v>
      </c>
      <c r="F318" t="s">
        <v>72</v>
      </c>
      <c r="G318">
        <v>2</v>
      </c>
      <c r="H318">
        <v>116.9</v>
      </c>
      <c r="I318">
        <v>15</v>
      </c>
      <c r="J318" t="s">
        <v>75</v>
      </c>
      <c r="K318" t="s">
        <v>77</v>
      </c>
      <c r="L318">
        <v>233.8</v>
      </c>
      <c r="M318">
        <v>35.07</v>
      </c>
      <c r="N318">
        <v>198.73</v>
      </c>
      <c r="O3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8" s="9" t="str">
        <f ca="1">IF(OR(ISNUMBER(Table13[[#This Row],[Order_Date]])=FALSE,Table13[[#This Row],[Order_Date]]&lt;DATE(2000,1,1),Table13[[#This Row],[Order_Date]]&gt;TODAY()),"YES","NO")</f>
        <v>NO</v>
      </c>
      <c r="Q318" s="9">
        <f>IF(Table13[[#This Row],[Order_Status]] = "Cancelled",0,IF(Table13[[#This Row],[Order_Status]] = "Returned",Table13[[#This Row],[Net_Sales]] * -1,Table13[[#This Row],[Net_Sales]]))</f>
        <v>198.73</v>
      </c>
      <c r="R318" s="9" t="str">
        <f>IF(Table13[[#This Row],[Gross_Sales]]&gt;=500, "YES","NO")</f>
        <v>NO</v>
      </c>
    </row>
    <row r="319" spans="1:18" x14ac:dyDescent="0.3">
      <c r="A319">
        <v>100314</v>
      </c>
      <c r="B319" s="8">
        <v>45305.041666666657</v>
      </c>
      <c r="C319" t="s">
        <v>14</v>
      </c>
      <c r="D319" t="s">
        <v>32</v>
      </c>
      <c r="E319" t="s">
        <v>69</v>
      </c>
      <c r="F319" t="s">
        <v>72</v>
      </c>
      <c r="G319">
        <v>1</v>
      </c>
      <c r="H319">
        <v>92.32</v>
      </c>
      <c r="I319">
        <v>0</v>
      </c>
      <c r="J319" t="s">
        <v>76</v>
      </c>
      <c r="K319" t="s">
        <v>77</v>
      </c>
      <c r="L319">
        <v>92.32</v>
      </c>
      <c r="M319">
        <v>0</v>
      </c>
      <c r="N319">
        <v>92.32</v>
      </c>
      <c r="O3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19" s="9" t="str">
        <f ca="1">IF(OR(ISNUMBER(Table13[[#This Row],[Order_Date]])=FALSE,Table13[[#This Row],[Order_Date]]&lt;DATE(2000,1,1),Table13[[#This Row],[Order_Date]]&gt;TODAY()),"YES","NO")</f>
        <v>NO</v>
      </c>
      <c r="Q319" s="9">
        <f>IF(Table13[[#This Row],[Order_Status]] = "Cancelled",0,IF(Table13[[#This Row],[Order_Status]] = "Returned",Table13[[#This Row],[Net_Sales]] * -1,Table13[[#This Row],[Net_Sales]]))</f>
        <v>92.32</v>
      </c>
      <c r="R319" s="9" t="str">
        <f>IF(Table13[[#This Row],[Gross_Sales]]&gt;=500, "YES","NO")</f>
        <v>NO</v>
      </c>
    </row>
    <row r="320" spans="1:18" x14ac:dyDescent="0.3">
      <c r="A320">
        <v>100315</v>
      </c>
      <c r="B320" s="8">
        <v>45305.083333333343</v>
      </c>
      <c r="C320" t="s">
        <v>14</v>
      </c>
      <c r="D320" t="s">
        <v>28</v>
      </c>
      <c r="E320" t="s">
        <v>67</v>
      </c>
      <c r="F320" t="s">
        <v>72</v>
      </c>
      <c r="G320">
        <v>4</v>
      </c>
      <c r="H320">
        <v>116.29</v>
      </c>
      <c r="I320">
        <v>10</v>
      </c>
      <c r="J320" t="s">
        <v>73</v>
      </c>
      <c r="K320" t="s">
        <v>77</v>
      </c>
      <c r="L320">
        <v>465.16</v>
      </c>
      <c r="M320">
        <v>46.516000000000012</v>
      </c>
      <c r="N320">
        <v>418.64400000000001</v>
      </c>
      <c r="O3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0" s="9" t="str">
        <f ca="1">IF(OR(ISNUMBER(Table13[[#This Row],[Order_Date]])=FALSE,Table13[[#This Row],[Order_Date]]&lt;DATE(2000,1,1),Table13[[#This Row],[Order_Date]]&gt;TODAY()),"YES","NO")</f>
        <v>NO</v>
      </c>
      <c r="Q320" s="9">
        <f>IF(Table13[[#This Row],[Order_Status]] = "Cancelled",0,IF(Table13[[#This Row],[Order_Status]] = "Returned",Table13[[#This Row],[Net_Sales]] * -1,Table13[[#This Row],[Net_Sales]]))</f>
        <v>418.64400000000001</v>
      </c>
      <c r="R320" s="9" t="str">
        <f>IF(Table13[[#This Row],[Gross_Sales]]&gt;=500, "YES","NO")</f>
        <v>NO</v>
      </c>
    </row>
    <row r="321" spans="1:18" x14ac:dyDescent="0.3">
      <c r="A321">
        <v>100316</v>
      </c>
      <c r="B321" s="8">
        <v>45305.125</v>
      </c>
      <c r="C321" t="s">
        <v>15</v>
      </c>
      <c r="D321" t="s">
        <v>49</v>
      </c>
      <c r="E321" t="s">
        <v>67</v>
      </c>
      <c r="F321" t="s">
        <v>71</v>
      </c>
      <c r="G321">
        <v>2</v>
      </c>
      <c r="H321">
        <v>55.57</v>
      </c>
      <c r="I321">
        <v>10</v>
      </c>
      <c r="J321" t="s">
        <v>73</v>
      </c>
      <c r="K321" t="s">
        <v>77</v>
      </c>
      <c r="L321">
        <v>111.14</v>
      </c>
      <c r="M321">
        <v>11.114000000000001</v>
      </c>
      <c r="N321">
        <v>100.026</v>
      </c>
      <c r="O3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1" s="9" t="str">
        <f ca="1">IF(OR(ISNUMBER(Table13[[#This Row],[Order_Date]])=FALSE,Table13[[#This Row],[Order_Date]]&lt;DATE(2000,1,1),Table13[[#This Row],[Order_Date]]&gt;TODAY()),"YES","NO")</f>
        <v>NO</v>
      </c>
      <c r="Q321" s="9">
        <f>IF(Table13[[#This Row],[Order_Status]] = "Cancelled",0,IF(Table13[[#This Row],[Order_Status]] = "Returned",Table13[[#This Row],[Net_Sales]] * -1,Table13[[#This Row],[Net_Sales]]))</f>
        <v>100.026</v>
      </c>
      <c r="R321" s="9" t="str">
        <f>IF(Table13[[#This Row],[Gross_Sales]]&gt;=500, "YES","NO")</f>
        <v>NO</v>
      </c>
    </row>
    <row r="322" spans="1:18" x14ac:dyDescent="0.3">
      <c r="A322">
        <v>100317</v>
      </c>
      <c r="B322" s="8">
        <v>45305.166666666657</v>
      </c>
      <c r="C322" t="s">
        <v>14</v>
      </c>
      <c r="D322" t="s">
        <v>32</v>
      </c>
      <c r="E322" t="s">
        <v>66</v>
      </c>
      <c r="F322" t="s">
        <v>72</v>
      </c>
      <c r="G322">
        <v>3</v>
      </c>
      <c r="H322">
        <v>37.01</v>
      </c>
      <c r="I322">
        <v>5</v>
      </c>
      <c r="J322" t="s">
        <v>75</v>
      </c>
      <c r="K322" t="s">
        <v>77</v>
      </c>
      <c r="L322">
        <v>111.03</v>
      </c>
      <c r="M322">
        <v>5.5515000000000008</v>
      </c>
      <c r="N322">
        <v>105.4785</v>
      </c>
      <c r="O3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2" s="9" t="str">
        <f ca="1">IF(OR(ISNUMBER(Table13[[#This Row],[Order_Date]])=FALSE,Table13[[#This Row],[Order_Date]]&lt;DATE(2000,1,1),Table13[[#This Row],[Order_Date]]&gt;TODAY()),"YES","NO")</f>
        <v>NO</v>
      </c>
      <c r="Q322" s="9">
        <f>IF(Table13[[#This Row],[Order_Status]] = "Cancelled",0,IF(Table13[[#This Row],[Order_Status]] = "Returned",Table13[[#This Row],[Net_Sales]] * -1,Table13[[#This Row],[Net_Sales]]))</f>
        <v>105.4785</v>
      </c>
      <c r="R322" s="9" t="str">
        <f>IF(Table13[[#This Row],[Gross_Sales]]&gt;=500, "YES","NO")</f>
        <v>NO</v>
      </c>
    </row>
    <row r="323" spans="1:18" x14ac:dyDescent="0.3">
      <c r="A323">
        <v>100318</v>
      </c>
      <c r="B323" s="8">
        <v>45305.208333333343</v>
      </c>
      <c r="C323" t="s">
        <v>14</v>
      </c>
      <c r="D323" t="s">
        <v>58</v>
      </c>
      <c r="E323" t="s">
        <v>69</v>
      </c>
      <c r="F323" t="s">
        <v>71</v>
      </c>
      <c r="G323">
        <v>1</v>
      </c>
      <c r="H323">
        <v>96.8</v>
      </c>
      <c r="I323">
        <v>15</v>
      </c>
      <c r="J323" t="s">
        <v>74</v>
      </c>
      <c r="K323" t="s">
        <v>77</v>
      </c>
      <c r="L323">
        <v>96.8</v>
      </c>
      <c r="M323">
        <v>14.52</v>
      </c>
      <c r="N323">
        <v>82.28</v>
      </c>
      <c r="O3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3" s="9" t="str">
        <f ca="1">IF(OR(ISNUMBER(Table13[[#This Row],[Order_Date]])=FALSE,Table13[[#This Row],[Order_Date]]&lt;DATE(2000,1,1),Table13[[#This Row],[Order_Date]]&gt;TODAY()),"YES","NO")</f>
        <v>NO</v>
      </c>
      <c r="Q323" s="9">
        <f>IF(Table13[[#This Row],[Order_Status]] = "Cancelled",0,IF(Table13[[#This Row],[Order_Status]] = "Returned",Table13[[#This Row],[Net_Sales]] * -1,Table13[[#This Row],[Net_Sales]]))</f>
        <v>82.28</v>
      </c>
      <c r="R323" s="9" t="str">
        <f>IF(Table13[[#This Row],[Gross_Sales]]&gt;=500, "YES","NO")</f>
        <v>NO</v>
      </c>
    </row>
    <row r="324" spans="1:18" x14ac:dyDescent="0.3">
      <c r="A324">
        <v>100319</v>
      </c>
      <c r="B324" s="8">
        <v>45305.25</v>
      </c>
      <c r="C324" t="s">
        <v>14</v>
      </c>
      <c r="D324" t="s">
        <v>31</v>
      </c>
      <c r="E324" t="s">
        <v>68</v>
      </c>
      <c r="F324" t="s">
        <v>71</v>
      </c>
      <c r="G324">
        <v>3</v>
      </c>
      <c r="H324">
        <v>42.52</v>
      </c>
      <c r="I324">
        <v>10</v>
      </c>
      <c r="J324" t="s">
        <v>74</v>
      </c>
      <c r="K324" t="s">
        <v>77</v>
      </c>
      <c r="L324">
        <v>127.56</v>
      </c>
      <c r="M324">
        <v>12.756</v>
      </c>
      <c r="N324">
        <v>114.804</v>
      </c>
      <c r="O3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4" s="9" t="str">
        <f ca="1">IF(OR(ISNUMBER(Table13[[#This Row],[Order_Date]])=FALSE,Table13[[#This Row],[Order_Date]]&lt;DATE(2000,1,1),Table13[[#This Row],[Order_Date]]&gt;TODAY()),"YES","NO")</f>
        <v>NO</v>
      </c>
      <c r="Q324" s="9">
        <f>IF(Table13[[#This Row],[Order_Status]] = "Cancelled",0,IF(Table13[[#This Row],[Order_Status]] = "Returned",Table13[[#This Row],[Net_Sales]] * -1,Table13[[#This Row],[Net_Sales]]))</f>
        <v>114.804</v>
      </c>
      <c r="R324" s="9" t="str">
        <f>IF(Table13[[#This Row],[Gross_Sales]]&gt;=500, "YES","NO")</f>
        <v>NO</v>
      </c>
    </row>
    <row r="325" spans="1:18" x14ac:dyDescent="0.3">
      <c r="A325">
        <v>100320</v>
      </c>
      <c r="B325" s="8">
        <v>45305.291666666657</v>
      </c>
      <c r="C325" t="s">
        <v>15</v>
      </c>
      <c r="D325" t="s">
        <v>20</v>
      </c>
      <c r="E325" t="s">
        <v>69</v>
      </c>
      <c r="F325" t="s">
        <v>72</v>
      </c>
      <c r="G325">
        <v>1</v>
      </c>
      <c r="H325">
        <v>39.43</v>
      </c>
      <c r="I325">
        <v>5</v>
      </c>
      <c r="J325" t="s">
        <v>74</v>
      </c>
      <c r="K325" t="s">
        <v>77</v>
      </c>
      <c r="L325">
        <v>39.43</v>
      </c>
      <c r="M325">
        <v>1.9715</v>
      </c>
      <c r="N325">
        <v>37.458500000000001</v>
      </c>
      <c r="O3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5" s="9" t="str">
        <f ca="1">IF(OR(ISNUMBER(Table13[[#This Row],[Order_Date]])=FALSE,Table13[[#This Row],[Order_Date]]&lt;DATE(2000,1,1),Table13[[#This Row],[Order_Date]]&gt;TODAY()),"YES","NO")</f>
        <v>NO</v>
      </c>
      <c r="Q325" s="9">
        <f>IF(Table13[[#This Row],[Order_Status]] = "Cancelled",0,IF(Table13[[#This Row],[Order_Status]] = "Returned",Table13[[#This Row],[Net_Sales]] * -1,Table13[[#This Row],[Net_Sales]]))</f>
        <v>37.458500000000001</v>
      </c>
      <c r="R325" s="9" t="str">
        <f>IF(Table13[[#This Row],[Gross_Sales]]&gt;=500, "YES","NO")</f>
        <v>NO</v>
      </c>
    </row>
    <row r="326" spans="1:18" x14ac:dyDescent="0.3">
      <c r="A326">
        <v>100321</v>
      </c>
      <c r="B326" s="8">
        <v>45305.333333333343</v>
      </c>
      <c r="C326" t="s">
        <v>15</v>
      </c>
      <c r="D326" t="s">
        <v>54</v>
      </c>
      <c r="E326" t="s">
        <v>67</v>
      </c>
      <c r="F326" t="s">
        <v>71</v>
      </c>
      <c r="G326">
        <v>4</v>
      </c>
      <c r="H326">
        <v>31.74</v>
      </c>
      <c r="I326">
        <v>0</v>
      </c>
      <c r="J326" t="s">
        <v>75</v>
      </c>
      <c r="K326" t="s">
        <v>77</v>
      </c>
      <c r="L326">
        <v>126.96</v>
      </c>
      <c r="M326">
        <v>0</v>
      </c>
      <c r="N326">
        <v>126.96</v>
      </c>
      <c r="O3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6" s="9" t="str">
        <f ca="1">IF(OR(ISNUMBER(Table13[[#This Row],[Order_Date]])=FALSE,Table13[[#This Row],[Order_Date]]&lt;DATE(2000,1,1),Table13[[#This Row],[Order_Date]]&gt;TODAY()),"YES","NO")</f>
        <v>NO</v>
      </c>
      <c r="Q326" s="9">
        <f>IF(Table13[[#This Row],[Order_Status]] = "Cancelled",0,IF(Table13[[#This Row],[Order_Status]] = "Returned",Table13[[#This Row],[Net_Sales]] * -1,Table13[[#This Row],[Net_Sales]]))</f>
        <v>126.96</v>
      </c>
      <c r="R326" s="9" t="str">
        <f>IF(Table13[[#This Row],[Gross_Sales]]&gt;=500, "YES","NO")</f>
        <v>NO</v>
      </c>
    </row>
    <row r="327" spans="1:18" x14ac:dyDescent="0.3">
      <c r="A327">
        <v>100322</v>
      </c>
      <c r="B327" s="8">
        <v>45305.375</v>
      </c>
      <c r="C327" t="s">
        <v>14</v>
      </c>
      <c r="D327" t="s">
        <v>31</v>
      </c>
      <c r="E327" t="s">
        <v>67</v>
      </c>
      <c r="F327" t="s">
        <v>71</v>
      </c>
      <c r="G327">
        <v>4</v>
      </c>
      <c r="H327">
        <v>19.91</v>
      </c>
      <c r="I327">
        <v>0</v>
      </c>
      <c r="J327" t="s">
        <v>74</v>
      </c>
      <c r="K327" t="s">
        <v>77</v>
      </c>
      <c r="L327">
        <v>79.64</v>
      </c>
      <c r="M327">
        <v>0</v>
      </c>
      <c r="N327">
        <v>79.64</v>
      </c>
      <c r="O3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7" s="9" t="str">
        <f ca="1">IF(OR(ISNUMBER(Table13[[#This Row],[Order_Date]])=FALSE,Table13[[#This Row],[Order_Date]]&lt;DATE(2000,1,1),Table13[[#This Row],[Order_Date]]&gt;TODAY()),"YES","NO")</f>
        <v>NO</v>
      </c>
      <c r="Q327" s="9">
        <f>IF(Table13[[#This Row],[Order_Status]] = "Cancelled",0,IF(Table13[[#This Row],[Order_Status]] = "Returned",Table13[[#This Row],[Net_Sales]] * -1,Table13[[#This Row],[Net_Sales]]))</f>
        <v>79.64</v>
      </c>
      <c r="R327" s="9" t="str">
        <f>IF(Table13[[#This Row],[Gross_Sales]]&gt;=500, "YES","NO")</f>
        <v>NO</v>
      </c>
    </row>
    <row r="328" spans="1:18" x14ac:dyDescent="0.3">
      <c r="A328">
        <v>100323</v>
      </c>
      <c r="B328" s="8">
        <v>45305.416666666657</v>
      </c>
      <c r="C328" t="s">
        <v>15</v>
      </c>
      <c r="D328" t="s">
        <v>19</v>
      </c>
      <c r="E328" t="s">
        <v>69</v>
      </c>
      <c r="F328" t="s">
        <v>71</v>
      </c>
      <c r="G328">
        <v>5</v>
      </c>
      <c r="H328">
        <v>34.49</v>
      </c>
      <c r="I328">
        <v>10</v>
      </c>
      <c r="J328" t="s">
        <v>76</v>
      </c>
      <c r="K328" t="s">
        <v>77</v>
      </c>
      <c r="L328">
        <v>172.45</v>
      </c>
      <c r="M328">
        <v>17.245000000000001</v>
      </c>
      <c r="N328">
        <v>155.20500000000001</v>
      </c>
      <c r="O3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28" s="9" t="str">
        <f ca="1">IF(OR(ISNUMBER(Table13[[#This Row],[Order_Date]])=FALSE,Table13[[#This Row],[Order_Date]]&lt;DATE(2000,1,1),Table13[[#This Row],[Order_Date]]&gt;TODAY()),"YES","NO")</f>
        <v>NO</v>
      </c>
      <c r="Q328" s="9">
        <f>IF(Table13[[#This Row],[Order_Status]] = "Cancelled",0,IF(Table13[[#This Row],[Order_Status]] = "Returned",Table13[[#This Row],[Net_Sales]] * -1,Table13[[#This Row],[Net_Sales]]))</f>
        <v>155.20500000000001</v>
      </c>
      <c r="R328" s="9" t="str">
        <f>IF(Table13[[#This Row],[Gross_Sales]]&gt;=500, "YES","NO")</f>
        <v>NO</v>
      </c>
    </row>
    <row r="329" spans="1:18" x14ac:dyDescent="0.3">
      <c r="A329">
        <v>100324</v>
      </c>
      <c r="B329" s="8">
        <v>45305.458333333343</v>
      </c>
      <c r="C329" t="s">
        <v>15</v>
      </c>
      <c r="D329" t="s">
        <v>36</v>
      </c>
      <c r="E329" t="s">
        <v>69</v>
      </c>
      <c r="F329" t="s">
        <v>71</v>
      </c>
      <c r="G329">
        <v>3</v>
      </c>
      <c r="H329">
        <v>45.86</v>
      </c>
      <c r="I329">
        <v>10</v>
      </c>
      <c r="J329" t="s">
        <v>76</v>
      </c>
      <c r="K329" t="s">
        <v>78</v>
      </c>
      <c r="L329">
        <v>137.58000000000001</v>
      </c>
      <c r="M329">
        <v>13.757999999999999</v>
      </c>
      <c r="N329">
        <v>123.822</v>
      </c>
      <c r="O3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29" s="9" t="str">
        <f ca="1">IF(OR(ISNUMBER(Table13[[#This Row],[Order_Date]])=FALSE,Table13[[#This Row],[Order_Date]]&lt;DATE(2000,1,1),Table13[[#This Row],[Order_Date]]&gt;TODAY()),"YES","NO")</f>
        <v>NO</v>
      </c>
      <c r="Q329" s="9">
        <f>IF(Table13[[#This Row],[Order_Status]] = "Cancelled",0,IF(Table13[[#This Row],[Order_Status]] = "Returned",Table13[[#This Row],[Net_Sales]] * -1,Table13[[#This Row],[Net_Sales]]))</f>
        <v>-123.822</v>
      </c>
      <c r="R329" s="9" t="str">
        <f>IF(Table13[[#This Row],[Gross_Sales]]&gt;=500, "YES","NO")</f>
        <v>NO</v>
      </c>
    </row>
    <row r="330" spans="1:18" x14ac:dyDescent="0.3">
      <c r="A330">
        <v>100325</v>
      </c>
      <c r="B330" s="8">
        <v>45305.5</v>
      </c>
      <c r="C330" t="s">
        <v>15</v>
      </c>
      <c r="D330" t="s">
        <v>50</v>
      </c>
      <c r="E330" t="s">
        <v>67</v>
      </c>
      <c r="F330" t="s">
        <v>72</v>
      </c>
      <c r="G330">
        <v>1</v>
      </c>
      <c r="H330">
        <v>82.51</v>
      </c>
      <c r="I330">
        <v>15</v>
      </c>
      <c r="J330" t="s">
        <v>76</v>
      </c>
      <c r="K330" t="s">
        <v>77</v>
      </c>
      <c r="L330">
        <v>82.51</v>
      </c>
      <c r="M330">
        <v>12.3765</v>
      </c>
      <c r="N330">
        <v>70.133499999999998</v>
      </c>
      <c r="O3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0" s="9" t="str">
        <f ca="1">IF(OR(ISNUMBER(Table13[[#This Row],[Order_Date]])=FALSE,Table13[[#This Row],[Order_Date]]&lt;DATE(2000,1,1),Table13[[#This Row],[Order_Date]]&gt;TODAY()),"YES","NO")</f>
        <v>NO</v>
      </c>
      <c r="Q330" s="9">
        <f>IF(Table13[[#This Row],[Order_Status]] = "Cancelled",0,IF(Table13[[#This Row],[Order_Status]] = "Returned",Table13[[#This Row],[Net_Sales]] * -1,Table13[[#This Row],[Net_Sales]]))</f>
        <v>70.133499999999998</v>
      </c>
      <c r="R330" s="9" t="str">
        <f>IF(Table13[[#This Row],[Gross_Sales]]&gt;=500, "YES","NO")</f>
        <v>NO</v>
      </c>
    </row>
    <row r="331" spans="1:18" x14ac:dyDescent="0.3">
      <c r="A331">
        <v>100326</v>
      </c>
      <c r="B331" s="8">
        <v>45305.541666666657</v>
      </c>
      <c r="C331" t="s">
        <v>15</v>
      </c>
      <c r="D331" t="s">
        <v>17</v>
      </c>
      <c r="E331" t="s">
        <v>68</v>
      </c>
      <c r="F331" t="s">
        <v>72</v>
      </c>
      <c r="G331">
        <v>4</v>
      </c>
      <c r="H331">
        <v>12.19</v>
      </c>
      <c r="I331">
        <v>15</v>
      </c>
      <c r="J331" t="s">
        <v>76</v>
      </c>
      <c r="K331" t="s">
        <v>77</v>
      </c>
      <c r="L331">
        <v>48.76</v>
      </c>
      <c r="M331">
        <v>7.3139999999999992</v>
      </c>
      <c r="N331">
        <v>41.445999999999998</v>
      </c>
      <c r="O3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1" s="9" t="str">
        <f ca="1">IF(OR(ISNUMBER(Table13[[#This Row],[Order_Date]])=FALSE,Table13[[#This Row],[Order_Date]]&lt;DATE(2000,1,1),Table13[[#This Row],[Order_Date]]&gt;TODAY()),"YES","NO")</f>
        <v>NO</v>
      </c>
      <c r="Q331" s="9">
        <f>IF(Table13[[#This Row],[Order_Status]] = "Cancelled",0,IF(Table13[[#This Row],[Order_Status]] = "Returned",Table13[[#This Row],[Net_Sales]] * -1,Table13[[#This Row],[Net_Sales]]))</f>
        <v>41.445999999999998</v>
      </c>
      <c r="R331" s="9" t="str">
        <f>IF(Table13[[#This Row],[Gross_Sales]]&gt;=500, "YES","NO")</f>
        <v>NO</v>
      </c>
    </row>
    <row r="332" spans="1:18" x14ac:dyDescent="0.3">
      <c r="A332">
        <v>100327</v>
      </c>
      <c r="B332" s="8">
        <v>45305.583333333343</v>
      </c>
      <c r="C332" t="s">
        <v>14</v>
      </c>
      <c r="D332" t="s">
        <v>16</v>
      </c>
      <c r="E332" t="s">
        <v>66</v>
      </c>
      <c r="F332" t="s">
        <v>72</v>
      </c>
      <c r="G332">
        <v>2</v>
      </c>
      <c r="H332">
        <v>29.21</v>
      </c>
      <c r="I332">
        <v>10</v>
      </c>
      <c r="J332" t="s">
        <v>73</v>
      </c>
      <c r="K332" t="s">
        <v>77</v>
      </c>
      <c r="L332">
        <v>58.42</v>
      </c>
      <c r="M332">
        <v>5.8420000000000014</v>
      </c>
      <c r="N332">
        <v>52.578000000000003</v>
      </c>
      <c r="O3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2" s="9" t="str">
        <f ca="1">IF(OR(ISNUMBER(Table13[[#This Row],[Order_Date]])=FALSE,Table13[[#This Row],[Order_Date]]&lt;DATE(2000,1,1),Table13[[#This Row],[Order_Date]]&gt;TODAY()),"YES","NO")</f>
        <v>NO</v>
      </c>
      <c r="Q332" s="9">
        <f>IF(Table13[[#This Row],[Order_Status]] = "Cancelled",0,IF(Table13[[#This Row],[Order_Status]] = "Returned",Table13[[#This Row],[Net_Sales]] * -1,Table13[[#This Row],[Net_Sales]]))</f>
        <v>52.578000000000003</v>
      </c>
      <c r="R332" s="9" t="str">
        <f>IF(Table13[[#This Row],[Gross_Sales]]&gt;=500, "YES","NO")</f>
        <v>NO</v>
      </c>
    </row>
    <row r="333" spans="1:18" x14ac:dyDescent="0.3">
      <c r="A333">
        <v>100328</v>
      </c>
      <c r="B333" s="8">
        <v>45305.625</v>
      </c>
      <c r="C333" t="s">
        <v>14</v>
      </c>
      <c r="D333" t="s">
        <v>17</v>
      </c>
      <c r="E333" t="s">
        <v>66</v>
      </c>
      <c r="F333" t="s">
        <v>72</v>
      </c>
      <c r="G333">
        <v>4</v>
      </c>
      <c r="H333">
        <v>98.04</v>
      </c>
      <c r="I333">
        <v>5</v>
      </c>
      <c r="J333" t="s">
        <v>76</v>
      </c>
      <c r="K333" t="s">
        <v>77</v>
      </c>
      <c r="L333">
        <v>392.16</v>
      </c>
      <c r="M333">
        <v>19.608000000000001</v>
      </c>
      <c r="N333">
        <v>372.55200000000002</v>
      </c>
      <c r="O3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3" s="9" t="str">
        <f ca="1">IF(OR(ISNUMBER(Table13[[#This Row],[Order_Date]])=FALSE,Table13[[#This Row],[Order_Date]]&lt;DATE(2000,1,1),Table13[[#This Row],[Order_Date]]&gt;TODAY()),"YES","NO")</f>
        <v>NO</v>
      </c>
      <c r="Q333" s="9">
        <f>IF(Table13[[#This Row],[Order_Status]] = "Cancelled",0,IF(Table13[[#This Row],[Order_Status]] = "Returned",Table13[[#This Row],[Net_Sales]] * -1,Table13[[#This Row],[Net_Sales]]))</f>
        <v>372.55200000000002</v>
      </c>
      <c r="R333" s="9" t="str">
        <f>IF(Table13[[#This Row],[Gross_Sales]]&gt;=500, "YES","NO")</f>
        <v>NO</v>
      </c>
    </row>
    <row r="334" spans="1:18" x14ac:dyDescent="0.3">
      <c r="A334">
        <v>100329</v>
      </c>
      <c r="B334" s="8">
        <v>45305.666666666657</v>
      </c>
      <c r="C334" t="s">
        <v>15</v>
      </c>
      <c r="D334" t="s">
        <v>39</v>
      </c>
      <c r="E334" t="s">
        <v>69</v>
      </c>
      <c r="F334" t="s">
        <v>72</v>
      </c>
      <c r="G334">
        <v>2</v>
      </c>
      <c r="H334">
        <v>21.9</v>
      </c>
      <c r="I334">
        <v>15</v>
      </c>
      <c r="J334" t="s">
        <v>74</v>
      </c>
      <c r="K334" t="s">
        <v>78</v>
      </c>
      <c r="L334">
        <v>43.8</v>
      </c>
      <c r="M334">
        <v>6.5699999999999994</v>
      </c>
      <c r="N334">
        <v>37.229999999999997</v>
      </c>
      <c r="O3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34" s="9" t="str">
        <f ca="1">IF(OR(ISNUMBER(Table13[[#This Row],[Order_Date]])=FALSE,Table13[[#This Row],[Order_Date]]&lt;DATE(2000,1,1),Table13[[#This Row],[Order_Date]]&gt;TODAY()),"YES","NO")</f>
        <v>NO</v>
      </c>
      <c r="Q334" s="9">
        <f>IF(Table13[[#This Row],[Order_Status]] = "Cancelled",0,IF(Table13[[#This Row],[Order_Status]] = "Returned",Table13[[#This Row],[Net_Sales]] * -1,Table13[[#This Row],[Net_Sales]]))</f>
        <v>-37.229999999999997</v>
      </c>
      <c r="R334" s="9" t="str">
        <f>IF(Table13[[#This Row],[Gross_Sales]]&gt;=500, "YES","NO")</f>
        <v>NO</v>
      </c>
    </row>
    <row r="335" spans="1:18" x14ac:dyDescent="0.3">
      <c r="A335">
        <v>100330</v>
      </c>
      <c r="B335" s="8">
        <v>45305.708333333343</v>
      </c>
      <c r="C335" t="s">
        <v>15</v>
      </c>
      <c r="D335" t="s">
        <v>59</v>
      </c>
      <c r="E335" t="s">
        <v>66</v>
      </c>
      <c r="F335" t="s">
        <v>72</v>
      </c>
      <c r="G335">
        <v>1</v>
      </c>
      <c r="H335">
        <v>44.4</v>
      </c>
      <c r="I335">
        <v>10</v>
      </c>
      <c r="J335" t="s">
        <v>75</v>
      </c>
      <c r="K335" t="s">
        <v>77</v>
      </c>
      <c r="L335">
        <v>44.4</v>
      </c>
      <c r="M335">
        <v>4.4400000000000004</v>
      </c>
      <c r="N335">
        <v>39.96</v>
      </c>
      <c r="O3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5" s="9" t="str">
        <f ca="1">IF(OR(ISNUMBER(Table13[[#This Row],[Order_Date]])=FALSE,Table13[[#This Row],[Order_Date]]&lt;DATE(2000,1,1),Table13[[#This Row],[Order_Date]]&gt;TODAY()),"YES","NO")</f>
        <v>NO</v>
      </c>
      <c r="Q335" s="9">
        <f>IF(Table13[[#This Row],[Order_Status]] = "Cancelled",0,IF(Table13[[#This Row],[Order_Status]] = "Returned",Table13[[#This Row],[Net_Sales]] * -1,Table13[[#This Row],[Net_Sales]]))</f>
        <v>39.96</v>
      </c>
      <c r="R335" s="9" t="str">
        <f>IF(Table13[[#This Row],[Gross_Sales]]&gt;=500, "YES","NO")</f>
        <v>NO</v>
      </c>
    </row>
    <row r="336" spans="1:18" x14ac:dyDescent="0.3">
      <c r="A336">
        <v>100331</v>
      </c>
      <c r="B336" s="8">
        <v>45305.75</v>
      </c>
      <c r="C336" t="s">
        <v>14</v>
      </c>
      <c r="D336" t="s">
        <v>60</v>
      </c>
      <c r="E336" t="s">
        <v>67</v>
      </c>
      <c r="F336" t="s">
        <v>72</v>
      </c>
      <c r="G336">
        <v>4</v>
      </c>
      <c r="H336">
        <v>104.44</v>
      </c>
      <c r="I336">
        <v>15</v>
      </c>
      <c r="J336" t="s">
        <v>74</v>
      </c>
      <c r="K336" t="s">
        <v>77</v>
      </c>
      <c r="L336">
        <v>417.76</v>
      </c>
      <c r="M336">
        <v>62.663999999999987</v>
      </c>
      <c r="N336">
        <v>355.096</v>
      </c>
      <c r="O3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6" s="9" t="str">
        <f ca="1">IF(OR(ISNUMBER(Table13[[#This Row],[Order_Date]])=FALSE,Table13[[#This Row],[Order_Date]]&lt;DATE(2000,1,1),Table13[[#This Row],[Order_Date]]&gt;TODAY()),"YES","NO")</f>
        <v>NO</v>
      </c>
      <c r="Q336" s="9">
        <f>IF(Table13[[#This Row],[Order_Status]] = "Cancelled",0,IF(Table13[[#This Row],[Order_Status]] = "Returned",Table13[[#This Row],[Net_Sales]] * -1,Table13[[#This Row],[Net_Sales]]))</f>
        <v>355.096</v>
      </c>
      <c r="R336" s="9" t="str">
        <f>IF(Table13[[#This Row],[Gross_Sales]]&gt;=500, "YES","NO")</f>
        <v>NO</v>
      </c>
    </row>
    <row r="337" spans="1:18" x14ac:dyDescent="0.3">
      <c r="A337">
        <v>100332</v>
      </c>
      <c r="B337" s="8">
        <v>45305.791666666657</v>
      </c>
      <c r="C337" t="s">
        <v>14</v>
      </c>
      <c r="D337" t="s">
        <v>47</v>
      </c>
      <c r="E337" t="s">
        <v>67</v>
      </c>
      <c r="F337" t="s">
        <v>72</v>
      </c>
      <c r="G337">
        <v>4</v>
      </c>
      <c r="H337">
        <v>22.82</v>
      </c>
      <c r="I337">
        <v>10</v>
      </c>
      <c r="J337" t="s">
        <v>76</v>
      </c>
      <c r="K337" t="s">
        <v>77</v>
      </c>
      <c r="L337">
        <v>91.28</v>
      </c>
      <c r="M337">
        <v>9.1280000000000001</v>
      </c>
      <c r="N337">
        <v>82.152000000000001</v>
      </c>
      <c r="O3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7" s="9" t="str">
        <f ca="1">IF(OR(ISNUMBER(Table13[[#This Row],[Order_Date]])=FALSE,Table13[[#This Row],[Order_Date]]&lt;DATE(2000,1,1),Table13[[#This Row],[Order_Date]]&gt;TODAY()),"YES","NO")</f>
        <v>NO</v>
      </c>
      <c r="Q337" s="9">
        <f>IF(Table13[[#This Row],[Order_Status]] = "Cancelled",0,IF(Table13[[#This Row],[Order_Status]] = "Returned",Table13[[#This Row],[Net_Sales]] * -1,Table13[[#This Row],[Net_Sales]]))</f>
        <v>82.152000000000001</v>
      </c>
      <c r="R337" s="9" t="str">
        <f>IF(Table13[[#This Row],[Gross_Sales]]&gt;=500, "YES","NO")</f>
        <v>NO</v>
      </c>
    </row>
    <row r="338" spans="1:18" x14ac:dyDescent="0.3">
      <c r="A338">
        <v>100333</v>
      </c>
      <c r="B338" s="8">
        <v>45305.833333333343</v>
      </c>
      <c r="C338" t="s">
        <v>15</v>
      </c>
      <c r="D338" t="s">
        <v>25</v>
      </c>
      <c r="E338" t="s">
        <v>69</v>
      </c>
      <c r="F338" t="s">
        <v>72</v>
      </c>
      <c r="G338">
        <v>1</v>
      </c>
      <c r="H338">
        <v>14.51</v>
      </c>
      <c r="I338">
        <v>0</v>
      </c>
      <c r="J338" t="s">
        <v>73</v>
      </c>
      <c r="K338" t="s">
        <v>77</v>
      </c>
      <c r="L338">
        <v>14.51</v>
      </c>
      <c r="M338">
        <v>0</v>
      </c>
      <c r="N338">
        <v>14.51</v>
      </c>
      <c r="O3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8" s="9" t="str">
        <f ca="1">IF(OR(ISNUMBER(Table13[[#This Row],[Order_Date]])=FALSE,Table13[[#This Row],[Order_Date]]&lt;DATE(2000,1,1),Table13[[#This Row],[Order_Date]]&gt;TODAY()),"YES","NO")</f>
        <v>NO</v>
      </c>
      <c r="Q338" s="9">
        <f>IF(Table13[[#This Row],[Order_Status]] = "Cancelled",0,IF(Table13[[#This Row],[Order_Status]] = "Returned",Table13[[#This Row],[Net_Sales]] * -1,Table13[[#This Row],[Net_Sales]]))</f>
        <v>14.51</v>
      </c>
      <c r="R338" s="9" t="str">
        <f>IF(Table13[[#This Row],[Gross_Sales]]&gt;=500, "YES","NO")</f>
        <v>NO</v>
      </c>
    </row>
    <row r="339" spans="1:18" x14ac:dyDescent="0.3">
      <c r="A339">
        <v>100334</v>
      </c>
      <c r="B339" s="8">
        <v>45305.875</v>
      </c>
      <c r="C339" t="s">
        <v>14</v>
      </c>
      <c r="D339" t="s">
        <v>33</v>
      </c>
      <c r="E339" t="s">
        <v>69</v>
      </c>
      <c r="F339" t="s">
        <v>72</v>
      </c>
      <c r="G339">
        <v>4</v>
      </c>
      <c r="H339">
        <v>60.72</v>
      </c>
      <c r="I339">
        <v>10</v>
      </c>
      <c r="J339" t="s">
        <v>76</v>
      </c>
      <c r="K339" t="s">
        <v>77</v>
      </c>
      <c r="L339">
        <v>242.88</v>
      </c>
      <c r="M339">
        <v>24.288</v>
      </c>
      <c r="N339">
        <v>218.59200000000001</v>
      </c>
      <c r="O3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39" s="9" t="str">
        <f ca="1">IF(OR(ISNUMBER(Table13[[#This Row],[Order_Date]])=FALSE,Table13[[#This Row],[Order_Date]]&lt;DATE(2000,1,1),Table13[[#This Row],[Order_Date]]&gt;TODAY()),"YES","NO")</f>
        <v>NO</v>
      </c>
      <c r="Q339" s="9">
        <f>IF(Table13[[#This Row],[Order_Status]] = "Cancelled",0,IF(Table13[[#This Row],[Order_Status]] = "Returned",Table13[[#This Row],[Net_Sales]] * -1,Table13[[#This Row],[Net_Sales]]))</f>
        <v>218.59200000000001</v>
      </c>
      <c r="R339" s="9" t="str">
        <f>IF(Table13[[#This Row],[Gross_Sales]]&gt;=500, "YES","NO")</f>
        <v>NO</v>
      </c>
    </row>
    <row r="340" spans="1:18" x14ac:dyDescent="0.3">
      <c r="A340">
        <v>100335</v>
      </c>
      <c r="B340" s="8">
        <v>45305.916666666657</v>
      </c>
      <c r="C340" t="s">
        <v>15</v>
      </c>
      <c r="D340" t="s">
        <v>46</v>
      </c>
      <c r="E340" t="s">
        <v>69</v>
      </c>
      <c r="F340" t="s">
        <v>71</v>
      </c>
      <c r="G340">
        <v>2</v>
      </c>
      <c r="H340">
        <v>39.78</v>
      </c>
      <c r="I340">
        <v>0</v>
      </c>
      <c r="J340" t="s">
        <v>75</v>
      </c>
      <c r="K340" t="s">
        <v>77</v>
      </c>
      <c r="L340">
        <v>79.56</v>
      </c>
      <c r="M340">
        <v>0</v>
      </c>
      <c r="N340">
        <v>79.56</v>
      </c>
      <c r="O3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0" s="9" t="str">
        <f ca="1">IF(OR(ISNUMBER(Table13[[#This Row],[Order_Date]])=FALSE,Table13[[#This Row],[Order_Date]]&lt;DATE(2000,1,1),Table13[[#This Row],[Order_Date]]&gt;TODAY()),"YES","NO")</f>
        <v>NO</v>
      </c>
      <c r="Q340" s="9">
        <f>IF(Table13[[#This Row],[Order_Status]] = "Cancelled",0,IF(Table13[[#This Row],[Order_Status]] = "Returned",Table13[[#This Row],[Net_Sales]] * -1,Table13[[#This Row],[Net_Sales]]))</f>
        <v>79.56</v>
      </c>
      <c r="R340" s="9" t="str">
        <f>IF(Table13[[#This Row],[Gross_Sales]]&gt;=500, "YES","NO")</f>
        <v>NO</v>
      </c>
    </row>
    <row r="341" spans="1:18" x14ac:dyDescent="0.3">
      <c r="A341">
        <v>100336</v>
      </c>
      <c r="B341" s="8">
        <v>45305.958333333343</v>
      </c>
      <c r="C341" t="s">
        <v>15</v>
      </c>
      <c r="D341" t="s">
        <v>38</v>
      </c>
      <c r="E341" t="s">
        <v>68</v>
      </c>
      <c r="F341" t="s">
        <v>72</v>
      </c>
      <c r="G341">
        <v>4</v>
      </c>
      <c r="H341">
        <v>69.790000000000006</v>
      </c>
      <c r="I341">
        <v>15</v>
      </c>
      <c r="J341" t="s">
        <v>74</v>
      </c>
      <c r="K341" t="s">
        <v>77</v>
      </c>
      <c r="L341">
        <v>279.16000000000003</v>
      </c>
      <c r="M341">
        <v>41.874000000000002</v>
      </c>
      <c r="N341">
        <v>237.286</v>
      </c>
      <c r="O3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1" s="9" t="str">
        <f ca="1">IF(OR(ISNUMBER(Table13[[#This Row],[Order_Date]])=FALSE,Table13[[#This Row],[Order_Date]]&lt;DATE(2000,1,1),Table13[[#This Row],[Order_Date]]&gt;TODAY()),"YES","NO")</f>
        <v>NO</v>
      </c>
      <c r="Q341" s="9">
        <f>IF(Table13[[#This Row],[Order_Status]] = "Cancelled",0,IF(Table13[[#This Row],[Order_Status]] = "Returned",Table13[[#This Row],[Net_Sales]] * -1,Table13[[#This Row],[Net_Sales]]))</f>
        <v>237.286</v>
      </c>
      <c r="R341" s="9" t="str">
        <f>IF(Table13[[#This Row],[Gross_Sales]]&gt;=500, "YES","NO")</f>
        <v>NO</v>
      </c>
    </row>
    <row r="342" spans="1:18" x14ac:dyDescent="0.3">
      <c r="A342">
        <v>100337</v>
      </c>
      <c r="B342" s="8">
        <v>45306</v>
      </c>
      <c r="C342" t="s">
        <v>14</v>
      </c>
      <c r="D342" t="s">
        <v>28</v>
      </c>
      <c r="E342" t="s">
        <v>66</v>
      </c>
      <c r="F342" t="s">
        <v>71</v>
      </c>
      <c r="G342">
        <v>3</v>
      </c>
      <c r="H342">
        <v>97.44</v>
      </c>
      <c r="I342">
        <v>10</v>
      </c>
      <c r="J342" t="s">
        <v>75</v>
      </c>
      <c r="K342" t="s">
        <v>77</v>
      </c>
      <c r="L342">
        <v>292.32</v>
      </c>
      <c r="M342">
        <v>29.231999999999999</v>
      </c>
      <c r="N342">
        <v>263.08800000000002</v>
      </c>
      <c r="O3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2" s="9" t="str">
        <f ca="1">IF(OR(ISNUMBER(Table13[[#This Row],[Order_Date]])=FALSE,Table13[[#This Row],[Order_Date]]&lt;DATE(2000,1,1),Table13[[#This Row],[Order_Date]]&gt;TODAY()),"YES","NO")</f>
        <v>NO</v>
      </c>
      <c r="Q342" s="9">
        <f>IF(Table13[[#This Row],[Order_Status]] = "Cancelled",0,IF(Table13[[#This Row],[Order_Status]] = "Returned",Table13[[#This Row],[Net_Sales]] * -1,Table13[[#This Row],[Net_Sales]]))</f>
        <v>263.08800000000002</v>
      </c>
      <c r="R342" s="9" t="str">
        <f>IF(Table13[[#This Row],[Gross_Sales]]&gt;=500, "YES","NO")</f>
        <v>NO</v>
      </c>
    </row>
    <row r="343" spans="1:18" x14ac:dyDescent="0.3">
      <c r="A343">
        <v>100338</v>
      </c>
      <c r="B343" s="8">
        <v>45306.041666666657</v>
      </c>
      <c r="C343" t="s">
        <v>14</v>
      </c>
      <c r="D343" t="s">
        <v>58</v>
      </c>
      <c r="E343" t="s">
        <v>69</v>
      </c>
      <c r="F343" t="s">
        <v>71</v>
      </c>
      <c r="G343">
        <v>5</v>
      </c>
      <c r="H343">
        <v>20.77</v>
      </c>
      <c r="I343">
        <v>15</v>
      </c>
      <c r="J343" t="s">
        <v>75</v>
      </c>
      <c r="K343" t="s">
        <v>77</v>
      </c>
      <c r="L343">
        <v>103.85</v>
      </c>
      <c r="M343">
        <v>15.577500000000001</v>
      </c>
      <c r="N343">
        <v>88.272499999999994</v>
      </c>
      <c r="O3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3" s="9" t="str">
        <f ca="1">IF(OR(ISNUMBER(Table13[[#This Row],[Order_Date]])=FALSE,Table13[[#This Row],[Order_Date]]&lt;DATE(2000,1,1),Table13[[#This Row],[Order_Date]]&gt;TODAY()),"YES","NO")</f>
        <v>NO</v>
      </c>
      <c r="Q343" s="9">
        <f>IF(Table13[[#This Row],[Order_Status]] = "Cancelled",0,IF(Table13[[#This Row],[Order_Status]] = "Returned",Table13[[#This Row],[Net_Sales]] * -1,Table13[[#This Row],[Net_Sales]]))</f>
        <v>88.272499999999994</v>
      </c>
      <c r="R343" s="9" t="str">
        <f>IF(Table13[[#This Row],[Gross_Sales]]&gt;=500, "YES","NO")</f>
        <v>NO</v>
      </c>
    </row>
    <row r="344" spans="1:18" x14ac:dyDescent="0.3">
      <c r="A344">
        <v>100339</v>
      </c>
      <c r="B344" s="8">
        <v>45306.083333333343</v>
      </c>
      <c r="C344" t="s">
        <v>15</v>
      </c>
      <c r="D344" t="s">
        <v>34</v>
      </c>
      <c r="E344" t="s">
        <v>70</v>
      </c>
      <c r="F344" t="s">
        <v>71</v>
      </c>
      <c r="G344">
        <v>2</v>
      </c>
      <c r="H344">
        <v>71.78</v>
      </c>
      <c r="I344">
        <v>0</v>
      </c>
      <c r="J344" t="s">
        <v>75</v>
      </c>
      <c r="K344" t="s">
        <v>78</v>
      </c>
      <c r="L344">
        <v>143.56</v>
      </c>
      <c r="M344">
        <v>0</v>
      </c>
      <c r="N344">
        <v>143.56</v>
      </c>
      <c r="O3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44" s="9" t="str">
        <f ca="1">IF(OR(ISNUMBER(Table13[[#This Row],[Order_Date]])=FALSE,Table13[[#This Row],[Order_Date]]&lt;DATE(2000,1,1),Table13[[#This Row],[Order_Date]]&gt;TODAY()),"YES","NO")</f>
        <v>NO</v>
      </c>
      <c r="Q344" s="9">
        <f>IF(Table13[[#This Row],[Order_Status]] = "Cancelled",0,IF(Table13[[#This Row],[Order_Status]] = "Returned",Table13[[#This Row],[Net_Sales]] * -1,Table13[[#This Row],[Net_Sales]]))</f>
        <v>-143.56</v>
      </c>
      <c r="R344" s="9" t="str">
        <f>IF(Table13[[#This Row],[Gross_Sales]]&gt;=500, "YES","NO")</f>
        <v>NO</v>
      </c>
    </row>
    <row r="345" spans="1:18" x14ac:dyDescent="0.3">
      <c r="A345">
        <v>100340</v>
      </c>
      <c r="B345" s="8">
        <v>45306.125</v>
      </c>
      <c r="C345" t="s">
        <v>15</v>
      </c>
      <c r="D345" t="s">
        <v>52</v>
      </c>
      <c r="E345" t="s">
        <v>70</v>
      </c>
      <c r="F345" t="s">
        <v>71</v>
      </c>
      <c r="G345">
        <v>3</v>
      </c>
      <c r="H345">
        <v>63.13</v>
      </c>
      <c r="I345">
        <v>10</v>
      </c>
      <c r="J345" t="s">
        <v>74</v>
      </c>
      <c r="K345" t="s">
        <v>77</v>
      </c>
      <c r="L345">
        <v>189.39</v>
      </c>
      <c r="M345">
        <v>18.939</v>
      </c>
      <c r="N345">
        <v>170.45099999999999</v>
      </c>
      <c r="O3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5" s="9" t="str">
        <f ca="1">IF(OR(ISNUMBER(Table13[[#This Row],[Order_Date]])=FALSE,Table13[[#This Row],[Order_Date]]&lt;DATE(2000,1,1),Table13[[#This Row],[Order_Date]]&gt;TODAY()),"YES","NO")</f>
        <v>NO</v>
      </c>
      <c r="Q345" s="9">
        <f>IF(Table13[[#This Row],[Order_Status]] = "Cancelled",0,IF(Table13[[#This Row],[Order_Status]] = "Returned",Table13[[#This Row],[Net_Sales]] * -1,Table13[[#This Row],[Net_Sales]]))</f>
        <v>170.45099999999999</v>
      </c>
      <c r="R345" s="9" t="str">
        <f>IF(Table13[[#This Row],[Gross_Sales]]&gt;=500, "YES","NO")</f>
        <v>NO</v>
      </c>
    </row>
    <row r="346" spans="1:18" x14ac:dyDescent="0.3">
      <c r="A346">
        <v>100341</v>
      </c>
      <c r="B346" s="8">
        <v>45306.166666666657</v>
      </c>
      <c r="C346" t="s">
        <v>14</v>
      </c>
      <c r="D346" t="s">
        <v>39</v>
      </c>
      <c r="E346" t="s">
        <v>67</v>
      </c>
      <c r="F346" t="s">
        <v>72</v>
      </c>
      <c r="G346">
        <v>1</v>
      </c>
      <c r="H346">
        <v>21.57</v>
      </c>
      <c r="I346">
        <v>15</v>
      </c>
      <c r="J346" t="s">
        <v>76</v>
      </c>
      <c r="K346" t="s">
        <v>77</v>
      </c>
      <c r="L346">
        <v>21.57</v>
      </c>
      <c r="M346">
        <v>3.2355</v>
      </c>
      <c r="N346">
        <v>18.334499999999998</v>
      </c>
      <c r="O3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6" s="9" t="str">
        <f ca="1">IF(OR(ISNUMBER(Table13[[#This Row],[Order_Date]])=FALSE,Table13[[#This Row],[Order_Date]]&lt;DATE(2000,1,1),Table13[[#This Row],[Order_Date]]&gt;TODAY()),"YES","NO")</f>
        <v>NO</v>
      </c>
      <c r="Q346" s="9">
        <f>IF(Table13[[#This Row],[Order_Status]] = "Cancelled",0,IF(Table13[[#This Row],[Order_Status]] = "Returned",Table13[[#This Row],[Net_Sales]] * -1,Table13[[#This Row],[Net_Sales]]))</f>
        <v>18.334499999999998</v>
      </c>
      <c r="R346" s="9" t="str">
        <f>IF(Table13[[#This Row],[Gross_Sales]]&gt;=500, "YES","NO")</f>
        <v>NO</v>
      </c>
    </row>
    <row r="347" spans="1:18" x14ac:dyDescent="0.3">
      <c r="A347">
        <v>100342</v>
      </c>
      <c r="B347" s="8">
        <v>45306.208333333343</v>
      </c>
      <c r="C347" t="s">
        <v>15</v>
      </c>
      <c r="D347" t="s">
        <v>17</v>
      </c>
      <c r="E347" t="s">
        <v>66</v>
      </c>
      <c r="F347" t="s">
        <v>71</v>
      </c>
      <c r="G347">
        <v>2</v>
      </c>
      <c r="H347">
        <v>76.760000000000005</v>
      </c>
      <c r="I347">
        <v>0</v>
      </c>
      <c r="J347" t="s">
        <v>75</v>
      </c>
      <c r="K347" t="s">
        <v>77</v>
      </c>
      <c r="L347">
        <v>153.52000000000001</v>
      </c>
      <c r="M347">
        <v>0</v>
      </c>
      <c r="N347">
        <v>153.52000000000001</v>
      </c>
      <c r="O3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7" s="9" t="str">
        <f ca="1">IF(OR(ISNUMBER(Table13[[#This Row],[Order_Date]])=FALSE,Table13[[#This Row],[Order_Date]]&lt;DATE(2000,1,1),Table13[[#This Row],[Order_Date]]&gt;TODAY()),"YES","NO")</f>
        <v>NO</v>
      </c>
      <c r="Q347" s="9">
        <f>IF(Table13[[#This Row],[Order_Status]] = "Cancelled",0,IF(Table13[[#This Row],[Order_Status]] = "Returned",Table13[[#This Row],[Net_Sales]] * -1,Table13[[#This Row],[Net_Sales]]))</f>
        <v>153.52000000000001</v>
      </c>
      <c r="R347" s="9" t="str">
        <f>IF(Table13[[#This Row],[Gross_Sales]]&gt;=500, "YES","NO")</f>
        <v>NO</v>
      </c>
    </row>
    <row r="348" spans="1:18" x14ac:dyDescent="0.3">
      <c r="A348">
        <v>100343</v>
      </c>
      <c r="B348" s="8">
        <v>45306.25</v>
      </c>
      <c r="C348" t="s">
        <v>14</v>
      </c>
      <c r="D348" t="s">
        <v>44</v>
      </c>
      <c r="E348" t="s">
        <v>69</v>
      </c>
      <c r="F348" t="s">
        <v>72</v>
      </c>
      <c r="G348">
        <v>5</v>
      </c>
      <c r="H348">
        <v>36.47</v>
      </c>
      <c r="I348">
        <v>15</v>
      </c>
      <c r="J348" t="s">
        <v>74</v>
      </c>
      <c r="K348" t="s">
        <v>77</v>
      </c>
      <c r="L348">
        <v>182.35</v>
      </c>
      <c r="M348">
        <v>27.352499999999999</v>
      </c>
      <c r="N348">
        <v>154.9975</v>
      </c>
      <c r="O3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8" s="9" t="str">
        <f ca="1">IF(OR(ISNUMBER(Table13[[#This Row],[Order_Date]])=FALSE,Table13[[#This Row],[Order_Date]]&lt;DATE(2000,1,1),Table13[[#This Row],[Order_Date]]&gt;TODAY()),"YES","NO")</f>
        <v>NO</v>
      </c>
      <c r="Q348" s="9">
        <f>IF(Table13[[#This Row],[Order_Status]] = "Cancelled",0,IF(Table13[[#This Row],[Order_Status]] = "Returned",Table13[[#This Row],[Net_Sales]] * -1,Table13[[#This Row],[Net_Sales]]))</f>
        <v>154.9975</v>
      </c>
      <c r="R348" s="9" t="str">
        <f>IF(Table13[[#This Row],[Gross_Sales]]&gt;=500, "YES","NO")</f>
        <v>NO</v>
      </c>
    </row>
    <row r="349" spans="1:18" x14ac:dyDescent="0.3">
      <c r="A349">
        <v>100344</v>
      </c>
      <c r="B349" s="8">
        <v>45306.291666666657</v>
      </c>
      <c r="C349" t="s">
        <v>15</v>
      </c>
      <c r="D349" t="s">
        <v>57</v>
      </c>
      <c r="E349" t="s">
        <v>70</v>
      </c>
      <c r="F349" t="s">
        <v>72</v>
      </c>
      <c r="G349">
        <v>5</v>
      </c>
      <c r="H349">
        <v>61.1</v>
      </c>
      <c r="I349">
        <v>5</v>
      </c>
      <c r="J349" t="s">
        <v>73</v>
      </c>
      <c r="K349" t="s">
        <v>77</v>
      </c>
      <c r="L349">
        <v>305.5</v>
      </c>
      <c r="M349">
        <v>15.275</v>
      </c>
      <c r="N349">
        <v>290.22500000000002</v>
      </c>
      <c r="O3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49" s="9" t="str">
        <f ca="1">IF(OR(ISNUMBER(Table13[[#This Row],[Order_Date]])=FALSE,Table13[[#This Row],[Order_Date]]&lt;DATE(2000,1,1),Table13[[#This Row],[Order_Date]]&gt;TODAY()),"YES","NO")</f>
        <v>NO</v>
      </c>
      <c r="Q349" s="9">
        <f>IF(Table13[[#This Row],[Order_Status]] = "Cancelled",0,IF(Table13[[#This Row],[Order_Status]] = "Returned",Table13[[#This Row],[Net_Sales]] * -1,Table13[[#This Row],[Net_Sales]]))</f>
        <v>290.22500000000002</v>
      </c>
      <c r="R349" s="9" t="str">
        <f>IF(Table13[[#This Row],[Gross_Sales]]&gt;=500, "YES","NO")</f>
        <v>NO</v>
      </c>
    </row>
    <row r="350" spans="1:18" x14ac:dyDescent="0.3">
      <c r="A350">
        <v>100345</v>
      </c>
      <c r="B350" s="8">
        <v>45306.333333333343</v>
      </c>
      <c r="C350" t="s">
        <v>14</v>
      </c>
      <c r="D350" t="s">
        <v>25</v>
      </c>
      <c r="E350" t="s">
        <v>66</v>
      </c>
      <c r="F350" t="s">
        <v>71</v>
      </c>
      <c r="G350">
        <v>1</v>
      </c>
      <c r="H350">
        <v>14.46</v>
      </c>
      <c r="I350">
        <v>0</v>
      </c>
      <c r="J350" t="s">
        <v>74</v>
      </c>
      <c r="K350" t="s">
        <v>77</v>
      </c>
      <c r="L350">
        <v>14.46</v>
      </c>
      <c r="M350">
        <v>0</v>
      </c>
      <c r="N350">
        <v>14.46</v>
      </c>
      <c r="O3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0" s="9" t="str">
        <f ca="1">IF(OR(ISNUMBER(Table13[[#This Row],[Order_Date]])=FALSE,Table13[[#This Row],[Order_Date]]&lt;DATE(2000,1,1),Table13[[#This Row],[Order_Date]]&gt;TODAY()),"YES","NO")</f>
        <v>NO</v>
      </c>
      <c r="Q350" s="9">
        <f>IF(Table13[[#This Row],[Order_Status]] = "Cancelled",0,IF(Table13[[#This Row],[Order_Status]] = "Returned",Table13[[#This Row],[Net_Sales]] * -1,Table13[[#This Row],[Net_Sales]]))</f>
        <v>14.46</v>
      </c>
      <c r="R350" s="9" t="str">
        <f>IF(Table13[[#This Row],[Gross_Sales]]&gt;=500, "YES","NO")</f>
        <v>NO</v>
      </c>
    </row>
    <row r="351" spans="1:18" x14ac:dyDescent="0.3">
      <c r="A351">
        <v>100346</v>
      </c>
      <c r="B351" s="8">
        <v>45306.375</v>
      </c>
      <c r="C351" t="s">
        <v>14</v>
      </c>
      <c r="D351" t="s">
        <v>25</v>
      </c>
      <c r="E351" t="s">
        <v>67</v>
      </c>
      <c r="F351" t="s">
        <v>72</v>
      </c>
      <c r="G351">
        <v>1</v>
      </c>
      <c r="H351">
        <v>57.85</v>
      </c>
      <c r="I351">
        <v>0</v>
      </c>
      <c r="J351" t="s">
        <v>73</v>
      </c>
      <c r="K351" t="s">
        <v>77</v>
      </c>
      <c r="L351">
        <v>57.85</v>
      </c>
      <c r="M351">
        <v>0</v>
      </c>
      <c r="N351">
        <v>57.85</v>
      </c>
      <c r="O3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1" s="9" t="str">
        <f ca="1">IF(OR(ISNUMBER(Table13[[#This Row],[Order_Date]])=FALSE,Table13[[#This Row],[Order_Date]]&lt;DATE(2000,1,1),Table13[[#This Row],[Order_Date]]&gt;TODAY()),"YES","NO")</f>
        <v>NO</v>
      </c>
      <c r="Q351" s="9">
        <f>IF(Table13[[#This Row],[Order_Status]] = "Cancelled",0,IF(Table13[[#This Row],[Order_Status]] = "Returned",Table13[[#This Row],[Net_Sales]] * -1,Table13[[#This Row],[Net_Sales]]))</f>
        <v>57.85</v>
      </c>
      <c r="R351" s="9" t="str">
        <f>IF(Table13[[#This Row],[Gross_Sales]]&gt;=500, "YES","NO")</f>
        <v>NO</v>
      </c>
    </row>
    <row r="352" spans="1:18" x14ac:dyDescent="0.3">
      <c r="A352">
        <v>100347</v>
      </c>
      <c r="B352" s="8">
        <v>45306.416666666657</v>
      </c>
      <c r="C352" t="s">
        <v>14</v>
      </c>
      <c r="D352" t="s">
        <v>36</v>
      </c>
      <c r="E352" t="s">
        <v>68</v>
      </c>
      <c r="F352" t="s">
        <v>71</v>
      </c>
      <c r="G352">
        <v>2</v>
      </c>
      <c r="H352">
        <v>40.24</v>
      </c>
      <c r="I352">
        <v>0</v>
      </c>
      <c r="J352" t="s">
        <v>74</v>
      </c>
      <c r="K352" t="s">
        <v>77</v>
      </c>
      <c r="L352">
        <v>80.48</v>
      </c>
      <c r="M352">
        <v>0</v>
      </c>
      <c r="N352">
        <v>80.48</v>
      </c>
      <c r="O3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2" s="9" t="str">
        <f ca="1">IF(OR(ISNUMBER(Table13[[#This Row],[Order_Date]])=FALSE,Table13[[#This Row],[Order_Date]]&lt;DATE(2000,1,1),Table13[[#This Row],[Order_Date]]&gt;TODAY()),"YES","NO")</f>
        <v>NO</v>
      </c>
      <c r="Q352" s="9">
        <f>IF(Table13[[#This Row],[Order_Status]] = "Cancelled",0,IF(Table13[[#This Row],[Order_Status]] = "Returned",Table13[[#This Row],[Net_Sales]] * -1,Table13[[#This Row],[Net_Sales]]))</f>
        <v>80.48</v>
      </c>
      <c r="R352" s="9" t="str">
        <f>IF(Table13[[#This Row],[Gross_Sales]]&gt;=500, "YES","NO")</f>
        <v>NO</v>
      </c>
    </row>
    <row r="353" spans="1:18" x14ac:dyDescent="0.3">
      <c r="A353">
        <v>100348</v>
      </c>
      <c r="B353" s="8">
        <v>45306.458333333343</v>
      </c>
      <c r="C353" t="s">
        <v>15</v>
      </c>
      <c r="D353" t="s">
        <v>54</v>
      </c>
      <c r="E353" t="s">
        <v>66</v>
      </c>
      <c r="F353" t="s">
        <v>71</v>
      </c>
      <c r="G353">
        <v>4</v>
      </c>
      <c r="H353">
        <v>99.57</v>
      </c>
      <c r="I353">
        <v>10</v>
      </c>
      <c r="J353" t="s">
        <v>76</v>
      </c>
      <c r="K353" t="s">
        <v>79</v>
      </c>
      <c r="L353">
        <v>398.28</v>
      </c>
      <c r="M353">
        <v>39.828000000000003</v>
      </c>
      <c r="N353">
        <v>358.452</v>
      </c>
      <c r="O3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53" s="9" t="str">
        <f ca="1">IF(OR(ISNUMBER(Table13[[#This Row],[Order_Date]])=FALSE,Table13[[#This Row],[Order_Date]]&lt;DATE(2000,1,1),Table13[[#This Row],[Order_Date]]&gt;TODAY()),"YES","NO")</f>
        <v>NO</v>
      </c>
      <c r="Q353" s="9">
        <f>IF(Table13[[#This Row],[Order_Status]] = "Cancelled",0,IF(Table13[[#This Row],[Order_Status]] = "Returned",Table13[[#This Row],[Net_Sales]] * -1,Table13[[#This Row],[Net_Sales]]))</f>
        <v>0</v>
      </c>
      <c r="R353" s="9" t="str">
        <f>IF(Table13[[#This Row],[Gross_Sales]]&gt;=500, "YES","NO")</f>
        <v>NO</v>
      </c>
    </row>
    <row r="354" spans="1:18" x14ac:dyDescent="0.3">
      <c r="A354">
        <v>100349</v>
      </c>
      <c r="B354" s="8">
        <v>45306.5</v>
      </c>
      <c r="C354" t="s">
        <v>15</v>
      </c>
      <c r="D354" t="s">
        <v>42</v>
      </c>
      <c r="E354" t="s">
        <v>66</v>
      </c>
      <c r="F354" t="s">
        <v>72</v>
      </c>
      <c r="G354">
        <v>1</v>
      </c>
      <c r="H354">
        <v>11.55</v>
      </c>
      <c r="I354">
        <v>10</v>
      </c>
      <c r="J354" t="s">
        <v>75</v>
      </c>
      <c r="K354" t="s">
        <v>77</v>
      </c>
      <c r="L354">
        <v>11.55</v>
      </c>
      <c r="M354">
        <v>1.155</v>
      </c>
      <c r="N354">
        <v>10.395</v>
      </c>
      <c r="O3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4" s="9" t="str">
        <f ca="1">IF(OR(ISNUMBER(Table13[[#This Row],[Order_Date]])=FALSE,Table13[[#This Row],[Order_Date]]&lt;DATE(2000,1,1),Table13[[#This Row],[Order_Date]]&gt;TODAY()),"YES","NO")</f>
        <v>NO</v>
      </c>
      <c r="Q354" s="9">
        <f>IF(Table13[[#This Row],[Order_Status]] = "Cancelled",0,IF(Table13[[#This Row],[Order_Status]] = "Returned",Table13[[#This Row],[Net_Sales]] * -1,Table13[[#This Row],[Net_Sales]]))</f>
        <v>10.395</v>
      </c>
      <c r="R354" s="9" t="str">
        <f>IF(Table13[[#This Row],[Gross_Sales]]&gt;=500, "YES","NO")</f>
        <v>NO</v>
      </c>
    </row>
    <row r="355" spans="1:18" x14ac:dyDescent="0.3">
      <c r="A355">
        <v>100350</v>
      </c>
      <c r="B355" s="8">
        <v>45306.541666666657</v>
      </c>
      <c r="C355" t="s">
        <v>14</v>
      </c>
      <c r="D355" t="s">
        <v>23</v>
      </c>
      <c r="E355" t="s">
        <v>68</v>
      </c>
      <c r="F355" t="s">
        <v>72</v>
      </c>
      <c r="G355">
        <v>4</v>
      </c>
      <c r="H355">
        <v>53.14</v>
      </c>
      <c r="I355">
        <v>10</v>
      </c>
      <c r="J355" t="s">
        <v>76</v>
      </c>
      <c r="K355" t="s">
        <v>77</v>
      </c>
      <c r="L355">
        <v>212.56</v>
      </c>
      <c r="M355">
        <v>21.256</v>
      </c>
      <c r="N355">
        <v>191.304</v>
      </c>
      <c r="O3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5" s="9" t="str">
        <f ca="1">IF(OR(ISNUMBER(Table13[[#This Row],[Order_Date]])=FALSE,Table13[[#This Row],[Order_Date]]&lt;DATE(2000,1,1),Table13[[#This Row],[Order_Date]]&gt;TODAY()),"YES","NO")</f>
        <v>NO</v>
      </c>
      <c r="Q355" s="9">
        <f>IF(Table13[[#This Row],[Order_Status]] = "Cancelled",0,IF(Table13[[#This Row],[Order_Status]] = "Returned",Table13[[#This Row],[Net_Sales]] * -1,Table13[[#This Row],[Net_Sales]]))</f>
        <v>191.304</v>
      </c>
      <c r="R355" s="9" t="str">
        <f>IF(Table13[[#This Row],[Gross_Sales]]&gt;=500, "YES","NO")</f>
        <v>NO</v>
      </c>
    </row>
    <row r="356" spans="1:18" x14ac:dyDescent="0.3">
      <c r="A356">
        <v>100351</v>
      </c>
      <c r="B356" s="8">
        <v>45306.583333333343</v>
      </c>
      <c r="C356" t="s">
        <v>15</v>
      </c>
      <c r="D356" t="s">
        <v>55</v>
      </c>
      <c r="E356" t="s">
        <v>66</v>
      </c>
      <c r="F356" t="s">
        <v>71</v>
      </c>
      <c r="G356">
        <v>3</v>
      </c>
      <c r="H356">
        <v>57.72</v>
      </c>
      <c r="I356">
        <v>5</v>
      </c>
      <c r="J356" t="s">
        <v>74</v>
      </c>
      <c r="K356" t="s">
        <v>78</v>
      </c>
      <c r="L356">
        <v>173.16</v>
      </c>
      <c r="M356">
        <v>8.6579999999999995</v>
      </c>
      <c r="N356">
        <v>164.50200000000001</v>
      </c>
      <c r="O3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56" s="9" t="str">
        <f ca="1">IF(OR(ISNUMBER(Table13[[#This Row],[Order_Date]])=FALSE,Table13[[#This Row],[Order_Date]]&lt;DATE(2000,1,1),Table13[[#This Row],[Order_Date]]&gt;TODAY()),"YES","NO")</f>
        <v>NO</v>
      </c>
      <c r="Q356" s="9">
        <f>IF(Table13[[#This Row],[Order_Status]] = "Cancelled",0,IF(Table13[[#This Row],[Order_Status]] = "Returned",Table13[[#This Row],[Net_Sales]] * -1,Table13[[#This Row],[Net_Sales]]))</f>
        <v>-164.50200000000001</v>
      </c>
      <c r="R356" s="9" t="str">
        <f>IF(Table13[[#This Row],[Gross_Sales]]&gt;=500, "YES","NO")</f>
        <v>NO</v>
      </c>
    </row>
    <row r="357" spans="1:18" x14ac:dyDescent="0.3">
      <c r="A357">
        <v>100352</v>
      </c>
      <c r="B357" s="8">
        <v>45306.625</v>
      </c>
      <c r="C357" t="s">
        <v>14</v>
      </c>
      <c r="D357" t="s">
        <v>39</v>
      </c>
      <c r="E357" t="s">
        <v>67</v>
      </c>
      <c r="F357" t="s">
        <v>72</v>
      </c>
      <c r="G357">
        <v>5</v>
      </c>
      <c r="H357">
        <v>88.38</v>
      </c>
      <c r="I357">
        <v>5</v>
      </c>
      <c r="J357" t="s">
        <v>75</v>
      </c>
      <c r="K357" t="s">
        <v>77</v>
      </c>
      <c r="L357">
        <v>441.9</v>
      </c>
      <c r="M357">
        <v>22.094999999999999</v>
      </c>
      <c r="N357">
        <v>419.80499999999989</v>
      </c>
      <c r="O3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7" s="9" t="str">
        <f ca="1">IF(OR(ISNUMBER(Table13[[#This Row],[Order_Date]])=FALSE,Table13[[#This Row],[Order_Date]]&lt;DATE(2000,1,1),Table13[[#This Row],[Order_Date]]&gt;TODAY()),"YES","NO")</f>
        <v>NO</v>
      </c>
      <c r="Q357" s="9">
        <f>IF(Table13[[#This Row],[Order_Status]] = "Cancelled",0,IF(Table13[[#This Row],[Order_Status]] = "Returned",Table13[[#This Row],[Net_Sales]] * -1,Table13[[#This Row],[Net_Sales]]))</f>
        <v>419.80499999999989</v>
      </c>
      <c r="R357" s="9" t="str">
        <f>IF(Table13[[#This Row],[Gross_Sales]]&gt;=500, "YES","NO")</f>
        <v>NO</v>
      </c>
    </row>
    <row r="358" spans="1:18" x14ac:dyDescent="0.3">
      <c r="A358">
        <v>100353</v>
      </c>
      <c r="B358" s="8">
        <v>45306.666666666657</v>
      </c>
      <c r="C358" t="s">
        <v>14</v>
      </c>
      <c r="D358" t="s">
        <v>45</v>
      </c>
      <c r="E358" t="s">
        <v>67</v>
      </c>
      <c r="F358" t="s">
        <v>72</v>
      </c>
      <c r="G358">
        <v>4</v>
      </c>
      <c r="H358">
        <v>71.040000000000006</v>
      </c>
      <c r="I358">
        <v>0</v>
      </c>
      <c r="J358" t="s">
        <v>73</v>
      </c>
      <c r="K358" t="s">
        <v>77</v>
      </c>
      <c r="L358">
        <v>284.16000000000003</v>
      </c>
      <c r="M358">
        <v>0</v>
      </c>
      <c r="N358">
        <v>284.16000000000003</v>
      </c>
      <c r="O3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8" s="9" t="str">
        <f ca="1">IF(OR(ISNUMBER(Table13[[#This Row],[Order_Date]])=FALSE,Table13[[#This Row],[Order_Date]]&lt;DATE(2000,1,1),Table13[[#This Row],[Order_Date]]&gt;TODAY()),"YES","NO")</f>
        <v>NO</v>
      </c>
      <c r="Q358" s="9">
        <f>IF(Table13[[#This Row],[Order_Status]] = "Cancelled",0,IF(Table13[[#This Row],[Order_Status]] = "Returned",Table13[[#This Row],[Net_Sales]] * -1,Table13[[#This Row],[Net_Sales]]))</f>
        <v>284.16000000000003</v>
      </c>
      <c r="R358" s="9" t="str">
        <f>IF(Table13[[#This Row],[Gross_Sales]]&gt;=500, "YES","NO")</f>
        <v>NO</v>
      </c>
    </row>
    <row r="359" spans="1:18" x14ac:dyDescent="0.3">
      <c r="A359">
        <v>100354</v>
      </c>
      <c r="B359" s="8">
        <v>45306.708333333343</v>
      </c>
      <c r="C359" t="s">
        <v>15</v>
      </c>
      <c r="D359" t="s">
        <v>50</v>
      </c>
      <c r="E359" t="s">
        <v>68</v>
      </c>
      <c r="F359" t="s">
        <v>72</v>
      </c>
      <c r="G359">
        <v>5</v>
      </c>
      <c r="H359">
        <v>81.73</v>
      </c>
      <c r="I359">
        <v>5</v>
      </c>
      <c r="J359" t="s">
        <v>74</v>
      </c>
      <c r="K359" t="s">
        <v>77</v>
      </c>
      <c r="L359">
        <v>408.65</v>
      </c>
      <c r="M359">
        <v>20.432500000000001</v>
      </c>
      <c r="N359">
        <v>388.21749999999997</v>
      </c>
      <c r="O3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59" s="9" t="str">
        <f ca="1">IF(OR(ISNUMBER(Table13[[#This Row],[Order_Date]])=FALSE,Table13[[#This Row],[Order_Date]]&lt;DATE(2000,1,1),Table13[[#This Row],[Order_Date]]&gt;TODAY()),"YES","NO")</f>
        <v>NO</v>
      </c>
      <c r="Q359" s="9">
        <f>IF(Table13[[#This Row],[Order_Status]] = "Cancelled",0,IF(Table13[[#This Row],[Order_Status]] = "Returned",Table13[[#This Row],[Net_Sales]] * -1,Table13[[#This Row],[Net_Sales]]))</f>
        <v>388.21749999999997</v>
      </c>
      <c r="R359" s="9" t="str">
        <f>IF(Table13[[#This Row],[Gross_Sales]]&gt;=500, "YES","NO")</f>
        <v>NO</v>
      </c>
    </row>
    <row r="360" spans="1:18" x14ac:dyDescent="0.3">
      <c r="A360">
        <v>100355</v>
      </c>
      <c r="B360" s="8">
        <v>45306.75</v>
      </c>
      <c r="C360" t="s">
        <v>15</v>
      </c>
      <c r="D360" t="s">
        <v>52</v>
      </c>
      <c r="E360" t="s">
        <v>69</v>
      </c>
      <c r="F360" t="s">
        <v>71</v>
      </c>
      <c r="G360">
        <v>4</v>
      </c>
      <c r="H360">
        <v>94.36</v>
      </c>
      <c r="I360">
        <v>15</v>
      </c>
      <c r="J360" t="s">
        <v>75</v>
      </c>
      <c r="K360" t="s">
        <v>77</v>
      </c>
      <c r="L360">
        <v>377.44</v>
      </c>
      <c r="M360">
        <v>56.616</v>
      </c>
      <c r="N360">
        <v>320.82400000000001</v>
      </c>
      <c r="O3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0" s="9" t="str">
        <f ca="1">IF(OR(ISNUMBER(Table13[[#This Row],[Order_Date]])=FALSE,Table13[[#This Row],[Order_Date]]&lt;DATE(2000,1,1),Table13[[#This Row],[Order_Date]]&gt;TODAY()),"YES","NO")</f>
        <v>NO</v>
      </c>
      <c r="Q360" s="9">
        <f>IF(Table13[[#This Row],[Order_Status]] = "Cancelled",0,IF(Table13[[#This Row],[Order_Status]] = "Returned",Table13[[#This Row],[Net_Sales]] * -1,Table13[[#This Row],[Net_Sales]]))</f>
        <v>320.82400000000001</v>
      </c>
      <c r="R360" s="9" t="str">
        <f>IF(Table13[[#This Row],[Gross_Sales]]&gt;=500, "YES","NO")</f>
        <v>NO</v>
      </c>
    </row>
    <row r="361" spans="1:18" x14ac:dyDescent="0.3">
      <c r="A361">
        <v>100356</v>
      </c>
      <c r="B361" s="8">
        <v>45306.791666666657</v>
      </c>
      <c r="C361" t="s">
        <v>14</v>
      </c>
      <c r="D361" t="s">
        <v>33</v>
      </c>
      <c r="E361" t="s">
        <v>70</v>
      </c>
      <c r="F361" t="s">
        <v>71</v>
      </c>
      <c r="G361">
        <v>3</v>
      </c>
      <c r="H361">
        <v>104.15</v>
      </c>
      <c r="I361">
        <v>0</v>
      </c>
      <c r="J361" t="s">
        <v>73</v>
      </c>
      <c r="K361" t="s">
        <v>79</v>
      </c>
      <c r="L361">
        <v>312.45</v>
      </c>
      <c r="M361">
        <v>0</v>
      </c>
      <c r="N361">
        <v>312.45</v>
      </c>
      <c r="O3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61" s="9" t="str">
        <f ca="1">IF(OR(ISNUMBER(Table13[[#This Row],[Order_Date]])=FALSE,Table13[[#This Row],[Order_Date]]&lt;DATE(2000,1,1),Table13[[#This Row],[Order_Date]]&gt;TODAY()),"YES","NO")</f>
        <v>NO</v>
      </c>
      <c r="Q361" s="9">
        <f>IF(Table13[[#This Row],[Order_Status]] = "Cancelled",0,IF(Table13[[#This Row],[Order_Status]] = "Returned",Table13[[#This Row],[Net_Sales]] * -1,Table13[[#This Row],[Net_Sales]]))</f>
        <v>0</v>
      </c>
      <c r="R361" s="9" t="str">
        <f>IF(Table13[[#This Row],[Gross_Sales]]&gt;=500, "YES","NO")</f>
        <v>NO</v>
      </c>
    </row>
    <row r="362" spans="1:18" x14ac:dyDescent="0.3">
      <c r="A362">
        <v>100357</v>
      </c>
      <c r="B362" s="8">
        <v>45306.833333333343</v>
      </c>
      <c r="C362" t="s">
        <v>15</v>
      </c>
      <c r="D362" t="s">
        <v>25</v>
      </c>
      <c r="E362" t="s">
        <v>69</v>
      </c>
      <c r="F362" t="s">
        <v>72</v>
      </c>
      <c r="G362">
        <v>1</v>
      </c>
      <c r="H362">
        <v>41.1</v>
      </c>
      <c r="I362">
        <v>0</v>
      </c>
      <c r="J362" t="s">
        <v>73</v>
      </c>
      <c r="K362" t="s">
        <v>79</v>
      </c>
      <c r="L362">
        <v>41.1</v>
      </c>
      <c r="M362">
        <v>0</v>
      </c>
      <c r="N362">
        <v>41.1</v>
      </c>
      <c r="O3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62" s="9" t="str">
        <f ca="1">IF(OR(ISNUMBER(Table13[[#This Row],[Order_Date]])=FALSE,Table13[[#This Row],[Order_Date]]&lt;DATE(2000,1,1),Table13[[#This Row],[Order_Date]]&gt;TODAY()),"YES","NO")</f>
        <v>NO</v>
      </c>
      <c r="Q362" s="9">
        <f>IF(Table13[[#This Row],[Order_Status]] = "Cancelled",0,IF(Table13[[#This Row],[Order_Status]] = "Returned",Table13[[#This Row],[Net_Sales]] * -1,Table13[[#This Row],[Net_Sales]]))</f>
        <v>0</v>
      </c>
      <c r="R362" s="9" t="str">
        <f>IF(Table13[[#This Row],[Gross_Sales]]&gt;=500, "YES","NO")</f>
        <v>NO</v>
      </c>
    </row>
    <row r="363" spans="1:18" x14ac:dyDescent="0.3">
      <c r="A363">
        <v>100358</v>
      </c>
      <c r="B363" s="8">
        <v>45306.875</v>
      </c>
      <c r="C363" t="s">
        <v>15</v>
      </c>
      <c r="D363" t="s">
        <v>40</v>
      </c>
      <c r="E363" t="s">
        <v>66</v>
      </c>
      <c r="F363" t="s">
        <v>72</v>
      </c>
      <c r="G363">
        <v>3</v>
      </c>
      <c r="H363">
        <v>66.87</v>
      </c>
      <c r="I363">
        <v>15</v>
      </c>
      <c r="J363" t="s">
        <v>76</v>
      </c>
      <c r="K363" t="s">
        <v>77</v>
      </c>
      <c r="L363">
        <v>200.61</v>
      </c>
      <c r="M363">
        <v>30.0915</v>
      </c>
      <c r="N363">
        <v>170.51849999999999</v>
      </c>
      <c r="O3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3" s="9" t="str">
        <f ca="1">IF(OR(ISNUMBER(Table13[[#This Row],[Order_Date]])=FALSE,Table13[[#This Row],[Order_Date]]&lt;DATE(2000,1,1),Table13[[#This Row],[Order_Date]]&gt;TODAY()),"YES","NO")</f>
        <v>NO</v>
      </c>
      <c r="Q363" s="9">
        <f>IF(Table13[[#This Row],[Order_Status]] = "Cancelled",0,IF(Table13[[#This Row],[Order_Status]] = "Returned",Table13[[#This Row],[Net_Sales]] * -1,Table13[[#This Row],[Net_Sales]]))</f>
        <v>170.51849999999999</v>
      </c>
      <c r="R363" s="9" t="str">
        <f>IF(Table13[[#This Row],[Gross_Sales]]&gt;=500, "YES","NO")</f>
        <v>NO</v>
      </c>
    </row>
    <row r="364" spans="1:18" x14ac:dyDescent="0.3">
      <c r="A364">
        <v>100359</v>
      </c>
      <c r="B364" s="8">
        <v>45306.916666666657</v>
      </c>
      <c r="C364" t="s">
        <v>14</v>
      </c>
      <c r="D364" t="s">
        <v>50</v>
      </c>
      <c r="E364" t="s">
        <v>70</v>
      </c>
      <c r="F364" t="s">
        <v>72</v>
      </c>
      <c r="G364">
        <v>1</v>
      </c>
      <c r="H364">
        <v>101.61</v>
      </c>
      <c r="I364">
        <v>0</v>
      </c>
      <c r="J364" t="s">
        <v>74</v>
      </c>
      <c r="K364" t="s">
        <v>77</v>
      </c>
      <c r="L364">
        <v>101.61</v>
      </c>
      <c r="M364">
        <v>0</v>
      </c>
      <c r="N364">
        <v>101.61</v>
      </c>
      <c r="P364" s="9" t="str">
        <f ca="1">IF(OR(ISNUMBER(Table13[[#This Row],[Order_Date]])=FALSE,Table13[[#This Row],[Order_Date]]&lt;DATE(2000,1,1),Table13[[#This Row],[Order_Date]]&gt;TODAY()),"YES","NO")</f>
        <v>NO</v>
      </c>
      <c r="Q364" s="9">
        <f>IF(Table13[[#This Row],[Order_Status]] = "Cancelled",0,IF(Table13[[#This Row],[Order_Status]] = "Returned",Table13[[#This Row],[Net_Sales]] * -1,Table13[[#This Row],[Net_Sales]]))</f>
        <v>101.61</v>
      </c>
      <c r="R364" s="9" t="str">
        <f>IF(Table13[[#This Row],[Gross_Sales]]&gt;=500, "YES","NO")</f>
        <v>NO</v>
      </c>
    </row>
    <row r="365" spans="1:18" x14ac:dyDescent="0.3">
      <c r="A365">
        <v>100360</v>
      </c>
      <c r="B365" s="8">
        <v>45306.958333333343</v>
      </c>
      <c r="C365" t="s">
        <v>14</v>
      </c>
      <c r="D365" t="s">
        <v>28</v>
      </c>
      <c r="E365" t="s">
        <v>68</v>
      </c>
      <c r="F365" t="s">
        <v>72</v>
      </c>
      <c r="G365">
        <v>1</v>
      </c>
      <c r="H365">
        <v>118.79</v>
      </c>
      <c r="I365">
        <v>5</v>
      </c>
      <c r="J365" t="s">
        <v>73</v>
      </c>
      <c r="K365" t="s">
        <v>77</v>
      </c>
      <c r="L365">
        <v>118.79</v>
      </c>
      <c r="M365">
        <v>5.9395000000000007</v>
      </c>
      <c r="N365">
        <v>112.8505</v>
      </c>
      <c r="O3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5" s="9" t="str">
        <f ca="1">IF(OR(ISNUMBER(Table13[[#This Row],[Order_Date]])=FALSE,Table13[[#This Row],[Order_Date]]&lt;DATE(2000,1,1),Table13[[#This Row],[Order_Date]]&gt;TODAY()),"YES","NO")</f>
        <v>NO</v>
      </c>
      <c r="Q365" s="9">
        <f>IF(Table13[[#This Row],[Order_Status]] = "Cancelled",0,IF(Table13[[#This Row],[Order_Status]] = "Returned",Table13[[#This Row],[Net_Sales]] * -1,Table13[[#This Row],[Net_Sales]]))</f>
        <v>112.8505</v>
      </c>
      <c r="R365" s="9" t="str">
        <f>IF(Table13[[#This Row],[Gross_Sales]]&gt;=500, "YES","NO")</f>
        <v>NO</v>
      </c>
    </row>
    <row r="366" spans="1:18" x14ac:dyDescent="0.3">
      <c r="A366">
        <v>100361</v>
      </c>
      <c r="B366" s="8">
        <v>45307</v>
      </c>
      <c r="C366" t="s">
        <v>15</v>
      </c>
      <c r="D366" t="s">
        <v>51</v>
      </c>
      <c r="E366" t="s">
        <v>68</v>
      </c>
      <c r="F366" t="s">
        <v>72</v>
      </c>
      <c r="G366">
        <v>5</v>
      </c>
      <c r="H366">
        <v>107.29</v>
      </c>
      <c r="I366">
        <v>10</v>
      </c>
      <c r="J366" t="s">
        <v>75</v>
      </c>
      <c r="K366" t="s">
        <v>77</v>
      </c>
      <c r="L366">
        <v>536.45000000000005</v>
      </c>
      <c r="M366">
        <v>53.64500000000001</v>
      </c>
      <c r="N366">
        <v>482.80500000000012</v>
      </c>
      <c r="O3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6" s="9" t="str">
        <f ca="1">IF(OR(ISNUMBER(Table13[[#This Row],[Order_Date]])=FALSE,Table13[[#This Row],[Order_Date]]&lt;DATE(2000,1,1),Table13[[#This Row],[Order_Date]]&gt;TODAY()),"YES","NO")</f>
        <v>NO</v>
      </c>
      <c r="Q366" s="9">
        <f>IF(Table13[[#This Row],[Order_Status]] = "Cancelled",0,IF(Table13[[#This Row],[Order_Status]] = "Returned",Table13[[#This Row],[Net_Sales]] * -1,Table13[[#This Row],[Net_Sales]]))</f>
        <v>482.80500000000012</v>
      </c>
      <c r="R366" s="9" t="str">
        <f>IF(Table13[[#This Row],[Gross_Sales]]&gt;=500, "YES","NO")</f>
        <v>YES</v>
      </c>
    </row>
    <row r="367" spans="1:18" x14ac:dyDescent="0.3">
      <c r="A367">
        <v>100362</v>
      </c>
      <c r="B367" s="8">
        <v>45307.041666666657</v>
      </c>
      <c r="C367" t="s">
        <v>14</v>
      </c>
      <c r="D367" t="s">
        <v>52</v>
      </c>
      <c r="E367" t="s">
        <v>70</v>
      </c>
      <c r="F367" t="s">
        <v>71</v>
      </c>
      <c r="G367">
        <v>3</v>
      </c>
      <c r="H367">
        <v>47.72</v>
      </c>
      <c r="I367">
        <v>15</v>
      </c>
      <c r="J367" t="s">
        <v>73</v>
      </c>
      <c r="K367" t="s">
        <v>77</v>
      </c>
      <c r="L367">
        <v>143.16</v>
      </c>
      <c r="M367">
        <v>21.474</v>
      </c>
      <c r="N367">
        <v>121.68600000000001</v>
      </c>
      <c r="O3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7" s="9" t="str">
        <f ca="1">IF(OR(ISNUMBER(Table13[[#This Row],[Order_Date]])=FALSE,Table13[[#This Row],[Order_Date]]&lt;DATE(2000,1,1),Table13[[#This Row],[Order_Date]]&gt;TODAY()),"YES","NO")</f>
        <v>NO</v>
      </c>
      <c r="Q367" s="9">
        <f>IF(Table13[[#This Row],[Order_Status]] = "Cancelled",0,IF(Table13[[#This Row],[Order_Status]] = "Returned",Table13[[#This Row],[Net_Sales]] * -1,Table13[[#This Row],[Net_Sales]]))</f>
        <v>121.68600000000001</v>
      </c>
      <c r="R367" s="9" t="str">
        <f>IF(Table13[[#This Row],[Gross_Sales]]&gt;=500, "YES","NO")</f>
        <v>NO</v>
      </c>
    </row>
    <row r="368" spans="1:18" x14ac:dyDescent="0.3">
      <c r="A368">
        <v>100363</v>
      </c>
      <c r="B368" s="8">
        <v>45307.083333333343</v>
      </c>
      <c r="C368" t="s">
        <v>14</v>
      </c>
      <c r="D368" t="s">
        <v>41</v>
      </c>
      <c r="E368" t="s">
        <v>67</v>
      </c>
      <c r="F368" t="s">
        <v>72</v>
      </c>
      <c r="G368">
        <v>4</v>
      </c>
      <c r="H368">
        <v>27.44</v>
      </c>
      <c r="I368">
        <v>5</v>
      </c>
      <c r="J368" t="s">
        <v>73</v>
      </c>
      <c r="K368" t="s">
        <v>77</v>
      </c>
      <c r="L368">
        <v>109.76</v>
      </c>
      <c r="M368">
        <v>5.4880000000000004</v>
      </c>
      <c r="N368">
        <v>104.27200000000001</v>
      </c>
      <c r="O3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68" s="9" t="str">
        <f ca="1">IF(OR(ISNUMBER(Table13[[#This Row],[Order_Date]])=FALSE,Table13[[#This Row],[Order_Date]]&lt;DATE(2000,1,1),Table13[[#This Row],[Order_Date]]&gt;TODAY()),"YES","NO")</f>
        <v>NO</v>
      </c>
      <c r="Q368" s="9">
        <f>IF(Table13[[#This Row],[Order_Status]] = "Cancelled",0,IF(Table13[[#This Row],[Order_Status]] = "Returned",Table13[[#This Row],[Net_Sales]] * -1,Table13[[#This Row],[Net_Sales]]))</f>
        <v>104.27200000000001</v>
      </c>
      <c r="R368" s="9" t="str">
        <f>IF(Table13[[#This Row],[Gross_Sales]]&gt;=500, "YES","NO")</f>
        <v>NO</v>
      </c>
    </row>
    <row r="369" spans="1:18" x14ac:dyDescent="0.3">
      <c r="A369">
        <v>100364</v>
      </c>
      <c r="B369" s="8">
        <v>45307.125</v>
      </c>
      <c r="C369" t="s">
        <v>15</v>
      </c>
      <c r="D369" t="s">
        <v>53</v>
      </c>
      <c r="E369" t="s">
        <v>70</v>
      </c>
      <c r="F369" t="s">
        <v>71</v>
      </c>
      <c r="G369">
        <v>3</v>
      </c>
      <c r="H369">
        <v>61.28</v>
      </c>
      <c r="I369">
        <v>15</v>
      </c>
      <c r="J369" t="s">
        <v>76</v>
      </c>
      <c r="K369" t="s">
        <v>79</v>
      </c>
      <c r="L369">
        <v>183.84</v>
      </c>
      <c r="M369">
        <v>27.576000000000001</v>
      </c>
      <c r="N369">
        <v>156.26400000000001</v>
      </c>
      <c r="O3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69" s="9" t="str">
        <f ca="1">IF(OR(ISNUMBER(Table13[[#This Row],[Order_Date]])=FALSE,Table13[[#This Row],[Order_Date]]&lt;DATE(2000,1,1),Table13[[#This Row],[Order_Date]]&gt;TODAY()),"YES","NO")</f>
        <v>NO</v>
      </c>
      <c r="Q369" s="9">
        <f>IF(Table13[[#This Row],[Order_Status]] = "Cancelled",0,IF(Table13[[#This Row],[Order_Status]] = "Returned",Table13[[#This Row],[Net_Sales]] * -1,Table13[[#This Row],[Net_Sales]]))</f>
        <v>0</v>
      </c>
      <c r="R369" s="9" t="str">
        <f>IF(Table13[[#This Row],[Gross_Sales]]&gt;=500, "YES","NO")</f>
        <v>NO</v>
      </c>
    </row>
    <row r="370" spans="1:18" x14ac:dyDescent="0.3">
      <c r="A370">
        <v>100365</v>
      </c>
      <c r="B370" s="8">
        <v>45307.166666666657</v>
      </c>
      <c r="C370" t="s">
        <v>14</v>
      </c>
      <c r="D370" t="s">
        <v>30</v>
      </c>
      <c r="E370" t="s">
        <v>66</v>
      </c>
      <c r="F370" t="s">
        <v>72</v>
      </c>
      <c r="G370">
        <v>5</v>
      </c>
      <c r="H370">
        <v>90.29</v>
      </c>
      <c r="I370">
        <v>15</v>
      </c>
      <c r="J370" t="s">
        <v>76</v>
      </c>
      <c r="K370" t="s">
        <v>78</v>
      </c>
      <c r="L370">
        <v>451.45</v>
      </c>
      <c r="M370">
        <v>67.717500000000001</v>
      </c>
      <c r="N370">
        <v>383.73250000000007</v>
      </c>
      <c r="O3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70" s="9" t="str">
        <f ca="1">IF(OR(ISNUMBER(Table13[[#This Row],[Order_Date]])=FALSE,Table13[[#This Row],[Order_Date]]&lt;DATE(2000,1,1),Table13[[#This Row],[Order_Date]]&gt;TODAY()),"YES","NO")</f>
        <v>NO</v>
      </c>
      <c r="Q370" s="9">
        <f>IF(Table13[[#This Row],[Order_Status]] = "Cancelled",0,IF(Table13[[#This Row],[Order_Status]] = "Returned",Table13[[#This Row],[Net_Sales]] * -1,Table13[[#This Row],[Net_Sales]]))</f>
        <v>-383.73250000000007</v>
      </c>
      <c r="R370" s="9" t="str">
        <f>IF(Table13[[#This Row],[Gross_Sales]]&gt;=500, "YES","NO")</f>
        <v>NO</v>
      </c>
    </row>
    <row r="371" spans="1:18" x14ac:dyDescent="0.3">
      <c r="A371">
        <v>100366</v>
      </c>
      <c r="B371" s="8">
        <v>45307.208333333343</v>
      </c>
      <c r="C371" t="s">
        <v>14</v>
      </c>
      <c r="D371" t="s">
        <v>35</v>
      </c>
      <c r="E371" t="s">
        <v>67</v>
      </c>
      <c r="F371" t="s">
        <v>71</v>
      </c>
      <c r="G371">
        <v>1</v>
      </c>
      <c r="H371">
        <v>61.65</v>
      </c>
      <c r="I371">
        <v>0</v>
      </c>
      <c r="J371" t="s">
        <v>75</v>
      </c>
      <c r="K371" t="s">
        <v>77</v>
      </c>
      <c r="L371">
        <v>61.65</v>
      </c>
      <c r="M371">
        <v>0</v>
      </c>
      <c r="N371">
        <v>61.65</v>
      </c>
      <c r="O3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1" s="9" t="str">
        <f ca="1">IF(OR(ISNUMBER(Table13[[#This Row],[Order_Date]])=FALSE,Table13[[#This Row],[Order_Date]]&lt;DATE(2000,1,1),Table13[[#This Row],[Order_Date]]&gt;TODAY()),"YES","NO")</f>
        <v>NO</v>
      </c>
      <c r="Q371" s="9">
        <f>IF(Table13[[#This Row],[Order_Status]] = "Cancelled",0,IF(Table13[[#This Row],[Order_Status]] = "Returned",Table13[[#This Row],[Net_Sales]] * -1,Table13[[#This Row],[Net_Sales]]))</f>
        <v>61.65</v>
      </c>
      <c r="R371" s="9" t="str">
        <f>IF(Table13[[#This Row],[Gross_Sales]]&gt;=500, "YES","NO")</f>
        <v>NO</v>
      </c>
    </row>
    <row r="372" spans="1:18" x14ac:dyDescent="0.3">
      <c r="A372">
        <v>100367</v>
      </c>
      <c r="B372" s="8">
        <v>45307.25</v>
      </c>
      <c r="C372" t="s">
        <v>15</v>
      </c>
      <c r="D372" t="s">
        <v>61</v>
      </c>
      <c r="E372" t="s">
        <v>68</v>
      </c>
      <c r="F372" t="s">
        <v>72</v>
      </c>
      <c r="G372">
        <v>5</v>
      </c>
      <c r="H372">
        <v>60.57</v>
      </c>
      <c r="I372">
        <v>0</v>
      </c>
      <c r="J372" t="s">
        <v>76</v>
      </c>
      <c r="K372" t="s">
        <v>77</v>
      </c>
      <c r="L372">
        <v>302.85000000000002</v>
      </c>
      <c r="M372">
        <v>0</v>
      </c>
      <c r="N372">
        <v>302.85000000000002</v>
      </c>
      <c r="O3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2" s="9" t="str">
        <f ca="1">IF(OR(ISNUMBER(Table13[[#This Row],[Order_Date]])=FALSE,Table13[[#This Row],[Order_Date]]&lt;DATE(2000,1,1),Table13[[#This Row],[Order_Date]]&gt;TODAY()),"YES","NO")</f>
        <v>NO</v>
      </c>
      <c r="Q372" s="9">
        <f>IF(Table13[[#This Row],[Order_Status]] = "Cancelled",0,IF(Table13[[#This Row],[Order_Status]] = "Returned",Table13[[#This Row],[Net_Sales]] * -1,Table13[[#This Row],[Net_Sales]]))</f>
        <v>302.85000000000002</v>
      </c>
      <c r="R372" s="9" t="str">
        <f>IF(Table13[[#This Row],[Gross_Sales]]&gt;=500, "YES","NO")</f>
        <v>NO</v>
      </c>
    </row>
    <row r="373" spans="1:18" x14ac:dyDescent="0.3">
      <c r="A373">
        <v>100368</v>
      </c>
      <c r="B373" s="8">
        <v>45307.291666666657</v>
      </c>
      <c r="C373" t="s">
        <v>15</v>
      </c>
      <c r="D373" t="s">
        <v>30</v>
      </c>
      <c r="E373" t="s">
        <v>70</v>
      </c>
      <c r="F373" t="s">
        <v>71</v>
      </c>
      <c r="G373">
        <v>2</v>
      </c>
      <c r="H373">
        <v>101.4</v>
      </c>
      <c r="I373">
        <v>5</v>
      </c>
      <c r="J373" t="s">
        <v>73</v>
      </c>
      <c r="K373" t="s">
        <v>77</v>
      </c>
      <c r="L373">
        <v>202.8</v>
      </c>
      <c r="M373">
        <v>10.14</v>
      </c>
      <c r="N373">
        <v>192.66</v>
      </c>
      <c r="O3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3" s="9" t="str">
        <f ca="1">IF(OR(ISNUMBER(Table13[[#This Row],[Order_Date]])=FALSE,Table13[[#This Row],[Order_Date]]&lt;DATE(2000,1,1),Table13[[#This Row],[Order_Date]]&gt;TODAY()),"YES","NO")</f>
        <v>NO</v>
      </c>
      <c r="Q373" s="9">
        <f>IF(Table13[[#This Row],[Order_Status]] = "Cancelled",0,IF(Table13[[#This Row],[Order_Status]] = "Returned",Table13[[#This Row],[Net_Sales]] * -1,Table13[[#This Row],[Net_Sales]]))</f>
        <v>192.66</v>
      </c>
      <c r="R373" s="9" t="str">
        <f>IF(Table13[[#This Row],[Gross_Sales]]&gt;=500, "YES","NO")</f>
        <v>NO</v>
      </c>
    </row>
    <row r="374" spans="1:18" x14ac:dyDescent="0.3">
      <c r="A374">
        <v>100369</v>
      </c>
      <c r="B374" s="8">
        <v>45307.333333333343</v>
      </c>
      <c r="C374" t="s">
        <v>14</v>
      </c>
      <c r="D374" t="s">
        <v>27</v>
      </c>
      <c r="E374" t="s">
        <v>69</v>
      </c>
      <c r="F374" t="s">
        <v>72</v>
      </c>
      <c r="G374">
        <v>2</v>
      </c>
      <c r="H374">
        <v>46.56</v>
      </c>
      <c r="I374">
        <v>15</v>
      </c>
      <c r="J374" t="s">
        <v>73</v>
      </c>
      <c r="K374" t="s">
        <v>77</v>
      </c>
      <c r="L374">
        <v>93.12</v>
      </c>
      <c r="M374">
        <v>13.968</v>
      </c>
      <c r="N374">
        <v>79.152000000000001</v>
      </c>
      <c r="O3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4" s="9" t="str">
        <f ca="1">IF(OR(ISNUMBER(Table13[[#This Row],[Order_Date]])=FALSE,Table13[[#This Row],[Order_Date]]&lt;DATE(2000,1,1),Table13[[#This Row],[Order_Date]]&gt;TODAY()),"YES","NO")</f>
        <v>NO</v>
      </c>
      <c r="Q374" s="9">
        <f>IF(Table13[[#This Row],[Order_Status]] = "Cancelled",0,IF(Table13[[#This Row],[Order_Status]] = "Returned",Table13[[#This Row],[Net_Sales]] * -1,Table13[[#This Row],[Net_Sales]]))</f>
        <v>79.152000000000001</v>
      </c>
      <c r="R374" s="9" t="str">
        <f>IF(Table13[[#This Row],[Gross_Sales]]&gt;=500, "YES","NO")</f>
        <v>NO</v>
      </c>
    </row>
    <row r="375" spans="1:18" x14ac:dyDescent="0.3">
      <c r="A375">
        <v>100370</v>
      </c>
      <c r="B375" s="8">
        <v>45307.375</v>
      </c>
      <c r="C375" t="s">
        <v>14</v>
      </c>
      <c r="D375" t="s">
        <v>54</v>
      </c>
      <c r="E375" t="s">
        <v>69</v>
      </c>
      <c r="F375" t="s">
        <v>71</v>
      </c>
      <c r="G375">
        <v>4</v>
      </c>
      <c r="H375">
        <v>103.88</v>
      </c>
      <c r="I375">
        <v>0</v>
      </c>
      <c r="J375" t="s">
        <v>76</v>
      </c>
      <c r="K375" t="s">
        <v>77</v>
      </c>
      <c r="L375">
        <v>415.52</v>
      </c>
      <c r="M375">
        <v>0</v>
      </c>
      <c r="N375">
        <v>415.52</v>
      </c>
      <c r="O3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5" s="9" t="str">
        <f ca="1">IF(OR(ISNUMBER(Table13[[#This Row],[Order_Date]])=FALSE,Table13[[#This Row],[Order_Date]]&lt;DATE(2000,1,1),Table13[[#This Row],[Order_Date]]&gt;TODAY()),"YES","NO")</f>
        <v>NO</v>
      </c>
      <c r="Q375" s="9">
        <f>IF(Table13[[#This Row],[Order_Status]] = "Cancelled",0,IF(Table13[[#This Row],[Order_Status]] = "Returned",Table13[[#This Row],[Net_Sales]] * -1,Table13[[#This Row],[Net_Sales]]))</f>
        <v>415.52</v>
      </c>
      <c r="R375" s="9" t="str">
        <f>IF(Table13[[#This Row],[Gross_Sales]]&gt;=500, "YES","NO")</f>
        <v>NO</v>
      </c>
    </row>
    <row r="376" spans="1:18" x14ac:dyDescent="0.3">
      <c r="A376">
        <v>100371</v>
      </c>
      <c r="B376" s="8">
        <v>45307.416666666657</v>
      </c>
      <c r="C376" t="s">
        <v>15</v>
      </c>
      <c r="D376" t="s">
        <v>55</v>
      </c>
      <c r="E376" t="s">
        <v>66</v>
      </c>
      <c r="F376" t="s">
        <v>71</v>
      </c>
      <c r="G376">
        <v>5</v>
      </c>
      <c r="H376">
        <v>51.78</v>
      </c>
      <c r="I376">
        <v>0</v>
      </c>
      <c r="J376" t="s">
        <v>73</v>
      </c>
      <c r="K376" t="s">
        <v>77</v>
      </c>
      <c r="L376">
        <v>258.89999999999998</v>
      </c>
      <c r="M376">
        <v>0</v>
      </c>
      <c r="N376">
        <v>258.89999999999998</v>
      </c>
      <c r="O3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6" s="9" t="str">
        <f ca="1">IF(OR(ISNUMBER(Table13[[#This Row],[Order_Date]])=FALSE,Table13[[#This Row],[Order_Date]]&lt;DATE(2000,1,1),Table13[[#This Row],[Order_Date]]&gt;TODAY()),"YES","NO")</f>
        <v>NO</v>
      </c>
      <c r="Q376" s="9">
        <f>IF(Table13[[#This Row],[Order_Status]] = "Cancelled",0,IF(Table13[[#This Row],[Order_Status]] = "Returned",Table13[[#This Row],[Net_Sales]] * -1,Table13[[#This Row],[Net_Sales]]))</f>
        <v>258.89999999999998</v>
      </c>
      <c r="R376" s="9" t="str">
        <f>IF(Table13[[#This Row],[Gross_Sales]]&gt;=500, "YES","NO")</f>
        <v>NO</v>
      </c>
    </row>
    <row r="377" spans="1:18" x14ac:dyDescent="0.3">
      <c r="A377">
        <v>100372</v>
      </c>
      <c r="B377" s="8">
        <v>45307.458333333343</v>
      </c>
      <c r="C377" t="s">
        <v>15</v>
      </c>
      <c r="D377" t="s">
        <v>56</v>
      </c>
      <c r="E377" t="s">
        <v>69</v>
      </c>
      <c r="F377" t="s">
        <v>71</v>
      </c>
      <c r="G377">
        <v>4</v>
      </c>
      <c r="H377">
        <v>42.75</v>
      </c>
      <c r="I377">
        <v>15</v>
      </c>
      <c r="J377" t="s">
        <v>73</v>
      </c>
      <c r="K377" t="s">
        <v>77</v>
      </c>
      <c r="L377">
        <v>171</v>
      </c>
      <c r="M377">
        <v>25.65</v>
      </c>
      <c r="N377">
        <v>145.35</v>
      </c>
      <c r="O3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7" s="9" t="str">
        <f ca="1">IF(OR(ISNUMBER(Table13[[#This Row],[Order_Date]])=FALSE,Table13[[#This Row],[Order_Date]]&lt;DATE(2000,1,1),Table13[[#This Row],[Order_Date]]&gt;TODAY()),"YES","NO")</f>
        <v>NO</v>
      </c>
      <c r="Q377" s="9">
        <f>IF(Table13[[#This Row],[Order_Status]] = "Cancelled",0,IF(Table13[[#This Row],[Order_Status]] = "Returned",Table13[[#This Row],[Net_Sales]] * -1,Table13[[#This Row],[Net_Sales]]))</f>
        <v>145.35</v>
      </c>
      <c r="R377" s="9" t="str">
        <f>IF(Table13[[#This Row],[Gross_Sales]]&gt;=500, "YES","NO")</f>
        <v>NO</v>
      </c>
    </row>
    <row r="378" spans="1:18" x14ac:dyDescent="0.3">
      <c r="A378">
        <v>100373</v>
      </c>
      <c r="B378" s="8">
        <v>45307.5</v>
      </c>
      <c r="C378" t="s">
        <v>15</v>
      </c>
      <c r="D378" t="s">
        <v>54</v>
      </c>
      <c r="E378" t="s">
        <v>70</v>
      </c>
      <c r="F378" t="s">
        <v>71</v>
      </c>
      <c r="G378">
        <v>4</v>
      </c>
      <c r="H378">
        <v>57.21</v>
      </c>
      <c r="I378">
        <v>5</v>
      </c>
      <c r="J378" t="s">
        <v>75</v>
      </c>
      <c r="K378" t="s">
        <v>77</v>
      </c>
      <c r="L378">
        <v>228.84</v>
      </c>
      <c r="M378">
        <v>11.442</v>
      </c>
      <c r="N378">
        <v>217.398</v>
      </c>
      <c r="O3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8" s="9" t="str">
        <f ca="1">IF(OR(ISNUMBER(Table13[[#This Row],[Order_Date]])=FALSE,Table13[[#This Row],[Order_Date]]&lt;DATE(2000,1,1),Table13[[#This Row],[Order_Date]]&gt;TODAY()),"YES","NO")</f>
        <v>NO</v>
      </c>
      <c r="Q378" s="9">
        <f>IF(Table13[[#This Row],[Order_Status]] = "Cancelled",0,IF(Table13[[#This Row],[Order_Status]] = "Returned",Table13[[#This Row],[Net_Sales]] * -1,Table13[[#This Row],[Net_Sales]]))</f>
        <v>217.398</v>
      </c>
      <c r="R378" s="9" t="str">
        <f>IF(Table13[[#This Row],[Gross_Sales]]&gt;=500, "YES","NO")</f>
        <v>NO</v>
      </c>
    </row>
    <row r="379" spans="1:18" x14ac:dyDescent="0.3">
      <c r="A379">
        <v>100374</v>
      </c>
      <c r="B379" s="8">
        <v>45307.541666666657</v>
      </c>
      <c r="C379" t="s">
        <v>15</v>
      </c>
      <c r="D379" t="s">
        <v>52</v>
      </c>
      <c r="E379" t="s">
        <v>70</v>
      </c>
      <c r="F379" t="s">
        <v>71</v>
      </c>
      <c r="G379">
        <v>2</v>
      </c>
      <c r="H379">
        <v>92.68</v>
      </c>
      <c r="I379">
        <v>5</v>
      </c>
      <c r="J379" t="s">
        <v>76</v>
      </c>
      <c r="K379" t="s">
        <v>77</v>
      </c>
      <c r="L379">
        <v>185.36</v>
      </c>
      <c r="M379">
        <v>9.2680000000000007</v>
      </c>
      <c r="N379">
        <v>176.09200000000001</v>
      </c>
      <c r="O3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79" s="9" t="str">
        <f ca="1">IF(OR(ISNUMBER(Table13[[#This Row],[Order_Date]])=FALSE,Table13[[#This Row],[Order_Date]]&lt;DATE(2000,1,1),Table13[[#This Row],[Order_Date]]&gt;TODAY()),"YES","NO")</f>
        <v>NO</v>
      </c>
      <c r="Q379" s="9">
        <f>IF(Table13[[#This Row],[Order_Status]] = "Cancelled",0,IF(Table13[[#This Row],[Order_Status]] = "Returned",Table13[[#This Row],[Net_Sales]] * -1,Table13[[#This Row],[Net_Sales]]))</f>
        <v>176.09200000000001</v>
      </c>
      <c r="R379" s="9" t="str">
        <f>IF(Table13[[#This Row],[Gross_Sales]]&gt;=500, "YES","NO")</f>
        <v>NO</v>
      </c>
    </row>
    <row r="380" spans="1:18" x14ac:dyDescent="0.3">
      <c r="A380">
        <v>100375</v>
      </c>
      <c r="B380" s="8">
        <v>45307.583333333343</v>
      </c>
      <c r="C380" t="s">
        <v>14</v>
      </c>
      <c r="D380" t="s">
        <v>37</v>
      </c>
      <c r="E380" t="s">
        <v>69</v>
      </c>
      <c r="F380" t="s">
        <v>71</v>
      </c>
      <c r="G380">
        <v>4</v>
      </c>
      <c r="H380">
        <v>19.489999999999998</v>
      </c>
      <c r="I380">
        <v>15</v>
      </c>
      <c r="J380" t="s">
        <v>73</v>
      </c>
      <c r="K380" t="s">
        <v>78</v>
      </c>
      <c r="L380">
        <v>77.959999999999994</v>
      </c>
      <c r="M380">
        <v>11.694000000000001</v>
      </c>
      <c r="N380">
        <v>66.265999999999991</v>
      </c>
      <c r="O3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80" s="9" t="str">
        <f ca="1">IF(OR(ISNUMBER(Table13[[#This Row],[Order_Date]])=FALSE,Table13[[#This Row],[Order_Date]]&lt;DATE(2000,1,1),Table13[[#This Row],[Order_Date]]&gt;TODAY()),"YES","NO")</f>
        <v>NO</v>
      </c>
      <c r="Q380" s="9">
        <f>IF(Table13[[#This Row],[Order_Status]] = "Cancelled",0,IF(Table13[[#This Row],[Order_Status]] = "Returned",Table13[[#This Row],[Net_Sales]] * -1,Table13[[#This Row],[Net_Sales]]))</f>
        <v>-66.265999999999991</v>
      </c>
      <c r="R380" s="9" t="str">
        <f>IF(Table13[[#This Row],[Gross_Sales]]&gt;=500, "YES","NO")</f>
        <v>NO</v>
      </c>
    </row>
    <row r="381" spans="1:18" x14ac:dyDescent="0.3">
      <c r="A381">
        <v>100376</v>
      </c>
      <c r="B381" s="8">
        <v>45307.625</v>
      </c>
      <c r="C381" t="s">
        <v>15</v>
      </c>
      <c r="D381" t="s">
        <v>47</v>
      </c>
      <c r="E381" t="s">
        <v>70</v>
      </c>
      <c r="F381" t="s">
        <v>72</v>
      </c>
      <c r="G381">
        <v>2</v>
      </c>
      <c r="H381">
        <v>27.59</v>
      </c>
      <c r="I381">
        <v>5</v>
      </c>
      <c r="J381" t="s">
        <v>76</v>
      </c>
      <c r="K381" t="s">
        <v>77</v>
      </c>
      <c r="L381">
        <v>55.18</v>
      </c>
      <c r="M381">
        <v>2.7589999999999999</v>
      </c>
      <c r="N381">
        <v>52.420999999999999</v>
      </c>
      <c r="O3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1" s="9" t="str">
        <f ca="1">IF(OR(ISNUMBER(Table13[[#This Row],[Order_Date]])=FALSE,Table13[[#This Row],[Order_Date]]&lt;DATE(2000,1,1),Table13[[#This Row],[Order_Date]]&gt;TODAY()),"YES","NO")</f>
        <v>NO</v>
      </c>
      <c r="Q381" s="9">
        <f>IF(Table13[[#This Row],[Order_Status]] = "Cancelled",0,IF(Table13[[#This Row],[Order_Status]] = "Returned",Table13[[#This Row],[Net_Sales]] * -1,Table13[[#This Row],[Net_Sales]]))</f>
        <v>52.420999999999999</v>
      </c>
      <c r="R381" s="9" t="str">
        <f>IF(Table13[[#This Row],[Gross_Sales]]&gt;=500, "YES","NO")</f>
        <v>NO</v>
      </c>
    </row>
    <row r="382" spans="1:18" x14ac:dyDescent="0.3">
      <c r="A382">
        <v>100377</v>
      </c>
      <c r="B382" s="8">
        <v>45307.666666666657</v>
      </c>
      <c r="C382" t="s">
        <v>15</v>
      </c>
      <c r="D382" t="s">
        <v>18</v>
      </c>
      <c r="E382" t="s">
        <v>66</v>
      </c>
      <c r="F382" t="s">
        <v>71</v>
      </c>
      <c r="G382">
        <v>1</v>
      </c>
      <c r="H382">
        <v>114.42</v>
      </c>
      <c r="I382">
        <v>0</v>
      </c>
      <c r="J382" t="s">
        <v>75</v>
      </c>
      <c r="K382" t="s">
        <v>77</v>
      </c>
      <c r="L382">
        <v>114.42</v>
      </c>
      <c r="M382">
        <v>0</v>
      </c>
      <c r="N382">
        <v>114.42</v>
      </c>
      <c r="O3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2" s="9" t="str">
        <f ca="1">IF(OR(ISNUMBER(Table13[[#This Row],[Order_Date]])=FALSE,Table13[[#This Row],[Order_Date]]&lt;DATE(2000,1,1),Table13[[#This Row],[Order_Date]]&gt;TODAY()),"YES","NO")</f>
        <v>NO</v>
      </c>
      <c r="Q382" s="9">
        <f>IF(Table13[[#This Row],[Order_Status]] = "Cancelled",0,IF(Table13[[#This Row],[Order_Status]] = "Returned",Table13[[#This Row],[Net_Sales]] * -1,Table13[[#This Row],[Net_Sales]]))</f>
        <v>114.42</v>
      </c>
      <c r="R382" s="9" t="str">
        <f>IF(Table13[[#This Row],[Gross_Sales]]&gt;=500, "YES","NO")</f>
        <v>NO</v>
      </c>
    </row>
    <row r="383" spans="1:18" x14ac:dyDescent="0.3">
      <c r="A383">
        <v>100378</v>
      </c>
      <c r="B383" s="8">
        <v>45307.708333333343</v>
      </c>
      <c r="C383" t="s">
        <v>14</v>
      </c>
      <c r="D383" t="s">
        <v>49</v>
      </c>
      <c r="E383" t="s">
        <v>67</v>
      </c>
      <c r="F383" t="s">
        <v>72</v>
      </c>
      <c r="G383">
        <v>5</v>
      </c>
      <c r="H383">
        <v>25.18</v>
      </c>
      <c r="I383">
        <v>15</v>
      </c>
      <c r="J383" t="s">
        <v>76</v>
      </c>
      <c r="K383" t="s">
        <v>77</v>
      </c>
      <c r="L383">
        <v>125.9</v>
      </c>
      <c r="M383">
        <v>18.885000000000002</v>
      </c>
      <c r="N383">
        <v>107.015</v>
      </c>
      <c r="O3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3" s="9" t="str">
        <f ca="1">IF(OR(ISNUMBER(Table13[[#This Row],[Order_Date]])=FALSE,Table13[[#This Row],[Order_Date]]&lt;DATE(2000,1,1),Table13[[#This Row],[Order_Date]]&gt;TODAY()),"YES","NO")</f>
        <v>NO</v>
      </c>
      <c r="Q383" s="9">
        <f>IF(Table13[[#This Row],[Order_Status]] = "Cancelled",0,IF(Table13[[#This Row],[Order_Status]] = "Returned",Table13[[#This Row],[Net_Sales]] * -1,Table13[[#This Row],[Net_Sales]]))</f>
        <v>107.015</v>
      </c>
      <c r="R383" s="9" t="str">
        <f>IF(Table13[[#This Row],[Gross_Sales]]&gt;=500, "YES","NO")</f>
        <v>NO</v>
      </c>
    </row>
    <row r="384" spans="1:18" x14ac:dyDescent="0.3">
      <c r="A384">
        <v>100379</v>
      </c>
      <c r="B384" s="8">
        <v>45307.75</v>
      </c>
      <c r="C384" t="s">
        <v>15</v>
      </c>
      <c r="D384" t="s">
        <v>59</v>
      </c>
      <c r="E384" t="s">
        <v>66</v>
      </c>
      <c r="F384" t="s">
        <v>72</v>
      </c>
      <c r="G384">
        <v>4</v>
      </c>
      <c r="H384">
        <v>70.290000000000006</v>
      </c>
      <c r="I384">
        <v>0</v>
      </c>
      <c r="J384" t="s">
        <v>73</v>
      </c>
      <c r="K384" t="s">
        <v>77</v>
      </c>
      <c r="L384">
        <v>281.16000000000003</v>
      </c>
      <c r="M384">
        <v>0</v>
      </c>
      <c r="N384">
        <v>281.16000000000003</v>
      </c>
      <c r="O3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4" s="9" t="str">
        <f ca="1">IF(OR(ISNUMBER(Table13[[#This Row],[Order_Date]])=FALSE,Table13[[#This Row],[Order_Date]]&lt;DATE(2000,1,1),Table13[[#This Row],[Order_Date]]&gt;TODAY()),"YES","NO")</f>
        <v>NO</v>
      </c>
      <c r="Q384" s="9">
        <f>IF(Table13[[#This Row],[Order_Status]] = "Cancelled",0,IF(Table13[[#This Row],[Order_Status]] = "Returned",Table13[[#This Row],[Net_Sales]] * -1,Table13[[#This Row],[Net_Sales]]))</f>
        <v>281.16000000000003</v>
      </c>
      <c r="R384" s="9" t="str">
        <f>IF(Table13[[#This Row],[Gross_Sales]]&gt;=500, "YES","NO")</f>
        <v>NO</v>
      </c>
    </row>
    <row r="385" spans="1:18" x14ac:dyDescent="0.3">
      <c r="A385">
        <v>100380</v>
      </c>
      <c r="B385" s="8">
        <v>45307.791666666657</v>
      </c>
      <c r="C385" t="s">
        <v>14</v>
      </c>
      <c r="D385" t="s">
        <v>18</v>
      </c>
      <c r="E385" t="s">
        <v>66</v>
      </c>
      <c r="F385" t="s">
        <v>72</v>
      </c>
      <c r="G385">
        <v>2</v>
      </c>
      <c r="H385">
        <v>71.62</v>
      </c>
      <c r="I385">
        <v>10</v>
      </c>
      <c r="J385" t="s">
        <v>76</v>
      </c>
      <c r="K385" t="s">
        <v>79</v>
      </c>
      <c r="L385">
        <v>143.24</v>
      </c>
      <c r="M385">
        <v>14.324</v>
      </c>
      <c r="N385">
        <v>128.916</v>
      </c>
      <c r="O3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85" s="9" t="str">
        <f ca="1">IF(OR(ISNUMBER(Table13[[#This Row],[Order_Date]])=FALSE,Table13[[#This Row],[Order_Date]]&lt;DATE(2000,1,1),Table13[[#This Row],[Order_Date]]&gt;TODAY()),"YES","NO")</f>
        <v>NO</v>
      </c>
      <c r="Q385" s="9">
        <f>IF(Table13[[#This Row],[Order_Status]] = "Cancelled",0,IF(Table13[[#This Row],[Order_Status]] = "Returned",Table13[[#This Row],[Net_Sales]] * -1,Table13[[#This Row],[Net_Sales]]))</f>
        <v>0</v>
      </c>
      <c r="R385" s="9" t="str">
        <f>IF(Table13[[#This Row],[Gross_Sales]]&gt;=500, "YES","NO")</f>
        <v>NO</v>
      </c>
    </row>
    <row r="386" spans="1:18" x14ac:dyDescent="0.3">
      <c r="A386">
        <v>100381</v>
      </c>
      <c r="B386" s="8">
        <v>45307.833333333343</v>
      </c>
      <c r="C386" t="s">
        <v>15</v>
      </c>
      <c r="D386" t="s">
        <v>30</v>
      </c>
      <c r="E386" t="s">
        <v>70</v>
      </c>
      <c r="F386" t="s">
        <v>72</v>
      </c>
      <c r="G386">
        <v>3</v>
      </c>
      <c r="H386">
        <v>61.31</v>
      </c>
      <c r="I386">
        <v>10</v>
      </c>
      <c r="J386" t="s">
        <v>73</v>
      </c>
      <c r="K386" t="s">
        <v>77</v>
      </c>
      <c r="L386">
        <v>183.93</v>
      </c>
      <c r="M386">
        <v>18.393000000000001</v>
      </c>
      <c r="N386">
        <v>165.53700000000001</v>
      </c>
      <c r="O3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6" s="9" t="str">
        <f ca="1">IF(OR(ISNUMBER(Table13[[#This Row],[Order_Date]])=FALSE,Table13[[#This Row],[Order_Date]]&lt;DATE(2000,1,1),Table13[[#This Row],[Order_Date]]&gt;TODAY()),"YES","NO")</f>
        <v>NO</v>
      </c>
      <c r="Q386" s="9">
        <f>IF(Table13[[#This Row],[Order_Status]] = "Cancelled",0,IF(Table13[[#This Row],[Order_Status]] = "Returned",Table13[[#This Row],[Net_Sales]] * -1,Table13[[#This Row],[Net_Sales]]))</f>
        <v>165.53700000000001</v>
      </c>
      <c r="R386" s="9" t="str">
        <f>IF(Table13[[#This Row],[Gross_Sales]]&gt;=500, "YES","NO")</f>
        <v>NO</v>
      </c>
    </row>
    <row r="387" spans="1:18" x14ac:dyDescent="0.3">
      <c r="A387">
        <v>100382</v>
      </c>
      <c r="B387" s="8">
        <v>45307.875</v>
      </c>
      <c r="C387" t="s">
        <v>15</v>
      </c>
      <c r="D387" t="s">
        <v>16</v>
      </c>
      <c r="E387" t="s">
        <v>67</v>
      </c>
      <c r="F387" t="s">
        <v>72</v>
      </c>
      <c r="G387">
        <v>4</v>
      </c>
      <c r="H387">
        <v>79.150000000000006</v>
      </c>
      <c r="I387">
        <v>5</v>
      </c>
      <c r="J387" t="s">
        <v>73</v>
      </c>
      <c r="K387" t="s">
        <v>77</v>
      </c>
      <c r="L387">
        <v>316.60000000000002</v>
      </c>
      <c r="M387">
        <v>15.83</v>
      </c>
      <c r="N387">
        <v>300.77</v>
      </c>
      <c r="O3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7" s="9" t="str">
        <f ca="1">IF(OR(ISNUMBER(Table13[[#This Row],[Order_Date]])=FALSE,Table13[[#This Row],[Order_Date]]&lt;DATE(2000,1,1),Table13[[#This Row],[Order_Date]]&gt;TODAY()),"YES","NO")</f>
        <v>NO</v>
      </c>
      <c r="Q387" s="9">
        <f>IF(Table13[[#This Row],[Order_Status]] = "Cancelled",0,IF(Table13[[#This Row],[Order_Status]] = "Returned",Table13[[#This Row],[Net_Sales]] * -1,Table13[[#This Row],[Net_Sales]]))</f>
        <v>300.77</v>
      </c>
      <c r="R387" s="9" t="str">
        <f>IF(Table13[[#This Row],[Gross_Sales]]&gt;=500, "YES","NO")</f>
        <v>NO</v>
      </c>
    </row>
    <row r="388" spans="1:18" x14ac:dyDescent="0.3">
      <c r="A388">
        <v>100383</v>
      </c>
      <c r="B388" s="8">
        <v>45307.916666666657</v>
      </c>
      <c r="C388" t="s">
        <v>15</v>
      </c>
      <c r="D388" t="s">
        <v>18</v>
      </c>
      <c r="E388" t="s">
        <v>70</v>
      </c>
      <c r="F388" t="s">
        <v>71</v>
      </c>
      <c r="G388">
        <v>1</v>
      </c>
      <c r="H388">
        <v>31.43</v>
      </c>
      <c r="I388">
        <v>10</v>
      </c>
      <c r="J388" t="s">
        <v>73</v>
      </c>
      <c r="K388" t="s">
        <v>77</v>
      </c>
      <c r="L388">
        <v>31.43</v>
      </c>
      <c r="M388">
        <v>3.1429999999999998</v>
      </c>
      <c r="N388">
        <v>28.286999999999999</v>
      </c>
      <c r="O3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8" s="9" t="str">
        <f ca="1">IF(OR(ISNUMBER(Table13[[#This Row],[Order_Date]])=FALSE,Table13[[#This Row],[Order_Date]]&lt;DATE(2000,1,1),Table13[[#This Row],[Order_Date]]&gt;TODAY()),"YES","NO")</f>
        <v>NO</v>
      </c>
      <c r="Q388" s="9">
        <f>IF(Table13[[#This Row],[Order_Status]] = "Cancelled",0,IF(Table13[[#This Row],[Order_Status]] = "Returned",Table13[[#This Row],[Net_Sales]] * -1,Table13[[#This Row],[Net_Sales]]))</f>
        <v>28.286999999999999</v>
      </c>
      <c r="R388" s="9" t="str">
        <f>IF(Table13[[#This Row],[Gross_Sales]]&gt;=500, "YES","NO")</f>
        <v>NO</v>
      </c>
    </row>
    <row r="389" spans="1:18" x14ac:dyDescent="0.3">
      <c r="A389">
        <v>100384</v>
      </c>
      <c r="B389" s="8">
        <v>45307.958333333343</v>
      </c>
      <c r="C389" t="s">
        <v>14</v>
      </c>
      <c r="D389" t="s">
        <v>29</v>
      </c>
      <c r="E389" t="s">
        <v>68</v>
      </c>
      <c r="F389" t="s">
        <v>71</v>
      </c>
      <c r="G389">
        <v>1</v>
      </c>
      <c r="H389">
        <v>68.56</v>
      </c>
      <c r="I389">
        <v>0</v>
      </c>
      <c r="J389" t="s">
        <v>75</v>
      </c>
      <c r="K389" t="s">
        <v>77</v>
      </c>
      <c r="L389">
        <v>68.56</v>
      </c>
      <c r="M389">
        <v>0</v>
      </c>
      <c r="N389">
        <v>68.56</v>
      </c>
      <c r="O3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89" s="9" t="str">
        <f ca="1">IF(OR(ISNUMBER(Table13[[#This Row],[Order_Date]])=FALSE,Table13[[#This Row],[Order_Date]]&lt;DATE(2000,1,1),Table13[[#This Row],[Order_Date]]&gt;TODAY()),"YES","NO")</f>
        <v>NO</v>
      </c>
      <c r="Q389" s="9">
        <f>IF(Table13[[#This Row],[Order_Status]] = "Cancelled",0,IF(Table13[[#This Row],[Order_Status]] = "Returned",Table13[[#This Row],[Net_Sales]] * -1,Table13[[#This Row],[Net_Sales]]))</f>
        <v>68.56</v>
      </c>
      <c r="R389" s="9" t="str">
        <f>IF(Table13[[#This Row],[Gross_Sales]]&gt;=500, "YES","NO")</f>
        <v>NO</v>
      </c>
    </row>
    <row r="390" spans="1:18" x14ac:dyDescent="0.3">
      <c r="A390">
        <v>100385</v>
      </c>
      <c r="B390" s="8">
        <v>45308</v>
      </c>
      <c r="C390" t="s">
        <v>14</v>
      </c>
      <c r="D390" t="s">
        <v>31</v>
      </c>
      <c r="E390" t="s">
        <v>70</v>
      </c>
      <c r="F390" t="s">
        <v>71</v>
      </c>
      <c r="G390">
        <v>3</v>
      </c>
      <c r="H390">
        <v>47.8</v>
      </c>
      <c r="I390">
        <v>10</v>
      </c>
      <c r="J390" t="s">
        <v>76</v>
      </c>
      <c r="K390" t="s">
        <v>77</v>
      </c>
      <c r="L390">
        <v>143.4</v>
      </c>
      <c r="M390">
        <v>14.34</v>
      </c>
      <c r="N390">
        <v>129.06</v>
      </c>
      <c r="O3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0" s="9" t="str">
        <f ca="1">IF(OR(ISNUMBER(Table13[[#This Row],[Order_Date]])=FALSE,Table13[[#This Row],[Order_Date]]&lt;DATE(2000,1,1),Table13[[#This Row],[Order_Date]]&gt;TODAY()),"YES","NO")</f>
        <v>NO</v>
      </c>
      <c r="Q390" s="9">
        <f>IF(Table13[[#This Row],[Order_Status]] = "Cancelled",0,IF(Table13[[#This Row],[Order_Status]] = "Returned",Table13[[#This Row],[Net_Sales]] * -1,Table13[[#This Row],[Net_Sales]]))</f>
        <v>129.06</v>
      </c>
      <c r="R390" s="9" t="str">
        <f>IF(Table13[[#This Row],[Gross_Sales]]&gt;=500, "YES","NO")</f>
        <v>NO</v>
      </c>
    </row>
    <row r="391" spans="1:18" x14ac:dyDescent="0.3">
      <c r="A391">
        <v>100386</v>
      </c>
      <c r="B391" s="8">
        <v>45308.041666666657</v>
      </c>
      <c r="C391" t="s">
        <v>15</v>
      </c>
      <c r="D391" t="s">
        <v>52</v>
      </c>
      <c r="E391" t="s">
        <v>70</v>
      </c>
      <c r="F391" t="s">
        <v>72</v>
      </c>
      <c r="G391">
        <v>2</v>
      </c>
      <c r="H391">
        <v>81.09</v>
      </c>
      <c r="I391">
        <v>0</v>
      </c>
      <c r="J391" t="s">
        <v>75</v>
      </c>
      <c r="K391" t="s">
        <v>77</v>
      </c>
      <c r="L391">
        <v>162.18</v>
      </c>
      <c r="M391">
        <v>0</v>
      </c>
      <c r="N391">
        <v>162.18</v>
      </c>
      <c r="O3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1" s="9" t="str">
        <f ca="1">IF(OR(ISNUMBER(Table13[[#This Row],[Order_Date]])=FALSE,Table13[[#This Row],[Order_Date]]&lt;DATE(2000,1,1),Table13[[#This Row],[Order_Date]]&gt;TODAY()),"YES","NO")</f>
        <v>NO</v>
      </c>
      <c r="Q391" s="9">
        <f>IF(Table13[[#This Row],[Order_Status]] = "Cancelled",0,IF(Table13[[#This Row],[Order_Status]] = "Returned",Table13[[#This Row],[Net_Sales]] * -1,Table13[[#This Row],[Net_Sales]]))</f>
        <v>162.18</v>
      </c>
      <c r="R391" s="9" t="str">
        <f>IF(Table13[[#This Row],[Gross_Sales]]&gt;=500, "YES","NO")</f>
        <v>NO</v>
      </c>
    </row>
    <row r="392" spans="1:18" x14ac:dyDescent="0.3">
      <c r="A392">
        <v>100387</v>
      </c>
      <c r="B392" s="8">
        <v>45308.083333333343</v>
      </c>
      <c r="C392" t="s">
        <v>14</v>
      </c>
      <c r="D392" t="s">
        <v>54</v>
      </c>
      <c r="E392" t="s">
        <v>70</v>
      </c>
      <c r="F392" t="s">
        <v>71</v>
      </c>
      <c r="G392">
        <v>4</v>
      </c>
      <c r="H392">
        <v>21.24</v>
      </c>
      <c r="I392">
        <v>5</v>
      </c>
      <c r="J392" t="s">
        <v>76</v>
      </c>
      <c r="K392" t="s">
        <v>77</v>
      </c>
      <c r="L392">
        <v>84.96</v>
      </c>
      <c r="M392">
        <v>4.2480000000000002</v>
      </c>
      <c r="N392">
        <v>80.711999999999989</v>
      </c>
      <c r="O3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2" s="9" t="str">
        <f ca="1">IF(OR(ISNUMBER(Table13[[#This Row],[Order_Date]])=FALSE,Table13[[#This Row],[Order_Date]]&lt;DATE(2000,1,1),Table13[[#This Row],[Order_Date]]&gt;TODAY()),"YES","NO")</f>
        <v>NO</v>
      </c>
      <c r="Q392" s="9">
        <f>IF(Table13[[#This Row],[Order_Status]] = "Cancelled",0,IF(Table13[[#This Row],[Order_Status]] = "Returned",Table13[[#This Row],[Net_Sales]] * -1,Table13[[#This Row],[Net_Sales]]))</f>
        <v>80.711999999999989</v>
      </c>
      <c r="R392" s="9" t="str">
        <f>IF(Table13[[#This Row],[Gross_Sales]]&gt;=500, "YES","NO")</f>
        <v>NO</v>
      </c>
    </row>
    <row r="393" spans="1:18" x14ac:dyDescent="0.3">
      <c r="A393">
        <v>100388</v>
      </c>
      <c r="B393" s="8">
        <v>45308.125</v>
      </c>
      <c r="C393" t="s">
        <v>14</v>
      </c>
      <c r="D393" t="s">
        <v>54</v>
      </c>
      <c r="E393" t="s">
        <v>67</v>
      </c>
      <c r="F393" t="s">
        <v>71</v>
      </c>
      <c r="G393">
        <v>2</v>
      </c>
      <c r="H393">
        <v>70.650000000000006</v>
      </c>
      <c r="I393">
        <v>5</v>
      </c>
      <c r="J393" t="s">
        <v>75</v>
      </c>
      <c r="K393" t="s">
        <v>77</v>
      </c>
      <c r="L393">
        <v>141.30000000000001</v>
      </c>
      <c r="M393">
        <v>7.0650000000000013</v>
      </c>
      <c r="N393">
        <v>134.23500000000001</v>
      </c>
      <c r="O3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3" s="9" t="str">
        <f ca="1">IF(OR(ISNUMBER(Table13[[#This Row],[Order_Date]])=FALSE,Table13[[#This Row],[Order_Date]]&lt;DATE(2000,1,1),Table13[[#This Row],[Order_Date]]&gt;TODAY()),"YES","NO")</f>
        <v>NO</v>
      </c>
      <c r="Q393" s="9">
        <f>IF(Table13[[#This Row],[Order_Status]] = "Cancelled",0,IF(Table13[[#This Row],[Order_Status]] = "Returned",Table13[[#This Row],[Net_Sales]] * -1,Table13[[#This Row],[Net_Sales]]))</f>
        <v>134.23500000000001</v>
      </c>
      <c r="R393" s="9" t="str">
        <f>IF(Table13[[#This Row],[Gross_Sales]]&gt;=500, "YES","NO")</f>
        <v>NO</v>
      </c>
    </row>
    <row r="394" spans="1:18" x14ac:dyDescent="0.3">
      <c r="A394">
        <v>100389</v>
      </c>
      <c r="B394" s="8">
        <v>45308.166666666657</v>
      </c>
      <c r="C394" t="s">
        <v>14</v>
      </c>
      <c r="D394" t="s">
        <v>56</v>
      </c>
      <c r="E394" t="s">
        <v>70</v>
      </c>
      <c r="F394" t="s">
        <v>71</v>
      </c>
      <c r="G394">
        <v>1</v>
      </c>
      <c r="H394">
        <v>26.31</v>
      </c>
      <c r="I394">
        <v>0</v>
      </c>
      <c r="J394" t="s">
        <v>74</v>
      </c>
      <c r="K394" t="s">
        <v>77</v>
      </c>
      <c r="L394">
        <v>26.31</v>
      </c>
      <c r="M394">
        <v>0</v>
      </c>
      <c r="N394">
        <v>26.31</v>
      </c>
      <c r="O3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4" s="9" t="str">
        <f ca="1">IF(OR(ISNUMBER(Table13[[#This Row],[Order_Date]])=FALSE,Table13[[#This Row],[Order_Date]]&lt;DATE(2000,1,1),Table13[[#This Row],[Order_Date]]&gt;TODAY()),"YES","NO")</f>
        <v>NO</v>
      </c>
      <c r="Q394" s="9">
        <f>IF(Table13[[#This Row],[Order_Status]] = "Cancelled",0,IF(Table13[[#This Row],[Order_Status]] = "Returned",Table13[[#This Row],[Net_Sales]] * -1,Table13[[#This Row],[Net_Sales]]))</f>
        <v>26.31</v>
      </c>
      <c r="R394" s="9" t="str">
        <f>IF(Table13[[#This Row],[Gross_Sales]]&gt;=500, "YES","NO")</f>
        <v>NO</v>
      </c>
    </row>
    <row r="395" spans="1:18" x14ac:dyDescent="0.3">
      <c r="A395">
        <v>100390</v>
      </c>
      <c r="B395" s="8">
        <v>45308.208333333343</v>
      </c>
      <c r="C395" t="s">
        <v>14</v>
      </c>
      <c r="D395" t="s">
        <v>26</v>
      </c>
      <c r="E395" t="s">
        <v>67</v>
      </c>
      <c r="F395" t="s">
        <v>71</v>
      </c>
      <c r="G395">
        <v>2</v>
      </c>
      <c r="H395">
        <v>37.04</v>
      </c>
      <c r="I395">
        <v>10</v>
      </c>
      <c r="J395" t="s">
        <v>73</v>
      </c>
      <c r="K395" t="s">
        <v>77</v>
      </c>
      <c r="L395">
        <v>74.08</v>
      </c>
      <c r="M395">
        <v>7.4080000000000004</v>
      </c>
      <c r="N395">
        <v>66.671999999999997</v>
      </c>
      <c r="O3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5" s="9" t="str">
        <f ca="1">IF(OR(ISNUMBER(Table13[[#This Row],[Order_Date]])=FALSE,Table13[[#This Row],[Order_Date]]&lt;DATE(2000,1,1),Table13[[#This Row],[Order_Date]]&gt;TODAY()),"YES","NO")</f>
        <v>NO</v>
      </c>
      <c r="Q395" s="9">
        <f>IF(Table13[[#This Row],[Order_Status]] = "Cancelled",0,IF(Table13[[#This Row],[Order_Status]] = "Returned",Table13[[#This Row],[Net_Sales]] * -1,Table13[[#This Row],[Net_Sales]]))</f>
        <v>66.671999999999997</v>
      </c>
      <c r="R395" s="9" t="str">
        <f>IF(Table13[[#This Row],[Gross_Sales]]&gt;=500, "YES","NO")</f>
        <v>NO</v>
      </c>
    </row>
    <row r="396" spans="1:18" x14ac:dyDescent="0.3">
      <c r="A396">
        <v>100391</v>
      </c>
      <c r="B396" s="8">
        <v>45308.25</v>
      </c>
      <c r="C396" t="s">
        <v>14</v>
      </c>
      <c r="D396" t="s">
        <v>26</v>
      </c>
      <c r="E396" t="s">
        <v>69</v>
      </c>
      <c r="F396" t="s">
        <v>71</v>
      </c>
      <c r="G396">
        <v>1</v>
      </c>
      <c r="H396">
        <v>30.15</v>
      </c>
      <c r="I396">
        <v>5</v>
      </c>
      <c r="J396" t="s">
        <v>73</v>
      </c>
      <c r="K396" t="s">
        <v>77</v>
      </c>
      <c r="L396">
        <v>30.15</v>
      </c>
      <c r="M396">
        <v>1.5075000000000001</v>
      </c>
      <c r="N396">
        <v>28.642499999999998</v>
      </c>
      <c r="O3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6" s="9" t="str">
        <f ca="1">IF(OR(ISNUMBER(Table13[[#This Row],[Order_Date]])=FALSE,Table13[[#This Row],[Order_Date]]&lt;DATE(2000,1,1),Table13[[#This Row],[Order_Date]]&gt;TODAY()),"YES","NO")</f>
        <v>NO</v>
      </c>
      <c r="Q396" s="9">
        <f>IF(Table13[[#This Row],[Order_Status]] = "Cancelled",0,IF(Table13[[#This Row],[Order_Status]] = "Returned",Table13[[#This Row],[Net_Sales]] * -1,Table13[[#This Row],[Net_Sales]]))</f>
        <v>28.642499999999998</v>
      </c>
      <c r="R396" s="9" t="str">
        <f>IF(Table13[[#This Row],[Gross_Sales]]&gt;=500, "YES","NO")</f>
        <v>NO</v>
      </c>
    </row>
    <row r="397" spans="1:18" x14ac:dyDescent="0.3">
      <c r="A397">
        <v>100392</v>
      </c>
      <c r="B397" s="8">
        <v>45308.291666666657</v>
      </c>
      <c r="C397" t="s">
        <v>14</v>
      </c>
      <c r="D397" t="s">
        <v>48</v>
      </c>
      <c r="E397" t="s">
        <v>68</v>
      </c>
      <c r="F397" t="s">
        <v>72</v>
      </c>
      <c r="G397">
        <v>2</v>
      </c>
      <c r="H397">
        <v>26.03</v>
      </c>
      <c r="I397">
        <v>15</v>
      </c>
      <c r="J397" t="s">
        <v>75</v>
      </c>
      <c r="K397" t="s">
        <v>77</v>
      </c>
      <c r="L397">
        <v>52.06</v>
      </c>
      <c r="M397">
        <v>7.8090000000000002</v>
      </c>
      <c r="N397">
        <v>44.250999999999998</v>
      </c>
      <c r="O3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397" s="9" t="str">
        <f ca="1">IF(OR(ISNUMBER(Table13[[#This Row],[Order_Date]])=FALSE,Table13[[#This Row],[Order_Date]]&lt;DATE(2000,1,1),Table13[[#This Row],[Order_Date]]&gt;TODAY()),"YES","NO")</f>
        <v>NO</v>
      </c>
      <c r="Q397" s="9">
        <f>IF(Table13[[#This Row],[Order_Status]] = "Cancelled",0,IF(Table13[[#This Row],[Order_Status]] = "Returned",Table13[[#This Row],[Net_Sales]] * -1,Table13[[#This Row],[Net_Sales]]))</f>
        <v>44.250999999999998</v>
      </c>
      <c r="R397" s="9" t="str">
        <f>IF(Table13[[#This Row],[Gross_Sales]]&gt;=500, "YES","NO")</f>
        <v>NO</v>
      </c>
    </row>
    <row r="398" spans="1:18" x14ac:dyDescent="0.3">
      <c r="A398">
        <v>100393</v>
      </c>
      <c r="B398" s="8">
        <v>45308.333333333343</v>
      </c>
      <c r="C398" t="s">
        <v>15</v>
      </c>
      <c r="D398" t="s">
        <v>65</v>
      </c>
      <c r="E398" t="s">
        <v>67</v>
      </c>
      <c r="F398" t="s">
        <v>71</v>
      </c>
      <c r="G398">
        <v>3</v>
      </c>
      <c r="H398">
        <v>99.96</v>
      </c>
      <c r="I398">
        <v>5</v>
      </c>
      <c r="J398" t="s">
        <v>74</v>
      </c>
      <c r="K398" t="s">
        <v>78</v>
      </c>
      <c r="L398">
        <v>299.88</v>
      </c>
      <c r="M398">
        <v>14.994</v>
      </c>
      <c r="N398">
        <v>284.88600000000002</v>
      </c>
      <c r="O3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98" s="9" t="str">
        <f ca="1">IF(OR(ISNUMBER(Table13[[#This Row],[Order_Date]])=FALSE,Table13[[#This Row],[Order_Date]]&lt;DATE(2000,1,1),Table13[[#This Row],[Order_Date]]&gt;TODAY()),"YES","NO")</f>
        <v>NO</v>
      </c>
      <c r="Q398" s="9">
        <f>IF(Table13[[#This Row],[Order_Status]] = "Cancelled",0,IF(Table13[[#This Row],[Order_Status]] = "Returned",Table13[[#This Row],[Net_Sales]] * -1,Table13[[#This Row],[Net_Sales]]))</f>
        <v>-284.88600000000002</v>
      </c>
      <c r="R398" s="9" t="str">
        <f>IF(Table13[[#This Row],[Gross_Sales]]&gt;=500, "YES","NO")</f>
        <v>NO</v>
      </c>
    </row>
    <row r="399" spans="1:18" x14ac:dyDescent="0.3">
      <c r="A399">
        <v>100394</v>
      </c>
      <c r="B399" s="8">
        <v>45308.375</v>
      </c>
      <c r="C399" t="s">
        <v>15</v>
      </c>
      <c r="D399" t="s">
        <v>55</v>
      </c>
      <c r="E399" t="s">
        <v>69</v>
      </c>
      <c r="F399" t="s">
        <v>72</v>
      </c>
      <c r="G399">
        <v>5</v>
      </c>
      <c r="H399">
        <v>37.86</v>
      </c>
      <c r="I399">
        <v>10</v>
      </c>
      <c r="J399" t="s">
        <v>73</v>
      </c>
      <c r="K399" t="s">
        <v>78</v>
      </c>
      <c r="L399">
        <v>189.3</v>
      </c>
      <c r="M399">
        <v>18.93</v>
      </c>
      <c r="N399">
        <v>170.37</v>
      </c>
      <c r="O3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399" s="9" t="str">
        <f ca="1">IF(OR(ISNUMBER(Table13[[#This Row],[Order_Date]])=FALSE,Table13[[#This Row],[Order_Date]]&lt;DATE(2000,1,1),Table13[[#This Row],[Order_Date]]&gt;TODAY()),"YES","NO")</f>
        <v>NO</v>
      </c>
      <c r="Q399" s="9">
        <f>IF(Table13[[#This Row],[Order_Status]] = "Cancelled",0,IF(Table13[[#This Row],[Order_Status]] = "Returned",Table13[[#This Row],[Net_Sales]] * -1,Table13[[#This Row],[Net_Sales]]))</f>
        <v>-170.37</v>
      </c>
      <c r="R399" s="9" t="str">
        <f>IF(Table13[[#This Row],[Gross_Sales]]&gt;=500, "YES","NO")</f>
        <v>NO</v>
      </c>
    </row>
    <row r="400" spans="1:18" x14ac:dyDescent="0.3">
      <c r="A400">
        <v>100395</v>
      </c>
      <c r="B400" s="8">
        <v>45308.416666666657</v>
      </c>
      <c r="C400" t="s">
        <v>14</v>
      </c>
      <c r="D400" t="s">
        <v>61</v>
      </c>
      <c r="E400" t="s">
        <v>67</v>
      </c>
      <c r="F400" t="s">
        <v>72</v>
      </c>
      <c r="G400">
        <v>3</v>
      </c>
      <c r="H400">
        <v>111.62</v>
      </c>
      <c r="I400">
        <v>15</v>
      </c>
      <c r="J400" t="s">
        <v>76</v>
      </c>
      <c r="K400" t="s">
        <v>77</v>
      </c>
      <c r="L400">
        <v>334.86</v>
      </c>
      <c r="M400">
        <v>50.228999999999999</v>
      </c>
      <c r="N400">
        <v>284.63099999999997</v>
      </c>
      <c r="O4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0" s="9" t="str">
        <f ca="1">IF(OR(ISNUMBER(Table13[[#This Row],[Order_Date]])=FALSE,Table13[[#This Row],[Order_Date]]&lt;DATE(2000,1,1),Table13[[#This Row],[Order_Date]]&gt;TODAY()),"YES","NO")</f>
        <v>NO</v>
      </c>
      <c r="Q400" s="9">
        <f>IF(Table13[[#This Row],[Order_Status]] = "Cancelled",0,IF(Table13[[#This Row],[Order_Status]] = "Returned",Table13[[#This Row],[Net_Sales]] * -1,Table13[[#This Row],[Net_Sales]]))</f>
        <v>284.63099999999997</v>
      </c>
      <c r="R400" s="9" t="str">
        <f>IF(Table13[[#This Row],[Gross_Sales]]&gt;=500, "YES","NO")</f>
        <v>NO</v>
      </c>
    </row>
    <row r="401" spans="1:18" x14ac:dyDescent="0.3">
      <c r="A401">
        <v>100396</v>
      </c>
      <c r="B401" s="8">
        <v>45308.458333333343</v>
      </c>
      <c r="C401" t="s">
        <v>15</v>
      </c>
      <c r="D401" t="s">
        <v>59</v>
      </c>
      <c r="E401" t="s">
        <v>67</v>
      </c>
      <c r="F401" t="s">
        <v>72</v>
      </c>
      <c r="G401">
        <v>3</v>
      </c>
      <c r="H401">
        <v>116.54</v>
      </c>
      <c r="I401">
        <v>10</v>
      </c>
      <c r="J401" t="s">
        <v>75</v>
      </c>
      <c r="K401" t="s">
        <v>77</v>
      </c>
      <c r="L401">
        <v>349.62</v>
      </c>
      <c r="M401">
        <v>34.962000000000003</v>
      </c>
      <c r="N401">
        <v>314.65800000000002</v>
      </c>
      <c r="O4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1" s="9" t="str">
        <f ca="1">IF(OR(ISNUMBER(Table13[[#This Row],[Order_Date]])=FALSE,Table13[[#This Row],[Order_Date]]&lt;DATE(2000,1,1),Table13[[#This Row],[Order_Date]]&gt;TODAY()),"YES","NO")</f>
        <v>NO</v>
      </c>
      <c r="Q401" s="9">
        <f>IF(Table13[[#This Row],[Order_Status]] = "Cancelled",0,IF(Table13[[#This Row],[Order_Status]] = "Returned",Table13[[#This Row],[Net_Sales]] * -1,Table13[[#This Row],[Net_Sales]]))</f>
        <v>314.65800000000002</v>
      </c>
      <c r="R401" s="9" t="str">
        <f>IF(Table13[[#This Row],[Gross_Sales]]&gt;=500, "YES","NO")</f>
        <v>NO</v>
      </c>
    </row>
    <row r="402" spans="1:18" x14ac:dyDescent="0.3">
      <c r="A402">
        <v>100397</v>
      </c>
      <c r="B402" s="8">
        <v>45308.5</v>
      </c>
      <c r="C402" t="s">
        <v>15</v>
      </c>
      <c r="D402" t="s">
        <v>29</v>
      </c>
      <c r="E402" t="s">
        <v>68</v>
      </c>
      <c r="F402" t="s">
        <v>72</v>
      </c>
      <c r="G402">
        <v>5</v>
      </c>
      <c r="H402">
        <v>70.69</v>
      </c>
      <c r="I402">
        <v>0</v>
      </c>
      <c r="J402" t="s">
        <v>73</v>
      </c>
      <c r="K402" t="s">
        <v>77</v>
      </c>
      <c r="L402">
        <v>353.45</v>
      </c>
      <c r="M402">
        <v>0</v>
      </c>
      <c r="N402">
        <v>353.45</v>
      </c>
      <c r="O4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2" s="9" t="str">
        <f ca="1">IF(OR(ISNUMBER(Table13[[#This Row],[Order_Date]])=FALSE,Table13[[#This Row],[Order_Date]]&lt;DATE(2000,1,1),Table13[[#This Row],[Order_Date]]&gt;TODAY()),"YES","NO")</f>
        <v>NO</v>
      </c>
      <c r="Q402" s="9">
        <f>IF(Table13[[#This Row],[Order_Status]] = "Cancelled",0,IF(Table13[[#This Row],[Order_Status]] = "Returned",Table13[[#This Row],[Net_Sales]] * -1,Table13[[#This Row],[Net_Sales]]))</f>
        <v>353.45</v>
      </c>
      <c r="R402" s="9" t="str">
        <f>IF(Table13[[#This Row],[Gross_Sales]]&gt;=500, "YES","NO")</f>
        <v>NO</v>
      </c>
    </row>
    <row r="403" spans="1:18" x14ac:dyDescent="0.3">
      <c r="A403">
        <v>100398</v>
      </c>
      <c r="B403" s="8">
        <v>45308.541666666657</v>
      </c>
      <c r="C403" t="s">
        <v>15</v>
      </c>
      <c r="D403" t="s">
        <v>23</v>
      </c>
      <c r="E403" t="s">
        <v>66</v>
      </c>
      <c r="F403" t="s">
        <v>72</v>
      </c>
      <c r="G403">
        <v>5</v>
      </c>
      <c r="H403">
        <v>21.45</v>
      </c>
      <c r="I403">
        <v>15</v>
      </c>
      <c r="J403" t="s">
        <v>73</v>
      </c>
      <c r="K403" t="s">
        <v>77</v>
      </c>
      <c r="L403">
        <v>107.25</v>
      </c>
      <c r="M403">
        <v>16.087499999999999</v>
      </c>
      <c r="N403">
        <v>91.162499999999994</v>
      </c>
      <c r="O4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3" s="9" t="str">
        <f ca="1">IF(OR(ISNUMBER(Table13[[#This Row],[Order_Date]])=FALSE,Table13[[#This Row],[Order_Date]]&lt;DATE(2000,1,1),Table13[[#This Row],[Order_Date]]&gt;TODAY()),"YES","NO")</f>
        <v>NO</v>
      </c>
      <c r="Q403" s="9">
        <f>IF(Table13[[#This Row],[Order_Status]] = "Cancelled",0,IF(Table13[[#This Row],[Order_Status]] = "Returned",Table13[[#This Row],[Net_Sales]] * -1,Table13[[#This Row],[Net_Sales]]))</f>
        <v>91.162499999999994</v>
      </c>
      <c r="R403" s="9" t="str">
        <f>IF(Table13[[#This Row],[Gross_Sales]]&gt;=500, "YES","NO")</f>
        <v>NO</v>
      </c>
    </row>
    <row r="404" spans="1:18" x14ac:dyDescent="0.3">
      <c r="A404">
        <v>100399</v>
      </c>
      <c r="B404" s="8">
        <v>45308.583333333343</v>
      </c>
      <c r="C404" t="s">
        <v>15</v>
      </c>
      <c r="D404" t="s">
        <v>18</v>
      </c>
      <c r="E404" t="s">
        <v>66</v>
      </c>
      <c r="F404" t="s">
        <v>71</v>
      </c>
      <c r="G404">
        <v>4</v>
      </c>
      <c r="H404">
        <v>48.07</v>
      </c>
      <c r="I404">
        <v>10</v>
      </c>
      <c r="J404" t="s">
        <v>75</v>
      </c>
      <c r="K404" t="s">
        <v>77</v>
      </c>
      <c r="L404">
        <v>192.28</v>
      </c>
      <c r="M404">
        <v>19.228000000000002</v>
      </c>
      <c r="N404">
        <v>173.05199999999999</v>
      </c>
      <c r="O4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4" s="9" t="str">
        <f ca="1">IF(OR(ISNUMBER(Table13[[#This Row],[Order_Date]])=FALSE,Table13[[#This Row],[Order_Date]]&lt;DATE(2000,1,1),Table13[[#This Row],[Order_Date]]&gt;TODAY()),"YES","NO")</f>
        <v>NO</v>
      </c>
      <c r="Q404" s="9">
        <f>IF(Table13[[#This Row],[Order_Status]] = "Cancelled",0,IF(Table13[[#This Row],[Order_Status]] = "Returned",Table13[[#This Row],[Net_Sales]] * -1,Table13[[#This Row],[Net_Sales]]))</f>
        <v>173.05199999999999</v>
      </c>
      <c r="R404" s="9" t="str">
        <f>IF(Table13[[#This Row],[Gross_Sales]]&gt;=500, "YES","NO")</f>
        <v>NO</v>
      </c>
    </row>
    <row r="405" spans="1:18" x14ac:dyDescent="0.3">
      <c r="A405">
        <v>100400</v>
      </c>
      <c r="B405" s="8">
        <v>45308.625</v>
      </c>
      <c r="C405" t="s">
        <v>14</v>
      </c>
      <c r="D405" t="s">
        <v>33</v>
      </c>
      <c r="E405" t="s">
        <v>67</v>
      </c>
      <c r="F405" t="s">
        <v>71</v>
      </c>
      <c r="G405">
        <v>4</v>
      </c>
      <c r="H405">
        <v>96.74</v>
      </c>
      <c r="I405">
        <v>15</v>
      </c>
      <c r="J405" t="s">
        <v>75</v>
      </c>
      <c r="K405" t="s">
        <v>77</v>
      </c>
      <c r="L405">
        <v>386.96</v>
      </c>
      <c r="M405">
        <v>58.043999999999997</v>
      </c>
      <c r="N405">
        <v>328.916</v>
      </c>
      <c r="O4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5" s="9" t="str">
        <f ca="1">IF(OR(ISNUMBER(Table13[[#This Row],[Order_Date]])=FALSE,Table13[[#This Row],[Order_Date]]&lt;DATE(2000,1,1),Table13[[#This Row],[Order_Date]]&gt;TODAY()),"YES","NO")</f>
        <v>NO</v>
      </c>
      <c r="Q405" s="9">
        <f>IF(Table13[[#This Row],[Order_Status]] = "Cancelled",0,IF(Table13[[#This Row],[Order_Status]] = "Returned",Table13[[#This Row],[Net_Sales]] * -1,Table13[[#This Row],[Net_Sales]]))</f>
        <v>328.916</v>
      </c>
      <c r="R405" s="9" t="str">
        <f>IF(Table13[[#This Row],[Gross_Sales]]&gt;=500, "YES","NO")</f>
        <v>NO</v>
      </c>
    </row>
    <row r="406" spans="1:18" x14ac:dyDescent="0.3">
      <c r="A406">
        <v>100401</v>
      </c>
      <c r="B406" s="8">
        <v>45308.666666666657</v>
      </c>
      <c r="C406" t="s">
        <v>15</v>
      </c>
      <c r="D406" t="s">
        <v>56</v>
      </c>
      <c r="E406" t="s">
        <v>70</v>
      </c>
      <c r="F406" t="s">
        <v>71</v>
      </c>
      <c r="G406">
        <v>3</v>
      </c>
      <c r="H406">
        <v>47.25</v>
      </c>
      <c r="I406">
        <v>10</v>
      </c>
      <c r="J406" t="s">
        <v>76</v>
      </c>
      <c r="K406" t="s">
        <v>77</v>
      </c>
      <c r="L406">
        <v>141.75</v>
      </c>
      <c r="M406">
        <v>14.175000000000001</v>
      </c>
      <c r="N406">
        <v>127.575</v>
      </c>
      <c r="O4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6" s="9" t="str">
        <f ca="1">IF(OR(ISNUMBER(Table13[[#This Row],[Order_Date]])=FALSE,Table13[[#This Row],[Order_Date]]&lt;DATE(2000,1,1),Table13[[#This Row],[Order_Date]]&gt;TODAY()),"YES","NO")</f>
        <v>NO</v>
      </c>
      <c r="Q406" s="9">
        <f>IF(Table13[[#This Row],[Order_Status]] = "Cancelled",0,IF(Table13[[#This Row],[Order_Status]] = "Returned",Table13[[#This Row],[Net_Sales]] * -1,Table13[[#This Row],[Net_Sales]]))</f>
        <v>127.575</v>
      </c>
      <c r="R406" s="9" t="str">
        <f>IF(Table13[[#This Row],[Gross_Sales]]&gt;=500, "YES","NO")</f>
        <v>NO</v>
      </c>
    </row>
    <row r="407" spans="1:18" x14ac:dyDescent="0.3">
      <c r="A407">
        <v>100402</v>
      </c>
      <c r="B407" s="8">
        <v>45308.708333333343</v>
      </c>
      <c r="C407" t="s">
        <v>15</v>
      </c>
      <c r="D407" t="s">
        <v>43</v>
      </c>
      <c r="E407" t="s">
        <v>69</v>
      </c>
      <c r="F407" t="s">
        <v>72</v>
      </c>
      <c r="G407">
        <v>3</v>
      </c>
      <c r="H407">
        <v>15.01</v>
      </c>
      <c r="I407">
        <v>15</v>
      </c>
      <c r="J407" t="s">
        <v>76</v>
      </c>
      <c r="K407" t="s">
        <v>77</v>
      </c>
      <c r="L407">
        <v>45.03</v>
      </c>
      <c r="M407">
        <v>6.7545000000000002</v>
      </c>
      <c r="N407">
        <v>38.275500000000001</v>
      </c>
      <c r="O4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7" s="9" t="str">
        <f ca="1">IF(OR(ISNUMBER(Table13[[#This Row],[Order_Date]])=FALSE,Table13[[#This Row],[Order_Date]]&lt;DATE(2000,1,1),Table13[[#This Row],[Order_Date]]&gt;TODAY()),"YES","NO")</f>
        <v>NO</v>
      </c>
      <c r="Q407" s="9">
        <f>IF(Table13[[#This Row],[Order_Status]] = "Cancelled",0,IF(Table13[[#This Row],[Order_Status]] = "Returned",Table13[[#This Row],[Net_Sales]] * -1,Table13[[#This Row],[Net_Sales]]))</f>
        <v>38.275500000000001</v>
      </c>
      <c r="R407" s="9" t="str">
        <f>IF(Table13[[#This Row],[Gross_Sales]]&gt;=500, "YES","NO")</f>
        <v>NO</v>
      </c>
    </row>
    <row r="408" spans="1:18" x14ac:dyDescent="0.3">
      <c r="A408">
        <v>100403</v>
      </c>
      <c r="B408" s="8">
        <v>45308.75</v>
      </c>
      <c r="C408" t="s">
        <v>14</v>
      </c>
      <c r="D408" t="s">
        <v>64</v>
      </c>
      <c r="E408" t="s">
        <v>70</v>
      </c>
      <c r="F408" t="s">
        <v>71</v>
      </c>
      <c r="G408">
        <v>1</v>
      </c>
      <c r="H408">
        <v>69.03</v>
      </c>
      <c r="I408">
        <v>10</v>
      </c>
      <c r="J408" t="s">
        <v>73</v>
      </c>
      <c r="K408" t="s">
        <v>78</v>
      </c>
      <c r="L408">
        <v>69.03</v>
      </c>
      <c r="M408">
        <v>6.9029999999999996</v>
      </c>
      <c r="N408">
        <v>62.127000000000002</v>
      </c>
      <c r="O4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08" s="9" t="str">
        <f ca="1">IF(OR(ISNUMBER(Table13[[#This Row],[Order_Date]])=FALSE,Table13[[#This Row],[Order_Date]]&lt;DATE(2000,1,1),Table13[[#This Row],[Order_Date]]&gt;TODAY()),"YES","NO")</f>
        <v>NO</v>
      </c>
      <c r="Q408" s="9">
        <f>IF(Table13[[#This Row],[Order_Status]] = "Cancelled",0,IF(Table13[[#This Row],[Order_Status]] = "Returned",Table13[[#This Row],[Net_Sales]] * -1,Table13[[#This Row],[Net_Sales]]))</f>
        <v>-62.127000000000002</v>
      </c>
      <c r="R408" s="9" t="str">
        <f>IF(Table13[[#This Row],[Gross_Sales]]&gt;=500, "YES","NO")</f>
        <v>NO</v>
      </c>
    </row>
    <row r="409" spans="1:18" x14ac:dyDescent="0.3">
      <c r="A409">
        <v>100404</v>
      </c>
      <c r="B409" s="8">
        <v>45308.791666666657</v>
      </c>
      <c r="C409" t="s">
        <v>14</v>
      </c>
      <c r="D409" t="s">
        <v>23</v>
      </c>
      <c r="E409" t="s">
        <v>70</v>
      </c>
      <c r="F409" t="s">
        <v>71</v>
      </c>
      <c r="G409">
        <v>1</v>
      </c>
      <c r="H409">
        <v>102.19</v>
      </c>
      <c r="I409">
        <v>0</v>
      </c>
      <c r="J409" t="s">
        <v>73</v>
      </c>
      <c r="K409" t="s">
        <v>77</v>
      </c>
      <c r="L409">
        <v>102.19</v>
      </c>
      <c r="M409">
        <v>0</v>
      </c>
      <c r="N409">
        <v>102.19</v>
      </c>
      <c r="O4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09" s="9" t="str">
        <f ca="1">IF(OR(ISNUMBER(Table13[[#This Row],[Order_Date]])=FALSE,Table13[[#This Row],[Order_Date]]&lt;DATE(2000,1,1),Table13[[#This Row],[Order_Date]]&gt;TODAY()),"YES","NO")</f>
        <v>NO</v>
      </c>
      <c r="Q409" s="9">
        <f>IF(Table13[[#This Row],[Order_Status]] = "Cancelled",0,IF(Table13[[#This Row],[Order_Status]] = "Returned",Table13[[#This Row],[Net_Sales]] * -1,Table13[[#This Row],[Net_Sales]]))</f>
        <v>102.19</v>
      </c>
      <c r="R409" s="9" t="str">
        <f>IF(Table13[[#This Row],[Gross_Sales]]&gt;=500, "YES","NO")</f>
        <v>NO</v>
      </c>
    </row>
    <row r="410" spans="1:18" x14ac:dyDescent="0.3">
      <c r="A410">
        <v>100405</v>
      </c>
      <c r="B410" s="8">
        <v>45308.833333333343</v>
      </c>
      <c r="C410" t="s">
        <v>15</v>
      </c>
      <c r="D410" t="s">
        <v>47</v>
      </c>
      <c r="E410" t="s">
        <v>67</v>
      </c>
      <c r="F410" t="s">
        <v>72</v>
      </c>
      <c r="G410">
        <v>4</v>
      </c>
      <c r="H410">
        <v>96.53</v>
      </c>
      <c r="I410">
        <v>15</v>
      </c>
      <c r="J410" t="s">
        <v>75</v>
      </c>
      <c r="K410" t="s">
        <v>77</v>
      </c>
      <c r="L410">
        <v>386.12</v>
      </c>
      <c r="M410">
        <v>57.917999999999999</v>
      </c>
      <c r="N410">
        <v>328.202</v>
      </c>
      <c r="O4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0" s="9" t="str">
        <f ca="1">IF(OR(ISNUMBER(Table13[[#This Row],[Order_Date]])=FALSE,Table13[[#This Row],[Order_Date]]&lt;DATE(2000,1,1),Table13[[#This Row],[Order_Date]]&gt;TODAY()),"YES","NO")</f>
        <v>NO</v>
      </c>
      <c r="Q410" s="9">
        <f>IF(Table13[[#This Row],[Order_Status]] = "Cancelled",0,IF(Table13[[#This Row],[Order_Status]] = "Returned",Table13[[#This Row],[Net_Sales]] * -1,Table13[[#This Row],[Net_Sales]]))</f>
        <v>328.202</v>
      </c>
      <c r="R410" s="9" t="str">
        <f>IF(Table13[[#This Row],[Gross_Sales]]&gt;=500, "YES","NO")</f>
        <v>NO</v>
      </c>
    </row>
    <row r="411" spans="1:18" x14ac:dyDescent="0.3">
      <c r="A411">
        <v>100406</v>
      </c>
      <c r="B411" s="8">
        <v>45308.875</v>
      </c>
      <c r="C411" t="s">
        <v>15</v>
      </c>
      <c r="D411" t="s">
        <v>18</v>
      </c>
      <c r="E411" t="s">
        <v>67</v>
      </c>
      <c r="F411" t="s">
        <v>72</v>
      </c>
      <c r="G411">
        <v>4</v>
      </c>
      <c r="H411">
        <v>25.14</v>
      </c>
      <c r="I411">
        <v>15</v>
      </c>
      <c r="J411" t="s">
        <v>73</v>
      </c>
      <c r="K411" t="s">
        <v>77</v>
      </c>
      <c r="L411">
        <v>100.56</v>
      </c>
      <c r="M411">
        <v>15.084</v>
      </c>
      <c r="N411">
        <v>85.475999999999999</v>
      </c>
      <c r="O4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1" s="9" t="str">
        <f ca="1">IF(OR(ISNUMBER(Table13[[#This Row],[Order_Date]])=FALSE,Table13[[#This Row],[Order_Date]]&lt;DATE(2000,1,1),Table13[[#This Row],[Order_Date]]&gt;TODAY()),"YES","NO")</f>
        <v>NO</v>
      </c>
      <c r="Q411" s="9">
        <f>IF(Table13[[#This Row],[Order_Status]] = "Cancelled",0,IF(Table13[[#This Row],[Order_Status]] = "Returned",Table13[[#This Row],[Net_Sales]] * -1,Table13[[#This Row],[Net_Sales]]))</f>
        <v>85.475999999999999</v>
      </c>
      <c r="R411" s="9" t="str">
        <f>IF(Table13[[#This Row],[Gross_Sales]]&gt;=500, "YES","NO")</f>
        <v>NO</v>
      </c>
    </row>
    <row r="412" spans="1:18" x14ac:dyDescent="0.3">
      <c r="A412">
        <v>100407</v>
      </c>
      <c r="B412" s="8">
        <v>45308.916666666657</v>
      </c>
      <c r="C412" t="s">
        <v>15</v>
      </c>
      <c r="D412" t="s">
        <v>50</v>
      </c>
      <c r="E412" t="s">
        <v>67</v>
      </c>
      <c r="F412" t="s">
        <v>72</v>
      </c>
      <c r="G412">
        <v>1</v>
      </c>
      <c r="H412">
        <v>82.37</v>
      </c>
      <c r="I412">
        <v>15</v>
      </c>
      <c r="J412" t="s">
        <v>73</v>
      </c>
      <c r="K412" t="s">
        <v>77</v>
      </c>
      <c r="L412">
        <v>82.37</v>
      </c>
      <c r="M412">
        <v>12.355499999999999</v>
      </c>
      <c r="N412">
        <v>70.014499999999998</v>
      </c>
      <c r="O4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2" s="9" t="str">
        <f ca="1">IF(OR(ISNUMBER(Table13[[#This Row],[Order_Date]])=FALSE,Table13[[#This Row],[Order_Date]]&lt;DATE(2000,1,1),Table13[[#This Row],[Order_Date]]&gt;TODAY()),"YES","NO")</f>
        <v>NO</v>
      </c>
      <c r="Q412" s="9">
        <f>IF(Table13[[#This Row],[Order_Status]] = "Cancelled",0,IF(Table13[[#This Row],[Order_Status]] = "Returned",Table13[[#This Row],[Net_Sales]] * -1,Table13[[#This Row],[Net_Sales]]))</f>
        <v>70.014499999999998</v>
      </c>
      <c r="R412" s="9" t="str">
        <f>IF(Table13[[#This Row],[Gross_Sales]]&gt;=500, "YES","NO")</f>
        <v>NO</v>
      </c>
    </row>
    <row r="413" spans="1:18" x14ac:dyDescent="0.3">
      <c r="A413">
        <v>100408</v>
      </c>
      <c r="B413" s="8">
        <v>45308.958333333343</v>
      </c>
      <c r="C413" t="s">
        <v>15</v>
      </c>
      <c r="D413" t="s">
        <v>43</v>
      </c>
      <c r="E413" t="s">
        <v>67</v>
      </c>
      <c r="F413" t="s">
        <v>72</v>
      </c>
      <c r="G413">
        <v>1</v>
      </c>
      <c r="H413">
        <v>30.36</v>
      </c>
      <c r="I413">
        <v>15</v>
      </c>
      <c r="J413" t="s">
        <v>75</v>
      </c>
      <c r="K413" t="s">
        <v>78</v>
      </c>
      <c r="L413">
        <v>30.36</v>
      </c>
      <c r="M413">
        <v>4.5539999999999994</v>
      </c>
      <c r="N413">
        <v>25.806000000000001</v>
      </c>
      <c r="O4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13" s="9" t="str">
        <f ca="1">IF(OR(ISNUMBER(Table13[[#This Row],[Order_Date]])=FALSE,Table13[[#This Row],[Order_Date]]&lt;DATE(2000,1,1),Table13[[#This Row],[Order_Date]]&gt;TODAY()),"YES","NO")</f>
        <v>NO</v>
      </c>
      <c r="Q413" s="9">
        <f>IF(Table13[[#This Row],[Order_Status]] = "Cancelled",0,IF(Table13[[#This Row],[Order_Status]] = "Returned",Table13[[#This Row],[Net_Sales]] * -1,Table13[[#This Row],[Net_Sales]]))</f>
        <v>-25.806000000000001</v>
      </c>
      <c r="R413" s="9" t="str">
        <f>IF(Table13[[#This Row],[Gross_Sales]]&gt;=500, "YES","NO")</f>
        <v>NO</v>
      </c>
    </row>
    <row r="414" spans="1:18" x14ac:dyDescent="0.3">
      <c r="A414">
        <v>100409</v>
      </c>
      <c r="B414" s="8">
        <v>45309</v>
      </c>
      <c r="C414" t="s">
        <v>15</v>
      </c>
      <c r="D414" t="s">
        <v>18</v>
      </c>
      <c r="E414" t="s">
        <v>66</v>
      </c>
      <c r="F414" t="s">
        <v>71</v>
      </c>
      <c r="G414">
        <v>2</v>
      </c>
      <c r="H414">
        <v>30.09</v>
      </c>
      <c r="I414">
        <v>0</v>
      </c>
      <c r="J414" t="s">
        <v>73</v>
      </c>
      <c r="K414" t="s">
        <v>77</v>
      </c>
      <c r="L414">
        <v>60.18</v>
      </c>
      <c r="M414">
        <v>0</v>
      </c>
      <c r="N414">
        <v>60.18</v>
      </c>
      <c r="O4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4" s="9" t="str">
        <f ca="1">IF(OR(ISNUMBER(Table13[[#This Row],[Order_Date]])=FALSE,Table13[[#This Row],[Order_Date]]&lt;DATE(2000,1,1),Table13[[#This Row],[Order_Date]]&gt;TODAY()),"YES","NO")</f>
        <v>NO</v>
      </c>
      <c r="Q414" s="9">
        <f>IF(Table13[[#This Row],[Order_Status]] = "Cancelled",0,IF(Table13[[#This Row],[Order_Status]] = "Returned",Table13[[#This Row],[Net_Sales]] * -1,Table13[[#This Row],[Net_Sales]]))</f>
        <v>60.18</v>
      </c>
      <c r="R414" s="9" t="str">
        <f>IF(Table13[[#This Row],[Gross_Sales]]&gt;=500, "YES","NO")</f>
        <v>NO</v>
      </c>
    </row>
    <row r="415" spans="1:18" x14ac:dyDescent="0.3">
      <c r="A415">
        <v>100410</v>
      </c>
      <c r="B415" s="8">
        <v>45309.041666666657</v>
      </c>
      <c r="C415" t="s">
        <v>15</v>
      </c>
      <c r="D415" t="s">
        <v>53</v>
      </c>
      <c r="E415" t="s">
        <v>67</v>
      </c>
      <c r="F415" t="s">
        <v>72</v>
      </c>
      <c r="G415">
        <v>2</v>
      </c>
      <c r="H415">
        <v>105.52</v>
      </c>
      <c r="I415">
        <v>15</v>
      </c>
      <c r="J415" t="s">
        <v>73</v>
      </c>
      <c r="K415" t="s">
        <v>77</v>
      </c>
      <c r="L415">
        <v>211.04</v>
      </c>
      <c r="M415">
        <v>31.655999999999999</v>
      </c>
      <c r="N415">
        <v>179.38399999999999</v>
      </c>
      <c r="O4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5" s="9" t="str">
        <f ca="1">IF(OR(ISNUMBER(Table13[[#This Row],[Order_Date]])=FALSE,Table13[[#This Row],[Order_Date]]&lt;DATE(2000,1,1),Table13[[#This Row],[Order_Date]]&gt;TODAY()),"YES","NO")</f>
        <v>NO</v>
      </c>
      <c r="Q415" s="9">
        <f>IF(Table13[[#This Row],[Order_Status]] = "Cancelled",0,IF(Table13[[#This Row],[Order_Status]] = "Returned",Table13[[#This Row],[Net_Sales]] * -1,Table13[[#This Row],[Net_Sales]]))</f>
        <v>179.38399999999999</v>
      </c>
      <c r="R415" s="9" t="str">
        <f>IF(Table13[[#This Row],[Gross_Sales]]&gt;=500, "YES","NO")</f>
        <v>NO</v>
      </c>
    </row>
    <row r="416" spans="1:18" x14ac:dyDescent="0.3">
      <c r="A416">
        <v>100411</v>
      </c>
      <c r="B416" s="8">
        <v>45309.083333333343</v>
      </c>
      <c r="C416" t="s">
        <v>14</v>
      </c>
      <c r="D416" t="s">
        <v>42</v>
      </c>
      <c r="E416" t="s">
        <v>66</v>
      </c>
      <c r="F416" t="s">
        <v>72</v>
      </c>
      <c r="G416">
        <v>1</v>
      </c>
      <c r="H416">
        <v>33.71</v>
      </c>
      <c r="I416">
        <v>5</v>
      </c>
      <c r="J416" t="s">
        <v>74</v>
      </c>
      <c r="K416" t="s">
        <v>77</v>
      </c>
      <c r="L416">
        <v>33.71</v>
      </c>
      <c r="M416">
        <v>1.6855</v>
      </c>
      <c r="N416">
        <v>32.024500000000003</v>
      </c>
      <c r="O4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6" s="9" t="str">
        <f ca="1">IF(OR(ISNUMBER(Table13[[#This Row],[Order_Date]])=FALSE,Table13[[#This Row],[Order_Date]]&lt;DATE(2000,1,1),Table13[[#This Row],[Order_Date]]&gt;TODAY()),"YES","NO")</f>
        <v>NO</v>
      </c>
      <c r="Q416" s="9">
        <f>IF(Table13[[#This Row],[Order_Status]] = "Cancelled",0,IF(Table13[[#This Row],[Order_Status]] = "Returned",Table13[[#This Row],[Net_Sales]] * -1,Table13[[#This Row],[Net_Sales]]))</f>
        <v>32.024500000000003</v>
      </c>
      <c r="R416" s="9" t="str">
        <f>IF(Table13[[#This Row],[Gross_Sales]]&gt;=500, "YES","NO")</f>
        <v>NO</v>
      </c>
    </row>
    <row r="417" spans="1:18" x14ac:dyDescent="0.3">
      <c r="A417">
        <v>100412</v>
      </c>
      <c r="B417" s="8">
        <v>45309.125</v>
      </c>
      <c r="C417" t="s">
        <v>15</v>
      </c>
      <c r="D417" t="s">
        <v>31</v>
      </c>
      <c r="E417" t="s">
        <v>66</v>
      </c>
      <c r="F417" t="s">
        <v>71</v>
      </c>
      <c r="G417">
        <v>2</v>
      </c>
      <c r="H417">
        <v>35.270000000000003</v>
      </c>
      <c r="I417">
        <v>0</v>
      </c>
      <c r="J417" t="s">
        <v>76</v>
      </c>
      <c r="K417" t="s">
        <v>77</v>
      </c>
      <c r="L417">
        <v>70.540000000000006</v>
      </c>
      <c r="M417">
        <v>0</v>
      </c>
      <c r="N417">
        <v>70.540000000000006</v>
      </c>
      <c r="O4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7" s="9" t="str">
        <f ca="1">IF(OR(ISNUMBER(Table13[[#This Row],[Order_Date]])=FALSE,Table13[[#This Row],[Order_Date]]&lt;DATE(2000,1,1),Table13[[#This Row],[Order_Date]]&gt;TODAY()),"YES","NO")</f>
        <v>NO</v>
      </c>
      <c r="Q417" s="9">
        <f>IF(Table13[[#This Row],[Order_Status]] = "Cancelled",0,IF(Table13[[#This Row],[Order_Status]] = "Returned",Table13[[#This Row],[Net_Sales]] * -1,Table13[[#This Row],[Net_Sales]]))</f>
        <v>70.540000000000006</v>
      </c>
      <c r="R417" s="9" t="str">
        <f>IF(Table13[[#This Row],[Gross_Sales]]&gt;=500, "YES","NO")</f>
        <v>NO</v>
      </c>
    </row>
    <row r="418" spans="1:18" x14ac:dyDescent="0.3">
      <c r="A418">
        <v>100413</v>
      </c>
      <c r="B418" s="8">
        <v>45309.166666666657</v>
      </c>
      <c r="C418" t="s">
        <v>15</v>
      </c>
      <c r="D418" t="s">
        <v>32</v>
      </c>
      <c r="E418" t="s">
        <v>67</v>
      </c>
      <c r="F418" t="s">
        <v>71</v>
      </c>
      <c r="G418">
        <v>5</v>
      </c>
      <c r="H418">
        <v>5.08</v>
      </c>
      <c r="I418">
        <v>5</v>
      </c>
      <c r="J418" t="s">
        <v>75</v>
      </c>
      <c r="K418" t="s">
        <v>77</v>
      </c>
      <c r="L418">
        <v>25.4</v>
      </c>
      <c r="M418">
        <v>1.27</v>
      </c>
      <c r="N418">
        <v>24.13</v>
      </c>
      <c r="O4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8" s="9" t="str">
        <f ca="1">IF(OR(ISNUMBER(Table13[[#This Row],[Order_Date]])=FALSE,Table13[[#This Row],[Order_Date]]&lt;DATE(2000,1,1),Table13[[#This Row],[Order_Date]]&gt;TODAY()),"YES","NO")</f>
        <v>NO</v>
      </c>
      <c r="Q418" s="9">
        <f>IF(Table13[[#This Row],[Order_Status]] = "Cancelled",0,IF(Table13[[#This Row],[Order_Status]] = "Returned",Table13[[#This Row],[Net_Sales]] * -1,Table13[[#This Row],[Net_Sales]]))</f>
        <v>24.13</v>
      </c>
      <c r="R418" s="9" t="str">
        <f>IF(Table13[[#This Row],[Gross_Sales]]&gt;=500, "YES","NO")</f>
        <v>NO</v>
      </c>
    </row>
    <row r="419" spans="1:18" x14ac:dyDescent="0.3">
      <c r="A419">
        <v>100414</v>
      </c>
      <c r="B419" s="8">
        <v>45309.208333333343</v>
      </c>
      <c r="C419" t="s">
        <v>14</v>
      </c>
      <c r="D419" t="s">
        <v>28</v>
      </c>
      <c r="E419" t="s">
        <v>68</v>
      </c>
      <c r="F419" t="s">
        <v>72</v>
      </c>
      <c r="G419">
        <v>4</v>
      </c>
      <c r="H419">
        <v>105.13</v>
      </c>
      <c r="I419">
        <v>15</v>
      </c>
      <c r="J419" t="s">
        <v>74</v>
      </c>
      <c r="K419" t="s">
        <v>77</v>
      </c>
      <c r="L419">
        <v>420.52</v>
      </c>
      <c r="M419">
        <v>63.078000000000003</v>
      </c>
      <c r="N419">
        <v>357.44200000000001</v>
      </c>
      <c r="O4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19" s="9" t="str">
        <f ca="1">IF(OR(ISNUMBER(Table13[[#This Row],[Order_Date]])=FALSE,Table13[[#This Row],[Order_Date]]&lt;DATE(2000,1,1),Table13[[#This Row],[Order_Date]]&gt;TODAY()),"YES","NO")</f>
        <v>NO</v>
      </c>
      <c r="Q419" s="9">
        <f>IF(Table13[[#This Row],[Order_Status]] = "Cancelled",0,IF(Table13[[#This Row],[Order_Status]] = "Returned",Table13[[#This Row],[Net_Sales]] * -1,Table13[[#This Row],[Net_Sales]]))</f>
        <v>357.44200000000001</v>
      </c>
      <c r="R419" s="9" t="str">
        <f>IF(Table13[[#This Row],[Gross_Sales]]&gt;=500, "YES","NO")</f>
        <v>NO</v>
      </c>
    </row>
    <row r="420" spans="1:18" x14ac:dyDescent="0.3">
      <c r="A420">
        <v>100415</v>
      </c>
      <c r="B420" s="8">
        <v>45309.25</v>
      </c>
      <c r="C420" t="s">
        <v>14</v>
      </c>
      <c r="D420" t="s">
        <v>32</v>
      </c>
      <c r="E420" t="s">
        <v>69</v>
      </c>
      <c r="F420" t="s">
        <v>71</v>
      </c>
      <c r="G420">
        <v>4</v>
      </c>
      <c r="H420">
        <v>96.15</v>
      </c>
      <c r="I420">
        <v>10</v>
      </c>
      <c r="J420" t="s">
        <v>76</v>
      </c>
      <c r="K420" t="s">
        <v>77</v>
      </c>
      <c r="L420">
        <v>384.6</v>
      </c>
      <c r="M420">
        <v>38.460000000000008</v>
      </c>
      <c r="N420">
        <v>346.14</v>
      </c>
      <c r="O4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0" s="9" t="str">
        <f ca="1">IF(OR(ISNUMBER(Table13[[#This Row],[Order_Date]])=FALSE,Table13[[#This Row],[Order_Date]]&lt;DATE(2000,1,1),Table13[[#This Row],[Order_Date]]&gt;TODAY()),"YES","NO")</f>
        <v>NO</v>
      </c>
      <c r="Q420" s="9">
        <f>IF(Table13[[#This Row],[Order_Status]] = "Cancelled",0,IF(Table13[[#This Row],[Order_Status]] = "Returned",Table13[[#This Row],[Net_Sales]] * -1,Table13[[#This Row],[Net_Sales]]))</f>
        <v>346.14</v>
      </c>
      <c r="R420" s="9" t="str">
        <f>IF(Table13[[#This Row],[Gross_Sales]]&gt;=500, "YES","NO")</f>
        <v>NO</v>
      </c>
    </row>
    <row r="421" spans="1:18" x14ac:dyDescent="0.3">
      <c r="A421">
        <v>100416</v>
      </c>
      <c r="B421" s="8">
        <v>45309.291666666657</v>
      </c>
      <c r="C421" t="s">
        <v>14</v>
      </c>
      <c r="D421" t="s">
        <v>18</v>
      </c>
      <c r="E421" t="s">
        <v>70</v>
      </c>
      <c r="F421" t="s">
        <v>72</v>
      </c>
      <c r="G421">
        <v>1</v>
      </c>
      <c r="H421">
        <v>77.14</v>
      </c>
      <c r="I421">
        <v>5</v>
      </c>
      <c r="J421" t="s">
        <v>76</v>
      </c>
      <c r="K421" t="s">
        <v>77</v>
      </c>
      <c r="L421">
        <v>77.14</v>
      </c>
      <c r="M421">
        <v>3.8570000000000002</v>
      </c>
      <c r="N421">
        <v>73.283000000000001</v>
      </c>
      <c r="O4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1" s="9" t="str">
        <f ca="1">IF(OR(ISNUMBER(Table13[[#This Row],[Order_Date]])=FALSE,Table13[[#This Row],[Order_Date]]&lt;DATE(2000,1,1),Table13[[#This Row],[Order_Date]]&gt;TODAY()),"YES","NO")</f>
        <v>NO</v>
      </c>
      <c r="Q421" s="9">
        <f>IF(Table13[[#This Row],[Order_Status]] = "Cancelled",0,IF(Table13[[#This Row],[Order_Status]] = "Returned",Table13[[#This Row],[Net_Sales]] * -1,Table13[[#This Row],[Net_Sales]]))</f>
        <v>73.283000000000001</v>
      </c>
      <c r="R421" s="9" t="str">
        <f>IF(Table13[[#This Row],[Gross_Sales]]&gt;=500, "YES","NO")</f>
        <v>NO</v>
      </c>
    </row>
    <row r="422" spans="1:18" x14ac:dyDescent="0.3">
      <c r="A422">
        <v>100417</v>
      </c>
      <c r="B422" s="8">
        <v>45309.333333333343</v>
      </c>
      <c r="C422" t="s">
        <v>14</v>
      </c>
      <c r="D422" t="s">
        <v>47</v>
      </c>
      <c r="E422" t="s">
        <v>66</v>
      </c>
      <c r="F422" t="s">
        <v>72</v>
      </c>
      <c r="G422">
        <v>3</v>
      </c>
      <c r="H422">
        <v>91.28</v>
      </c>
      <c r="I422">
        <v>15</v>
      </c>
      <c r="J422" t="s">
        <v>76</v>
      </c>
      <c r="K422" t="s">
        <v>77</v>
      </c>
      <c r="L422">
        <v>273.83999999999997</v>
      </c>
      <c r="M422">
        <v>41.076000000000001</v>
      </c>
      <c r="N422">
        <v>232.76400000000001</v>
      </c>
      <c r="O4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2" s="9" t="str">
        <f ca="1">IF(OR(ISNUMBER(Table13[[#This Row],[Order_Date]])=FALSE,Table13[[#This Row],[Order_Date]]&lt;DATE(2000,1,1),Table13[[#This Row],[Order_Date]]&gt;TODAY()),"YES","NO")</f>
        <v>NO</v>
      </c>
      <c r="Q422" s="9">
        <f>IF(Table13[[#This Row],[Order_Status]] = "Cancelled",0,IF(Table13[[#This Row],[Order_Status]] = "Returned",Table13[[#This Row],[Net_Sales]] * -1,Table13[[#This Row],[Net_Sales]]))</f>
        <v>232.76400000000001</v>
      </c>
      <c r="R422" s="9" t="str">
        <f>IF(Table13[[#This Row],[Gross_Sales]]&gt;=500, "YES","NO")</f>
        <v>NO</v>
      </c>
    </row>
    <row r="423" spans="1:18" x14ac:dyDescent="0.3">
      <c r="A423">
        <v>100418</v>
      </c>
      <c r="B423" s="8">
        <v>45309.375</v>
      </c>
      <c r="C423" t="s">
        <v>15</v>
      </c>
      <c r="D423" t="s">
        <v>20</v>
      </c>
      <c r="E423" t="s">
        <v>69</v>
      </c>
      <c r="F423" t="s">
        <v>71</v>
      </c>
      <c r="G423">
        <v>1</v>
      </c>
      <c r="H423">
        <v>22.49</v>
      </c>
      <c r="I423">
        <v>5</v>
      </c>
      <c r="J423" t="s">
        <v>74</v>
      </c>
      <c r="K423" t="s">
        <v>77</v>
      </c>
      <c r="L423">
        <v>22.49</v>
      </c>
      <c r="M423">
        <v>1.1245000000000001</v>
      </c>
      <c r="N423">
        <v>21.365500000000001</v>
      </c>
      <c r="O4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3" s="9" t="str">
        <f ca="1">IF(OR(ISNUMBER(Table13[[#This Row],[Order_Date]])=FALSE,Table13[[#This Row],[Order_Date]]&lt;DATE(2000,1,1),Table13[[#This Row],[Order_Date]]&gt;TODAY()),"YES","NO")</f>
        <v>NO</v>
      </c>
      <c r="Q423" s="9">
        <f>IF(Table13[[#This Row],[Order_Status]] = "Cancelled",0,IF(Table13[[#This Row],[Order_Status]] = "Returned",Table13[[#This Row],[Net_Sales]] * -1,Table13[[#This Row],[Net_Sales]]))</f>
        <v>21.365500000000001</v>
      </c>
      <c r="R423" s="9" t="str">
        <f>IF(Table13[[#This Row],[Gross_Sales]]&gt;=500, "YES","NO")</f>
        <v>NO</v>
      </c>
    </row>
    <row r="424" spans="1:18" x14ac:dyDescent="0.3">
      <c r="A424">
        <v>100419</v>
      </c>
      <c r="B424" s="8">
        <v>45309.416666666657</v>
      </c>
      <c r="C424" t="s">
        <v>15</v>
      </c>
      <c r="D424" t="s">
        <v>46</v>
      </c>
      <c r="E424" t="s">
        <v>68</v>
      </c>
      <c r="F424" t="s">
        <v>71</v>
      </c>
      <c r="G424">
        <v>2</v>
      </c>
      <c r="H424">
        <v>57.71</v>
      </c>
      <c r="I424">
        <v>15</v>
      </c>
      <c r="J424" t="s">
        <v>74</v>
      </c>
      <c r="K424" t="s">
        <v>77</v>
      </c>
      <c r="L424">
        <v>115.42</v>
      </c>
      <c r="M424">
        <v>17.312999999999999</v>
      </c>
      <c r="N424">
        <v>98.106999999999999</v>
      </c>
      <c r="O4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4" s="9" t="str">
        <f ca="1">IF(OR(ISNUMBER(Table13[[#This Row],[Order_Date]])=FALSE,Table13[[#This Row],[Order_Date]]&lt;DATE(2000,1,1),Table13[[#This Row],[Order_Date]]&gt;TODAY()),"YES","NO")</f>
        <v>NO</v>
      </c>
      <c r="Q424" s="9">
        <f>IF(Table13[[#This Row],[Order_Status]] = "Cancelled",0,IF(Table13[[#This Row],[Order_Status]] = "Returned",Table13[[#This Row],[Net_Sales]] * -1,Table13[[#This Row],[Net_Sales]]))</f>
        <v>98.106999999999999</v>
      </c>
      <c r="R424" s="9" t="str">
        <f>IF(Table13[[#This Row],[Gross_Sales]]&gt;=500, "YES","NO")</f>
        <v>NO</v>
      </c>
    </row>
    <row r="425" spans="1:18" x14ac:dyDescent="0.3">
      <c r="A425">
        <v>100420</v>
      </c>
      <c r="B425" s="8">
        <v>45309.458333333343</v>
      </c>
      <c r="C425" t="s">
        <v>15</v>
      </c>
      <c r="D425" t="s">
        <v>29</v>
      </c>
      <c r="E425" t="s">
        <v>70</v>
      </c>
      <c r="F425" t="s">
        <v>72</v>
      </c>
      <c r="G425">
        <v>3</v>
      </c>
      <c r="H425">
        <v>45.39</v>
      </c>
      <c r="I425">
        <v>15</v>
      </c>
      <c r="J425" t="s">
        <v>76</v>
      </c>
      <c r="K425" t="s">
        <v>77</v>
      </c>
      <c r="L425">
        <v>136.16999999999999</v>
      </c>
      <c r="M425">
        <v>20.4255</v>
      </c>
      <c r="N425">
        <v>115.7445</v>
      </c>
      <c r="O4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5" s="9" t="str">
        <f ca="1">IF(OR(ISNUMBER(Table13[[#This Row],[Order_Date]])=FALSE,Table13[[#This Row],[Order_Date]]&lt;DATE(2000,1,1),Table13[[#This Row],[Order_Date]]&gt;TODAY()),"YES","NO")</f>
        <v>NO</v>
      </c>
      <c r="Q425" s="9">
        <f>IF(Table13[[#This Row],[Order_Status]] = "Cancelled",0,IF(Table13[[#This Row],[Order_Status]] = "Returned",Table13[[#This Row],[Net_Sales]] * -1,Table13[[#This Row],[Net_Sales]]))</f>
        <v>115.7445</v>
      </c>
      <c r="R425" s="9" t="str">
        <f>IF(Table13[[#This Row],[Gross_Sales]]&gt;=500, "YES","NO")</f>
        <v>NO</v>
      </c>
    </row>
    <row r="426" spans="1:18" x14ac:dyDescent="0.3">
      <c r="A426">
        <v>100421</v>
      </c>
      <c r="B426" s="8">
        <v>45309.5</v>
      </c>
      <c r="C426" t="s">
        <v>15</v>
      </c>
      <c r="D426" t="s">
        <v>64</v>
      </c>
      <c r="E426" t="s">
        <v>70</v>
      </c>
      <c r="F426" t="s">
        <v>72</v>
      </c>
      <c r="G426">
        <v>2</v>
      </c>
      <c r="H426">
        <v>15.78</v>
      </c>
      <c r="I426">
        <v>15</v>
      </c>
      <c r="J426" t="s">
        <v>73</v>
      </c>
      <c r="K426" t="s">
        <v>77</v>
      </c>
      <c r="L426">
        <v>31.56</v>
      </c>
      <c r="M426">
        <v>4.734</v>
      </c>
      <c r="N426">
        <v>26.826000000000001</v>
      </c>
      <c r="O4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6" s="9" t="str">
        <f ca="1">IF(OR(ISNUMBER(Table13[[#This Row],[Order_Date]])=FALSE,Table13[[#This Row],[Order_Date]]&lt;DATE(2000,1,1),Table13[[#This Row],[Order_Date]]&gt;TODAY()),"YES","NO")</f>
        <v>NO</v>
      </c>
      <c r="Q426" s="9">
        <f>IF(Table13[[#This Row],[Order_Status]] = "Cancelled",0,IF(Table13[[#This Row],[Order_Status]] = "Returned",Table13[[#This Row],[Net_Sales]] * -1,Table13[[#This Row],[Net_Sales]]))</f>
        <v>26.826000000000001</v>
      </c>
      <c r="R426" s="9" t="str">
        <f>IF(Table13[[#This Row],[Gross_Sales]]&gt;=500, "YES","NO")</f>
        <v>NO</v>
      </c>
    </row>
    <row r="427" spans="1:18" x14ac:dyDescent="0.3">
      <c r="A427">
        <v>100422</v>
      </c>
      <c r="B427" s="8">
        <v>45309.541666666657</v>
      </c>
      <c r="C427" t="s">
        <v>15</v>
      </c>
      <c r="D427" t="s">
        <v>35</v>
      </c>
      <c r="E427" t="s">
        <v>66</v>
      </c>
      <c r="F427" t="s">
        <v>72</v>
      </c>
      <c r="G427">
        <v>5</v>
      </c>
      <c r="H427">
        <v>60.91</v>
      </c>
      <c r="I427">
        <v>10</v>
      </c>
      <c r="J427" t="s">
        <v>73</v>
      </c>
      <c r="K427" t="s">
        <v>77</v>
      </c>
      <c r="L427">
        <v>304.55</v>
      </c>
      <c r="M427">
        <v>30.454999999999998</v>
      </c>
      <c r="N427">
        <v>274.09500000000003</v>
      </c>
      <c r="O4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7" s="9" t="str">
        <f ca="1">IF(OR(ISNUMBER(Table13[[#This Row],[Order_Date]])=FALSE,Table13[[#This Row],[Order_Date]]&lt;DATE(2000,1,1),Table13[[#This Row],[Order_Date]]&gt;TODAY()),"YES","NO")</f>
        <v>NO</v>
      </c>
      <c r="Q427" s="9">
        <f>IF(Table13[[#This Row],[Order_Status]] = "Cancelled",0,IF(Table13[[#This Row],[Order_Status]] = "Returned",Table13[[#This Row],[Net_Sales]] * -1,Table13[[#This Row],[Net_Sales]]))</f>
        <v>274.09500000000003</v>
      </c>
      <c r="R427" s="9" t="str">
        <f>IF(Table13[[#This Row],[Gross_Sales]]&gt;=500, "YES","NO")</f>
        <v>NO</v>
      </c>
    </row>
    <row r="428" spans="1:18" x14ac:dyDescent="0.3">
      <c r="A428">
        <v>100423</v>
      </c>
      <c r="B428" s="8">
        <v>45309.583333333343</v>
      </c>
      <c r="C428" t="s">
        <v>15</v>
      </c>
      <c r="D428" t="s">
        <v>60</v>
      </c>
      <c r="E428" t="s">
        <v>67</v>
      </c>
      <c r="F428" t="s">
        <v>71</v>
      </c>
      <c r="G428">
        <v>2</v>
      </c>
      <c r="H428">
        <v>110.89</v>
      </c>
      <c r="I428">
        <v>5</v>
      </c>
      <c r="J428" t="s">
        <v>74</v>
      </c>
      <c r="K428" t="s">
        <v>77</v>
      </c>
      <c r="L428">
        <v>221.78</v>
      </c>
      <c r="M428">
        <v>11.089</v>
      </c>
      <c r="N428">
        <v>210.691</v>
      </c>
      <c r="O4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8" s="9" t="str">
        <f ca="1">IF(OR(ISNUMBER(Table13[[#This Row],[Order_Date]])=FALSE,Table13[[#This Row],[Order_Date]]&lt;DATE(2000,1,1),Table13[[#This Row],[Order_Date]]&gt;TODAY()),"YES","NO")</f>
        <v>NO</v>
      </c>
      <c r="Q428" s="9">
        <f>IF(Table13[[#This Row],[Order_Status]] = "Cancelled",0,IF(Table13[[#This Row],[Order_Status]] = "Returned",Table13[[#This Row],[Net_Sales]] * -1,Table13[[#This Row],[Net_Sales]]))</f>
        <v>210.691</v>
      </c>
      <c r="R428" s="9" t="str">
        <f>IF(Table13[[#This Row],[Gross_Sales]]&gt;=500, "YES","NO")</f>
        <v>NO</v>
      </c>
    </row>
    <row r="429" spans="1:18" x14ac:dyDescent="0.3">
      <c r="A429">
        <v>100424</v>
      </c>
      <c r="B429" s="8">
        <v>45309.625</v>
      </c>
      <c r="C429" t="s">
        <v>14</v>
      </c>
      <c r="D429" t="s">
        <v>59</v>
      </c>
      <c r="E429" t="s">
        <v>68</v>
      </c>
      <c r="F429" t="s">
        <v>72</v>
      </c>
      <c r="G429">
        <v>5</v>
      </c>
      <c r="H429">
        <v>9.61</v>
      </c>
      <c r="I429">
        <v>0</v>
      </c>
      <c r="J429" t="s">
        <v>74</v>
      </c>
      <c r="K429" t="s">
        <v>77</v>
      </c>
      <c r="L429">
        <v>48.05</v>
      </c>
      <c r="M429">
        <v>0</v>
      </c>
      <c r="N429">
        <v>48.05</v>
      </c>
      <c r="O4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29" s="9" t="str">
        <f ca="1">IF(OR(ISNUMBER(Table13[[#This Row],[Order_Date]])=FALSE,Table13[[#This Row],[Order_Date]]&lt;DATE(2000,1,1),Table13[[#This Row],[Order_Date]]&gt;TODAY()),"YES","NO")</f>
        <v>NO</v>
      </c>
      <c r="Q429" s="9">
        <f>IF(Table13[[#This Row],[Order_Status]] = "Cancelled",0,IF(Table13[[#This Row],[Order_Status]] = "Returned",Table13[[#This Row],[Net_Sales]] * -1,Table13[[#This Row],[Net_Sales]]))</f>
        <v>48.05</v>
      </c>
      <c r="R429" s="9" t="str">
        <f>IF(Table13[[#This Row],[Gross_Sales]]&gt;=500, "YES","NO")</f>
        <v>NO</v>
      </c>
    </row>
    <row r="430" spans="1:18" x14ac:dyDescent="0.3">
      <c r="A430">
        <v>100425</v>
      </c>
      <c r="B430" s="8">
        <v>45309.666666666657</v>
      </c>
      <c r="C430" t="s">
        <v>15</v>
      </c>
      <c r="D430" t="s">
        <v>23</v>
      </c>
      <c r="E430" t="s">
        <v>66</v>
      </c>
      <c r="F430" t="s">
        <v>72</v>
      </c>
      <c r="G430">
        <v>5</v>
      </c>
      <c r="H430">
        <v>38.520000000000003</v>
      </c>
      <c r="I430">
        <v>0</v>
      </c>
      <c r="J430" t="s">
        <v>74</v>
      </c>
      <c r="K430" t="s">
        <v>77</v>
      </c>
      <c r="L430">
        <v>192.6</v>
      </c>
      <c r="M430">
        <v>0</v>
      </c>
      <c r="N430">
        <v>192.6</v>
      </c>
      <c r="O4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0" s="9" t="str">
        <f ca="1">IF(OR(ISNUMBER(Table13[[#This Row],[Order_Date]])=FALSE,Table13[[#This Row],[Order_Date]]&lt;DATE(2000,1,1),Table13[[#This Row],[Order_Date]]&gt;TODAY()),"YES","NO")</f>
        <v>NO</v>
      </c>
      <c r="Q430" s="9">
        <f>IF(Table13[[#This Row],[Order_Status]] = "Cancelled",0,IF(Table13[[#This Row],[Order_Status]] = "Returned",Table13[[#This Row],[Net_Sales]] * -1,Table13[[#This Row],[Net_Sales]]))</f>
        <v>192.6</v>
      </c>
      <c r="R430" s="9" t="str">
        <f>IF(Table13[[#This Row],[Gross_Sales]]&gt;=500, "YES","NO")</f>
        <v>NO</v>
      </c>
    </row>
    <row r="431" spans="1:18" x14ac:dyDescent="0.3">
      <c r="A431">
        <v>100426</v>
      </c>
      <c r="B431" s="8">
        <v>45309.708333333343</v>
      </c>
      <c r="C431" t="s">
        <v>14</v>
      </c>
      <c r="D431" t="s">
        <v>55</v>
      </c>
      <c r="E431" t="s">
        <v>68</v>
      </c>
      <c r="F431" t="s">
        <v>72</v>
      </c>
      <c r="G431">
        <v>2</v>
      </c>
      <c r="H431">
        <v>28.87</v>
      </c>
      <c r="I431">
        <v>0</v>
      </c>
      <c r="J431" t="s">
        <v>76</v>
      </c>
      <c r="K431" t="s">
        <v>77</v>
      </c>
      <c r="L431">
        <v>57.74</v>
      </c>
      <c r="M431">
        <v>0</v>
      </c>
      <c r="N431">
        <v>57.74</v>
      </c>
      <c r="O4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1" s="9" t="str">
        <f ca="1">IF(OR(ISNUMBER(Table13[[#This Row],[Order_Date]])=FALSE,Table13[[#This Row],[Order_Date]]&lt;DATE(2000,1,1),Table13[[#This Row],[Order_Date]]&gt;TODAY()),"YES","NO")</f>
        <v>NO</v>
      </c>
      <c r="Q431" s="9">
        <f>IF(Table13[[#This Row],[Order_Status]] = "Cancelled",0,IF(Table13[[#This Row],[Order_Status]] = "Returned",Table13[[#This Row],[Net_Sales]] * -1,Table13[[#This Row],[Net_Sales]]))</f>
        <v>57.74</v>
      </c>
      <c r="R431" s="9" t="str">
        <f>IF(Table13[[#This Row],[Gross_Sales]]&gt;=500, "YES","NO")</f>
        <v>NO</v>
      </c>
    </row>
    <row r="432" spans="1:18" x14ac:dyDescent="0.3">
      <c r="A432">
        <v>100427</v>
      </c>
      <c r="B432" s="8">
        <v>45309.75</v>
      </c>
      <c r="C432" t="s">
        <v>14</v>
      </c>
      <c r="D432" t="s">
        <v>28</v>
      </c>
      <c r="E432" t="s">
        <v>67</v>
      </c>
      <c r="F432" t="s">
        <v>72</v>
      </c>
      <c r="G432">
        <v>2</v>
      </c>
      <c r="H432">
        <v>32.39</v>
      </c>
      <c r="I432">
        <v>0</v>
      </c>
      <c r="J432" t="s">
        <v>73</v>
      </c>
      <c r="K432" t="s">
        <v>77</v>
      </c>
      <c r="L432">
        <v>64.78</v>
      </c>
      <c r="M432">
        <v>0</v>
      </c>
      <c r="N432">
        <v>64.78</v>
      </c>
      <c r="O4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2" s="9" t="str">
        <f ca="1">IF(OR(ISNUMBER(Table13[[#This Row],[Order_Date]])=FALSE,Table13[[#This Row],[Order_Date]]&lt;DATE(2000,1,1),Table13[[#This Row],[Order_Date]]&gt;TODAY()),"YES","NO")</f>
        <v>NO</v>
      </c>
      <c r="Q432" s="9">
        <f>IF(Table13[[#This Row],[Order_Status]] = "Cancelled",0,IF(Table13[[#This Row],[Order_Status]] = "Returned",Table13[[#This Row],[Net_Sales]] * -1,Table13[[#This Row],[Net_Sales]]))</f>
        <v>64.78</v>
      </c>
      <c r="R432" s="9" t="str">
        <f>IF(Table13[[#This Row],[Gross_Sales]]&gt;=500, "YES","NO")</f>
        <v>NO</v>
      </c>
    </row>
    <row r="433" spans="1:18" x14ac:dyDescent="0.3">
      <c r="A433">
        <v>100428</v>
      </c>
      <c r="B433" s="8">
        <v>45309.791666666657</v>
      </c>
      <c r="C433" t="s">
        <v>15</v>
      </c>
      <c r="D433" t="s">
        <v>23</v>
      </c>
      <c r="E433" t="s">
        <v>67</v>
      </c>
      <c r="F433" t="s">
        <v>72</v>
      </c>
      <c r="G433">
        <v>5</v>
      </c>
      <c r="H433">
        <v>109.47</v>
      </c>
      <c r="I433">
        <v>15</v>
      </c>
      <c r="J433" t="s">
        <v>74</v>
      </c>
      <c r="K433" t="s">
        <v>77</v>
      </c>
      <c r="L433">
        <v>547.35</v>
      </c>
      <c r="M433">
        <v>82.102500000000006</v>
      </c>
      <c r="N433">
        <v>465.2475</v>
      </c>
      <c r="O4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3" s="9" t="str">
        <f ca="1">IF(OR(ISNUMBER(Table13[[#This Row],[Order_Date]])=FALSE,Table13[[#This Row],[Order_Date]]&lt;DATE(2000,1,1),Table13[[#This Row],[Order_Date]]&gt;TODAY()),"YES","NO")</f>
        <v>NO</v>
      </c>
      <c r="Q433" s="9">
        <f>IF(Table13[[#This Row],[Order_Status]] = "Cancelled",0,IF(Table13[[#This Row],[Order_Status]] = "Returned",Table13[[#This Row],[Net_Sales]] * -1,Table13[[#This Row],[Net_Sales]]))</f>
        <v>465.2475</v>
      </c>
      <c r="R433" s="9" t="str">
        <f>IF(Table13[[#This Row],[Gross_Sales]]&gt;=500, "YES","NO")</f>
        <v>YES</v>
      </c>
    </row>
    <row r="434" spans="1:18" x14ac:dyDescent="0.3">
      <c r="A434">
        <v>100429</v>
      </c>
      <c r="B434" s="8">
        <v>45309.833333333343</v>
      </c>
      <c r="C434" t="s">
        <v>14</v>
      </c>
      <c r="D434" t="s">
        <v>29</v>
      </c>
      <c r="E434" t="s">
        <v>66</v>
      </c>
      <c r="F434" t="s">
        <v>71</v>
      </c>
      <c r="G434">
        <v>3</v>
      </c>
      <c r="H434">
        <v>58.83</v>
      </c>
      <c r="I434">
        <v>5</v>
      </c>
      <c r="J434" t="s">
        <v>74</v>
      </c>
      <c r="K434" t="s">
        <v>77</v>
      </c>
      <c r="L434">
        <v>176.49</v>
      </c>
      <c r="M434">
        <v>8.8245000000000005</v>
      </c>
      <c r="N434">
        <v>167.66550000000001</v>
      </c>
      <c r="O4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4" s="9" t="str">
        <f ca="1">IF(OR(ISNUMBER(Table13[[#This Row],[Order_Date]])=FALSE,Table13[[#This Row],[Order_Date]]&lt;DATE(2000,1,1),Table13[[#This Row],[Order_Date]]&gt;TODAY()),"YES","NO")</f>
        <v>NO</v>
      </c>
      <c r="Q434" s="9">
        <f>IF(Table13[[#This Row],[Order_Status]] = "Cancelled",0,IF(Table13[[#This Row],[Order_Status]] = "Returned",Table13[[#This Row],[Net_Sales]] * -1,Table13[[#This Row],[Net_Sales]]))</f>
        <v>167.66550000000001</v>
      </c>
      <c r="R434" s="9" t="str">
        <f>IF(Table13[[#This Row],[Gross_Sales]]&gt;=500, "YES","NO")</f>
        <v>NO</v>
      </c>
    </row>
    <row r="435" spans="1:18" x14ac:dyDescent="0.3">
      <c r="A435">
        <v>100430</v>
      </c>
      <c r="B435" s="8">
        <v>45309.875</v>
      </c>
      <c r="C435" t="s">
        <v>15</v>
      </c>
      <c r="D435" t="s">
        <v>53</v>
      </c>
      <c r="E435" t="s">
        <v>67</v>
      </c>
      <c r="F435" t="s">
        <v>72</v>
      </c>
      <c r="G435">
        <v>5</v>
      </c>
      <c r="H435">
        <v>58.62</v>
      </c>
      <c r="I435">
        <v>5</v>
      </c>
      <c r="J435" t="s">
        <v>75</v>
      </c>
      <c r="K435" t="s">
        <v>77</v>
      </c>
      <c r="L435">
        <v>293.10000000000002</v>
      </c>
      <c r="M435">
        <v>14.654999999999999</v>
      </c>
      <c r="N435">
        <v>278.44499999999999</v>
      </c>
      <c r="O4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5" s="9" t="str">
        <f ca="1">IF(OR(ISNUMBER(Table13[[#This Row],[Order_Date]])=FALSE,Table13[[#This Row],[Order_Date]]&lt;DATE(2000,1,1),Table13[[#This Row],[Order_Date]]&gt;TODAY()),"YES","NO")</f>
        <v>NO</v>
      </c>
      <c r="Q435" s="9">
        <f>IF(Table13[[#This Row],[Order_Status]] = "Cancelled",0,IF(Table13[[#This Row],[Order_Status]] = "Returned",Table13[[#This Row],[Net_Sales]] * -1,Table13[[#This Row],[Net_Sales]]))</f>
        <v>278.44499999999999</v>
      </c>
      <c r="R435" s="9" t="str">
        <f>IF(Table13[[#This Row],[Gross_Sales]]&gt;=500, "YES","NO")</f>
        <v>NO</v>
      </c>
    </row>
    <row r="436" spans="1:18" x14ac:dyDescent="0.3">
      <c r="A436">
        <v>100431</v>
      </c>
      <c r="B436" s="8">
        <v>45309.916666666657</v>
      </c>
      <c r="C436" t="s">
        <v>14</v>
      </c>
      <c r="D436" t="s">
        <v>57</v>
      </c>
      <c r="E436" t="s">
        <v>69</v>
      </c>
      <c r="F436" t="s">
        <v>72</v>
      </c>
      <c r="G436">
        <v>4</v>
      </c>
      <c r="H436">
        <v>92.47</v>
      </c>
      <c r="I436">
        <v>10</v>
      </c>
      <c r="J436" t="s">
        <v>76</v>
      </c>
      <c r="K436" t="s">
        <v>77</v>
      </c>
      <c r="L436">
        <v>369.88</v>
      </c>
      <c r="M436">
        <v>36.988</v>
      </c>
      <c r="N436">
        <v>332.892</v>
      </c>
      <c r="O4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6" s="9" t="str">
        <f ca="1">IF(OR(ISNUMBER(Table13[[#This Row],[Order_Date]])=FALSE,Table13[[#This Row],[Order_Date]]&lt;DATE(2000,1,1),Table13[[#This Row],[Order_Date]]&gt;TODAY()),"YES","NO")</f>
        <v>NO</v>
      </c>
      <c r="Q436" s="9">
        <f>IF(Table13[[#This Row],[Order_Status]] = "Cancelled",0,IF(Table13[[#This Row],[Order_Status]] = "Returned",Table13[[#This Row],[Net_Sales]] * -1,Table13[[#This Row],[Net_Sales]]))</f>
        <v>332.892</v>
      </c>
      <c r="R436" s="9" t="str">
        <f>IF(Table13[[#This Row],[Gross_Sales]]&gt;=500, "YES","NO")</f>
        <v>NO</v>
      </c>
    </row>
    <row r="437" spans="1:18" x14ac:dyDescent="0.3">
      <c r="A437">
        <v>100432</v>
      </c>
      <c r="B437" s="8">
        <v>45309.958333333343</v>
      </c>
      <c r="C437" t="s">
        <v>15</v>
      </c>
      <c r="D437" t="s">
        <v>35</v>
      </c>
      <c r="E437" t="s">
        <v>70</v>
      </c>
      <c r="F437" t="s">
        <v>72</v>
      </c>
      <c r="G437">
        <v>5</v>
      </c>
      <c r="H437">
        <v>22.77</v>
      </c>
      <c r="I437">
        <v>5</v>
      </c>
      <c r="J437" t="s">
        <v>75</v>
      </c>
      <c r="K437" t="s">
        <v>77</v>
      </c>
      <c r="L437">
        <v>113.85</v>
      </c>
      <c r="M437">
        <v>5.6924999999999999</v>
      </c>
      <c r="N437">
        <v>108.1575</v>
      </c>
      <c r="O4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7" s="9" t="str">
        <f ca="1">IF(OR(ISNUMBER(Table13[[#This Row],[Order_Date]])=FALSE,Table13[[#This Row],[Order_Date]]&lt;DATE(2000,1,1),Table13[[#This Row],[Order_Date]]&gt;TODAY()),"YES","NO")</f>
        <v>NO</v>
      </c>
      <c r="Q437" s="9">
        <f>IF(Table13[[#This Row],[Order_Status]] = "Cancelled",0,IF(Table13[[#This Row],[Order_Status]] = "Returned",Table13[[#This Row],[Net_Sales]] * -1,Table13[[#This Row],[Net_Sales]]))</f>
        <v>108.1575</v>
      </c>
      <c r="R437" s="9" t="str">
        <f>IF(Table13[[#This Row],[Gross_Sales]]&gt;=500, "YES","NO")</f>
        <v>NO</v>
      </c>
    </row>
    <row r="438" spans="1:18" x14ac:dyDescent="0.3">
      <c r="A438">
        <v>100433</v>
      </c>
      <c r="B438" s="8">
        <v>45310</v>
      </c>
      <c r="C438" t="s">
        <v>14</v>
      </c>
      <c r="D438" t="s">
        <v>31</v>
      </c>
      <c r="E438" t="s">
        <v>66</v>
      </c>
      <c r="F438" t="s">
        <v>72</v>
      </c>
      <c r="G438">
        <v>3</v>
      </c>
      <c r="H438">
        <v>61.04</v>
      </c>
      <c r="I438">
        <v>5</v>
      </c>
      <c r="J438" t="s">
        <v>73</v>
      </c>
      <c r="K438" t="s">
        <v>77</v>
      </c>
      <c r="L438">
        <v>183.12</v>
      </c>
      <c r="M438">
        <v>9.1560000000000006</v>
      </c>
      <c r="N438">
        <v>173.964</v>
      </c>
      <c r="O4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8" s="9" t="str">
        <f ca="1">IF(OR(ISNUMBER(Table13[[#This Row],[Order_Date]])=FALSE,Table13[[#This Row],[Order_Date]]&lt;DATE(2000,1,1),Table13[[#This Row],[Order_Date]]&gt;TODAY()),"YES","NO")</f>
        <v>NO</v>
      </c>
      <c r="Q438" s="9">
        <f>IF(Table13[[#This Row],[Order_Status]] = "Cancelled",0,IF(Table13[[#This Row],[Order_Status]] = "Returned",Table13[[#This Row],[Net_Sales]] * -1,Table13[[#This Row],[Net_Sales]]))</f>
        <v>173.964</v>
      </c>
      <c r="R438" s="9" t="str">
        <f>IF(Table13[[#This Row],[Gross_Sales]]&gt;=500, "YES","NO")</f>
        <v>NO</v>
      </c>
    </row>
    <row r="439" spans="1:18" x14ac:dyDescent="0.3">
      <c r="A439">
        <v>100434</v>
      </c>
      <c r="B439" s="8">
        <v>45310.041666666657</v>
      </c>
      <c r="C439" t="s">
        <v>15</v>
      </c>
      <c r="D439" t="s">
        <v>43</v>
      </c>
      <c r="E439" t="s">
        <v>68</v>
      </c>
      <c r="F439" t="s">
        <v>71</v>
      </c>
      <c r="G439">
        <v>4</v>
      </c>
      <c r="H439">
        <v>54.45</v>
      </c>
      <c r="I439">
        <v>5</v>
      </c>
      <c r="J439" t="s">
        <v>75</v>
      </c>
      <c r="K439" t="s">
        <v>77</v>
      </c>
      <c r="L439">
        <v>217.8</v>
      </c>
      <c r="M439">
        <v>10.89</v>
      </c>
      <c r="N439">
        <v>206.91</v>
      </c>
      <c r="O4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39" s="9" t="str">
        <f ca="1">IF(OR(ISNUMBER(Table13[[#This Row],[Order_Date]])=FALSE,Table13[[#This Row],[Order_Date]]&lt;DATE(2000,1,1),Table13[[#This Row],[Order_Date]]&gt;TODAY()),"YES","NO")</f>
        <v>NO</v>
      </c>
      <c r="Q439" s="9">
        <f>IF(Table13[[#This Row],[Order_Status]] = "Cancelled",0,IF(Table13[[#This Row],[Order_Status]] = "Returned",Table13[[#This Row],[Net_Sales]] * -1,Table13[[#This Row],[Net_Sales]]))</f>
        <v>206.91</v>
      </c>
      <c r="R439" s="9" t="str">
        <f>IF(Table13[[#This Row],[Gross_Sales]]&gt;=500, "YES","NO")</f>
        <v>NO</v>
      </c>
    </row>
    <row r="440" spans="1:18" x14ac:dyDescent="0.3">
      <c r="A440">
        <v>100435</v>
      </c>
      <c r="B440" s="8">
        <v>45310.083333333343</v>
      </c>
      <c r="C440" t="s">
        <v>15</v>
      </c>
      <c r="D440" t="s">
        <v>46</v>
      </c>
      <c r="E440" t="s">
        <v>69</v>
      </c>
      <c r="F440" t="s">
        <v>71</v>
      </c>
      <c r="G440">
        <v>1</v>
      </c>
      <c r="H440">
        <v>73.64</v>
      </c>
      <c r="I440">
        <v>10</v>
      </c>
      <c r="J440" t="s">
        <v>75</v>
      </c>
      <c r="K440" t="s">
        <v>77</v>
      </c>
      <c r="L440">
        <v>73.64</v>
      </c>
      <c r="M440">
        <v>7.3640000000000008</v>
      </c>
      <c r="N440">
        <v>66.275999999999996</v>
      </c>
      <c r="O4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0" s="9" t="str">
        <f ca="1">IF(OR(ISNUMBER(Table13[[#This Row],[Order_Date]])=FALSE,Table13[[#This Row],[Order_Date]]&lt;DATE(2000,1,1),Table13[[#This Row],[Order_Date]]&gt;TODAY()),"YES","NO")</f>
        <v>NO</v>
      </c>
      <c r="Q440" s="9">
        <f>IF(Table13[[#This Row],[Order_Status]] = "Cancelled",0,IF(Table13[[#This Row],[Order_Status]] = "Returned",Table13[[#This Row],[Net_Sales]] * -1,Table13[[#This Row],[Net_Sales]]))</f>
        <v>66.275999999999996</v>
      </c>
      <c r="R440" s="9" t="str">
        <f>IF(Table13[[#This Row],[Gross_Sales]]&gt;=500, "YES","NO")</f>
        <v>NO</v>
      </c>
    </row>
    <row r="441" spans="1:18" x14ac:dyDescent="0.3">
      <c r="A441">
        <v>100436</v>
      </c>
      <c r="B441" s="8">
        <v>45310.125</v>
      </c>
      <c r="C441" t="s">
        <v>15</v>
      </c>
      <c r="D441" t="s">
        <v>64</v>
      </c>
      <c r="E441" t="s">
        <v>66</v>
      </c>
      <c r="F441" t="s">
        <v>71</v>
      </c>
      <c r="G441">
        <v>1</v>
      </c>
      <c r="H441">
        <v>119.95</v>
      </c>
      <c r="I441">
        <v>0</v>
      </c>
      <c r="J441" t="s">
        <v>75</v>
      </c>
      <c r="K441" t="s">
        <v>77</v>
      </c>
      <c r="L441">
        <v>119.95</v>
      </c>
      <c r="M441">
        <v>0</v>
      </c>
      <c r="N441">
        <v>119.95</v>
      </c>
      <c r="O4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1" s="9" t="str">
        <f ca="1">IF(OR(ISNUMBER(Table13[[#This Row],[Order_Date]])=FALSE,Table13[[#This Row],[Order_Date]]&lt;DATE(2000,1,1),Table13[[#This Row],[Order_Date]]&gt;TODAY()),"YES","NO")</f>
        <v>NO</v>
      </c>
      <c r="Q441" s="9">
        <f>IF(Table13[[#This Row],[Order_Status]] = "Cancelled",0,IF(Table13[[#This Row],[Order_Status]] = "Returned",Table13[[#This Row],[Net_Sales]] * -1,Table13[[#This Row],[Net_Sales]]))</f>
        <v>119.95</v>
      </c>
      <c r="R441" s="9" t="str">
        <f>IF(Table13[[#This Row],[Gross_Sales]]&gt;=500, "YES","NO")</f>
        <v>NO</v>
      </c>
    </row>
    <row r="442" spans="1:18" x14ac:dyDescent="0.3">
      <c r="A442">
        <v>100437</v>
      </c>
      <c r="B442" s="8">
        <v>45310.166666666657</v>
      </c>
      <c r="C442" t="s">
        <v>15</v>
      </c>
      <c r="D442" t="s">
        <v>64</v>
      </c>
      <c r="E442" t="s">
        <v>67</v>
      </c>
      <c r="F442" t="s">
        <v>72</v>
      </c>
      <c r="G442">
        <v>3</v>
      </c>
      <c r="H442">
        <v>93.49</v>
      </c>
      <c r="I442">
        <v>5</v>
      </c>
      <c r="J442" t="s">
        <v>76</v>
      </c>
      <c r="K442" t="s">
        <v>77</v>
      </c>
      <c r="L442">
        <v>280.47000000000003</v>
      </c>
      <c r="M442">
        <v>14.0235</v>
      </c>
      <c r="N442">
        <v>266.44650000000001</v>
      </c>
      <c r="O4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2" s="9" t="str">
        <f ca="1">IF(OR(ISNUMBER(Table13[[#This Row],[Order_Date]])=FALSE,Table13[[#This Row],[Order_Date]]&lt;DATE(2000,1,1),Table13[[#This Row],[Order_Date]]&gt;TODAY()),"YES","NO")</f>
        <v>NO</v>
      </c>
      <c r="Q442" s="9">
        <f>IF(Table13[[#This Row],[Order_Status]] = "Cancelled",0,IF(Table13[[#This Row],[Order_Status]] = "Returned",Table13[[#This Row],[Net_Sales]] * -1,Table13[[#This Row],[Net_Sales]]))</f>
        <v>266.44650000000001</v>
      </c>
      <c r="R442" s="9" t="str">
        <f>IF(Table13[[#This Row],[Gross_Sales]]&gt;=500, "YES","NO")</f>
        <v>NO</v>
      </c>
    </row>
    <row r="443" spans="1:18" x14ac:dyDescent="0.3">
      <c r="A443">
        <v>100438</v>
      </c>
      <c r="B443" s="8">
        <v>45310.208333333343</v>
      </c>
      <c r="C443" t="s">
        <v>15</v>
      </c>
      <c r="D443" t="s">
        <v>41</v>
      </c>
      <c r="E443" t="s">
        <v>67</v>
      </c>
      <c r="F443" t="s">
        <v>72</v>
      </c>
      <c r="G443">
        <v>5</v>
      </c>
      <c r="H443">
        <v>50.75</v>
      </c>
      <c r="I443">
        <v>10</v>
      </c>
      <c r="J443" t="s">
        <v>73</v>
      </c>
      <c r="K443" t="s">
        <v>77</v>
      </c>
      <c r="L443">
        <v>253.75</v>
      </c>
      <c r="M443">
        <v>25.375</v>
      </c>
      <c r="N443">
        <v>228.375</v>
      </c>
      <c r="O4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3" s="9" t="str">
        <f ca="1">IF(OR(ISNUMBER(Table13[[#This Row],[Order_Date]])=FALSE,Table13[[#This Row],[Order_Date]]&lt;DATE(2000,1,1),Table13[[#This Row],[Order_Date]]&gt;TODAY()),"YES","NO")</f>
        <v>NO</v>
      </c>
      <c r="Q443" s="9">
        <f>IF(Table13[[#This Row],[Order_Status]] = "Cancelled",0,IF(Table13[[#This Row],[Order_Status]] = "Returned",Table13[[#This Row],[Net_Sales]] * -1,Table13[[#This Row],[Net_Sales]]))</f>
        <v>228.375</v>
      </c>
      <c r="R443" s="9" t="str">
        <f>IF(Table13[[#This Row],[Gross_Sales]]&gt;=500, "YES","NO")</f>
        <v>NO</v>
      </c>
    </row>
    <row r="444" spans="1:18" x14ac:dyDescent="0.3">
      <c r="A444">
        <v>100439</v>
      </c>
      <c r="B444" s="8">
        <v>45310.25</v>
      </c>
      <c r="C444" t="s">
        <v>14</v>
      </c>
      <c r="D444" t="s">
        <v>62</v>
      </c>
      <c r="E444" t="s">
        <v>67</v>
      </c>
      <c r="F444" t="s">
        <v>71</v>
      </c>
      <c r="G444">
        <v>2</v>
      </c>
      <c r="H444">
        <v>100.17</v>
      </c>
      <c r="I444">
        <v>10</v>
      </c>
      <c r="J444" t="s">
        <v>75</v>
      </c>
      <c r="K444" t="s">
        <v>77</v>
      </c>
      <c r="L444">
        <v>200.34</v>
      </c>
      <c r="M444">
        <v>20.033999999999999</v>
      </c>
      <c r="N444">
        <v>180.30600000000001</v>
      </c>
      <c r="O4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4" s="9" t="str">
        <f ca="1">IF(OR(ISNUMBER(Table13[[#This Row],[Order_Date]])=FALSE,Table13[[#This Row],[Order_Date]]&lt;DATE(2000,1,1),Table13[[#This Row],[Order_Date]]&gt;TODAY()),"YES","NO")</f>
        <v>NO</v>
      </c>
      <c r="Q444" s="9">
        <f>IF(Table13[[#This Row],[Order_Status]] = "Cancelled",0,IF(Table13[[#This Row],[Order_Status]] = "Returned",Table13[[#This Row],[Net_Sales]] * -1,Table13[[#This Row],[Net_Sales]]))</f>
        <v>180.30600000000001</v>
      </c>
      <c r="R444" s="9" t="str">
        <f>IF(Table13[[#This Row],[Gross_Sales]]&gt;=500, "YES","NO")</f>
        <v>NO</v>
      </c>
    </row>
    <row r="445" spans="1:18" x14ac:dyDescent="0.3">
      <c r="A445">
        <v>100440</v>
      </c>
      <c r="B445" s="8">
        <v>45310.291666666657</v>
      </c>
      <c r="C445" t="s">
        <v>14</v>
      </c>
      <c r="D445" t="s">
        <v>43</v>
      </c>
      <c r="E445" t="s">
        <v>67</v>
      </c>
      <c r="F445" t="s">
        <v>71</v>
      </c>
      <c r="G445">
        <v>3</v>
      </c>
      <c r="H445">
        <v>24.63</v>
      </c>
      <c r="I445">
        <v>15</v>
      </c>
      <c r="J445" t="s">
        <v>76</v>
      </c>
      <c r="K445" t="s">
        <v>77</v>
      </c>
      <c r="L445">
        <v>73.89</v>
      </c>
      <c r="M445">
        <v>11.083500000000001</v>
      </c>
      <c r="N445">
        <v>62.8065</v>
      </c>
      <c r="O4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5" s="9" t="str">
        <f ca="1">IF(OR(ISNUMBER(Table13[[#This Row],[Order_Date]])=FALSE,Table13[[#This Row],[Order_Date]]&lt;DATE(2000,1,1),Table13[[#This Row],[Order_Date]]&gt;TODAY()),"YES","NO")</f>
        <v>NO</v>
      </c>
      <c r="Q445" s="9">
        <f>IF(Table13[[#This Row],[Order_Status]] = "Cancelled",0,IF(Table13[[#This Row],[Order_Status]] = "Returned",Table13[[#This Row],[Net_Sales]] * -1,Table13[[#This Row],[Net_Sales]]))</f>
        <v>62.8065</v>
      </c>
      <c r="R445" s="9" t="str">
        <f>IF(Table13[[#This Row],[Gross_Sales]]&gt;=500, "YES","NO")</f>
        <v>NO</v>
      </c>
    </row>
    <row r="446" spans="1:18" x14ac:dyDescent="0.3">
      <c r="A446">
        <v>100441</v>
      </c>
      <c r="B446" s="8">
        <v>45310.333333333343</v>
      </c>
      <c r="C446" t="s">
        <v>14</v>
      </c>
      <c r="D446" t="s">
        <v>28</v>
      </c>
      <c r="E446" t="s">
        <v>68</v>
      </c>
      <c r="F446" t="s">
        <v>71</v>
      </c>
      <c r="G446">
        <v>4</v>
      </c>
      <c r="H446">
        <v>8.5</v>
      </c>
      <c r="I446">
        <v>10</v>
      </c>
      <c r="J446" t="s">
        <v>73</v>
      </c>
      <c r="K446" t="s">
        <v>77</v>
      </c>
      <c r="L446">
        <v>34</v>
      </c>
      <c r="M446">
        <v>3.4</v>
      </c>
      <c r="N446">
        <v>30.6</v>
      </c>
      <c r="O4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6" s="9" t="str">
        <f ca="1">IF(OR(ISNUMBER(Table13[[#This Row],[Order_Date]])=FALSE,Table13[[#This Row],[Order_Date]]&lt;DATE(2000,1,1),Table13[[#This Row],[Order_Date]]&gt;TODAY()),"YES","NO")</f>
        <v>NO</v>
      </c>
      <c r="Q446" s="9">
        <f>IF(Table13[[#This Row],[Order_Status]] = "Cancelled",0,IF(Table13[[#This Row],[Order_Status]] = "Returned",Table13[[#This Row],[Net_Sales]] * -1,Table13[[#This Row],[Net_Sales]]))</f>
        <v>30.6</v>
      </c>
      <c r="R446" s="9" t="str">
        <f>IF(Table13[[#This Row],[Gross_Sales]]&gt;=500, "YES","NO")</f>
        <v>NO</v>
      </c>
    </row>
    <row r="447" spans="1:18" x14ac:dyDescent="0.3">
      <c r="A447">
        <v>100442</v>
      </c>
      <c r="B447" s="8">
        <v>45310.375</v>
      </c>
      <c r="C447" t="s">
        <v>15</v>
      </c>
      <c r="D447" t="s">
        <v>19</v>
      </c>
      <c r="E447" t="s">
        <v>69</v>
      </c>
      <c r="F447" t="s">
        <v>72</v>
      </c>
      <c r="G447">
        <v>4</v>
      </c>
      <c r="H447">
        <v>28.51</v>
      </c>
      <c r="I447">
        <v>0</v>
      </c>
      <c r="J447" t="s">
        <v>74</v>
      </c>
      <c r="K447" t="s">
        <v>77</v>
      </c>
      <c r="L447">
        <v>114.04</v>
      </c>
      <c r="M447">
        <v>0</v>
      </c>
      <c r="N447">
        <v>114.04</v>
      </c>
      <c r="O4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7" s="9" t="str">
        <f ca="1">IF(OR(ISNUMBER(Table13[[#This Row],[Order_Date]])=FALSE,Table13[[#This Row],[Order_Date]]&lt;DATE(2000,1,1),Table13[[#This Row],[Order_Date]]&gt;TODAY()),"YES","NO")</f>
        <v>NO</v>
      </c>
      <c r="Q447" s="9">
        <f>IF(Table13[[#This Row],[Order_Status]] = "Cancelled",0,IF(Table13[[#This Row],[Order_Status]] = "Returned",Table13[[#This Row],[Net_Sales]] * -1,Table13[[#This Row],[Net_Sales]]))</f>
        <v>114.04</v>
      </c>
      <c r="R447" s="9" t="str">
        <f>IF(Table13[[#This Row],[Gross_Sales]]&gt;=500, "YES","NO")</f>
        <v>NO</v>
      </c>
    </row>
    <row r="448" spans="1:18" x14ac:dyDescent="0.3">
      <c r="A448">
        <v>100443</v>
      </c>
      <c r="B448" s="8">
        <v>45310.416666666657</v>
      </c>
      <c r="C448" t="s">
        <v>14</v>
      </c>
      <c r="D448" t="s">
        <v>39</v>
      </c>
      <c r="E448" t="s">
        <v>70</v>
      </c>
      <c r="F448" t="s">
        <v>72</v>
      </c>
      <c r="G448">
        <v>1</v>
      </c>
      <c r="H448">
        <v>44.15</v>
      </c>
      <c r="I448">
        <v>5</v>
      </c>
      <c r="J448" t="s">
        <v>75</v>
      </c>
      <c r="K448" t="s">
        <v>77</v>
      </c>
      <c r="L448">
        <v>44.15</v>
      </c>
      <c r="M448">
        <v>2.2075</v>
      </c>
      <c r="N448">
        <v>41.942500000000003</v>
      </c>
      <c r="O4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48" s="9" t="str">
        <f ca="1">IF(OR(ISNUMBER(Table13[[#This Row],[Order_Date]])=FALSE,Table13[[#This Row],[Order_Date]]&lt;DATE(2000,1,1),Table13[[#This Row],[Order_Date]]&gt;TODAY()),"YES","NO")</f>
        <v>NO</v>
      </c>
      <c r="Q448" s="9">
        <f>IF(Table13[[#This Row],[Order_Status]] = "Cancelled",0,IF(Table13[[#This Row],[Order_Status]] = "Returned",Table13[[#This Row],[Net_Sales]] * -1,Table13[[#This Row],[Net_Sales]]))</f>
        <v>41.942500000000003</v>
      </c>
      <c r="R448" s="9" t="str">
        <f>IF(Table13[[#This Row],[Gross_Sales]]&gt;=500, "YES","NO")</f>
        <v>NO</v>
      </c>
    </row>
    <row r="449" spans="1:18" x14ac:dyDescent="0.3">
      <c r="A449">
        <v>100444</v>
      </c>
      <c r="B449" s="8">
        <v>45310.458333333343</v>
      </c>
      <c r="C449" t="s">
        <v>15</v>
      </c>
      <c r="D449" t="s">
        <v>32</v>
      </c>
      <c r="E449" t="s">
        <v>68</v>
      </c>
      <c r="F449" t="s">
        <v>71</v>
      </c>
      <c r="G449">
        <v>4</v>
      </c>
      <c r="H449">
        <v>63.72</v>
      </c>
      <c r="I449">
        <v>10</v>
      </c>
      <c r="J449" t="s">
        <v>73</v>
      </c>
      <c r="K449" t="s">
        <v>78</v>
      </c>
      <c r="L449">
        <v>254.88</v>
      </c>
      <c r="M449">
        <v>25.488</v>
      </c>
      <c r="N449">
        <v>229.392</v>
      </c>
      <c r="O4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49" s="9" t="str">
        <f ca="1">IF(OR(ISNUMBER(Table13[[#This Row],[Order_Date]])=FALSE,Table13[[#This Row],[Order_Date]]&lt;DATE(2000,1,1),Table13[[#This Row],[Order_Date]]&gt;TODAY()),"YES","NO")</f>
        <v>NO</v>
      </c>
      <c r="Q449" s="9">
        <f>IF(Table13[[#This Row],[Order_Status]] = "Cancelled",0,IF(Table13[[#This Row],[Order_Status]] = "Returned",Table13[[#This Row],[Net_Sales]] * -1,Table13[[#This Row],[Net_Sales]]))</f>
        <v>-229.392</v>
      </c>
      <c r="R449" s="9" t="str">
        <f>IF(Table13[[#This Row],[Gross_Sales]]&gt;=500, "YES","NO")</f>
        <v>NO</v>
      </c>
    </row>
    <row r="450" spans="1:18" x14ac:dyDescent="0.3">
      <c r="A450">
        <v>100445</v>
      </c>
      <c r="B450" s="8">
        <v>45310.5</v>
      </c>
      <c r="C450" t="s">
        <v>15</v>
      </c>
      <c r="D450" t="s">
        <v>54</v>
      </c>
      <c r="E450" t="s">
        <v>68</v>
      </c>
      <c r="F450" t="s">
        <v>71</v>
      </c>
      <c r="G450">
        <v>3</v>
      </c>
      <c r="H450">
        <v>75.739999999999995</v>
      </c>
      <c r="I450">
        <v>0</v>
      </c>
      <c r="J450" t="s">
        <v>75</v>
      </c>
      <c r="K450" t="s">
        <v>79</v>
      </c>
      <c r="L450">
        <v>227.22</v>
      </c>
      <c r="M450">
        <v>0</v>
      </c>
      <c r="N450">
        <v>227.22</v>
      </c>
      <c r="O4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50" s="9" t="str">
        <f ca="1">IF(OR(ISNUMBER(Table13[[#This Row],[Order_Date]])=FALSE,Table13[[#This Row],[Order_Date]]&lt;DATE(2000,1,1),Table13[[#This Row],[Order_Date]]&gt;TODAY()),"YES","NO")</f>
        <v>NO</v>
      </c>
      <c r="Q450" s="9">
        <f>IF(Table13[[#This Row],[Order_Status]] = "Cancelled",0,IF(Table13[[#This Row],[Order_Status]] = "Returned",Table13[[#This Row],[Net_Sales]] * -1,Table13[[#This Row],[Net_Sales]]))</f>
        <v>0</v>
      </c>
      <c r="R450" s="9" t="str">
        <f>IF(Table13[[#This Row],[Gross_Sales]]&gt;=500, "YES","NO")</f>
        <v>NO</v>
      </c>
    </row>
    <row r="451" spans="1:18" x14ac:dyDescent="0.3">
      <c r="A451">
        <v>100446</v>
      </c>
      <c r="B451" s="8">
        <v>45310.541666666657</v>
      </c>
      <c r="C451" t="s">
        <v>14</v>
      </c>
      <c r="D451" t="s">
        <v>47</v>
      </c>
      <c r="E451" t="s">
        <v>70</v>
      </c>
      <c r="F451" t="s">
        <v>71</v>
      </c>
      <c r="G451">
        <v>4</v>
      </c>
      <c r="H451">
        <v>109.72</v>
      </c>
      <c r="I451">
        <v>10</v>
      </c>
      <c r="J451" t="s">
        <v>74</v>
      </c>
      <c r="K451" t="s">
        <v>77</v>
      </c>
      <c r="L451">
        <v>438.88</v>
      </c>
      <c r="M451">
        <v>43.888000000000012</v>
      </c>
      <c r="N451">
        <v>394.99200000000002</v>
      </c>
      <c r="O4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1" s="9" t="str">
        <f ca="1">IF(OR(ISNUMBER(Table13[[#This Row],[Order_Date]])=FALSE,Table13[[#This Row],[Order_Date]]&lt;DATE(2000,1,1),Table13[[#This Row],[Order_Date]]&gt;TODAY()),"YES","NO")</f>
        <v>NO</v>
      </c>
      <c r="Q451" s="9">
        <f>IF(Table13[[#This Row],[Order_Status]] = "Cancelled",0,IF(Table13[[#This Row],[Order_Status]] = "Returned",Table13[[#This Row],[Net_Sales]] * -1,Table13[[#This Row],[Net_Sales]]))</f>
        <v>394.99200000000002</v>
      </c>
      <c r="R451" s="9" t="str">
        <f>IF(Table13[[#This Row],[Gross_Sales]]&gt;=500, "YES","NO")</f>
        <v>NO</v>
      </c>
    </row>
    <row r="452" spans="1:18" x14ac:dyDescent="0.3">
      <c r="A452">
        <v>100447</v>
      </c>
      <c r="B452" s="8">
        <v>45310.583333333343</v>
      </c>
      <c r="C452" t="s">
        <v>14</v>
      </c>
      <c r="D452" t="s">
        <v>26</v>
      </c>
      <c r="E452" t="s">
        <v>70</v>
      </c>
      <c r="F452" t="s">
        <v>72</v>
      </c>
      <c r="G452">
        <v>3</v>
      </c>
      <c r="H452">
        <v>63.63</v>
      </c>
      <c r="I452">
        <v>10</v>
      </c>
      <c r="J452" t="s">
        <v>73</v>
      </c>
      <c r="K452" t="s">
        <v>77</v>
      </c>
      <c r="L452">
        <v>190.89</v>
      </c>
      <c r="M452">
        <v>19.088999999999999</v>
      </c>
      <c r="N452">
        <v>171.80099999999999</v>
      </c>
      <c r="O4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2" s="9" t="str">
        <f ca="1">IF(OR(ISNUMBER(Table13[[#This Row],[Order_Date]])=FALSE,Table13[[#This Row],[Order_Date]]&lt;DATE(2000,1,1),Table13[[#This Row],[Order_Date]]&gt;TODAY()),"YES","NO")</f>
        <v>NO</v>
      </c>
      <c r="Q452" s="9">
        <f>IF(Table13[[#This Row],[Order_Status]] = "Cancelled",0,IF(Table13[[#This Row],[Order_Status]] = "Returned",Table13[[#This Row],[Net_Sales]] * -1,Table13[[#This Row],[Net_Sales]]))</f>
        <v>171.80099999999999</v>
      </c>
      <c r="R452" s="9" t="str">
        <f>IF(Table13[[#This Row],[Gross_Sales]]&gt;=500, "YES","NO")</f>
        <v>NO</v>
      </c>
    </row>
    <row r="453" spans="1:18" x14ac:dyDescent="0.3">
      <c r="A453">
        <v>100448</v>
      </c>
      <c r="B453" s="8">
        <v>45310.625</v>
      </c>
      <c r="C453" t="s">
        <v>15</v>
      </c>
      <c r="D453" t="s">
        <v>55</v>
      </c>
      <c r="E453" t="s">
        <v>67</v>
      </c>
      <c r="F453" t="s">
        <v>72</v>
      </c>
      <c r="G453">
        <v>2</v>
      </c>
      <c r="H453">
        <v>62.65</v>
      </c>
      <c r="I453">
        <v>10</v>
      </c>
      <c r="J453" t="s">
        <v>76</v>
      </c>
      <c r="K453" t="s">
        <v>77</v>
      </c>
      <c r="L453">
        <v>125.3</v>
      </c>
      <c r="M453">
        <v>12.53</v>
      </c>
      <c r="N453">
        <v>112.77</v>
      </c>
      <c r="O4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3" s="9" t="str">
        <f ca="1">IF(OR(ISNUMBER(Table13[[#This Row],[Order_Date]])=FALSE,Table13[[#This Row],[Order_Date]]&lt;DATE(2000,1,1),Table13[[#This Row],[Order_Date]]&gt;TODAY()),"YES","NO")</f>
        <v>NO</v>
      </c>
      <c r="Q453" s="9">
        <f>IF(Table13[[#This Row],[Order_Status]] = "Cancelled",0,IF(Table13[[#This Row],[Order_Status]] = "Returned",Table13[[#This Row],[Net_Sales]] * -1,Table13[[#This Row],[Net_Sales]]))</f>
        <v>112.77</v>
      </c>
      <c r="R453" s="9" t="str">
        <f>IF(Table13[[#This Row],[Gross_Sales]]&gt;=500, "YES","NO")</f>
        <v>NO</v>
      </c>
    </row>
    <row r="454" spans="1:18" x14ac:dyDescent="0.3">
      <c r="A454">
        <v>100449</v>
      </c>
      <c r="B454" s="8">
        <v>45310.666666666657</v>
      </c>
      <c r="C454" t="s">
        <v>14</v>
      </c>
      <c r="D454" t="s">
        <v>49</v>
      </c>
      <c r="E454" t="s">
        <v>68</v>
      </c>
      <c r="F454" t="s">
        <v>72</v>
      </c>
      <c r="G454">
        <v>1</v>
      </c>
      <c r="H454">
        <v>10.78</v>
      </c>
      <c r="I454">
        <v>10</v>
      </c>
      <c r="J454" t="s">
        <v>73</v>
      </c>
      <c r="K454" t="s">
        <v>77</v>
      </c>
      <c r="L454">
        <v>10.78</v>
      </c>
      <c r="M454">
        <v>1.0780000000000001</v>
      </c>
      <c r="N454">
        <v>9.702</v>
      </c>
      <c r="O4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4" s="9" t="str">
        <f ca="1">IF(OR(ISNUMBER(Table13[[#This Row],[Order_Date]])=FALSE,Table13[[#This Row],[Order_Date]]&lt;DATE(2000,1,1),Table13[[#This Row],[Order_Date]]&gt;TODAY()),"YES","NO")</f>
        <v>NO</v>
      </c>
      <c r="Q454" s="9">
        <f>IF(Table13[[#This Row],[Order_Status]] = "Cancelled",0,IF(Table13[[#This Row],[Order_Status]] = "Returned",Table13[[#This Row],[Net_Sales]] * -1,Table13[[#This Row],[Net_Sales]]))</f>
        <v>9.702</v>
      </c>
      <c r="R454" s="9" t="str">
        <f>IF(Table13[[#This Row],[Gross_Sales]]&gt;=500, "YES","NO")</f>
        <v>NO</v>
      </c>
    </row>
    <row r="455" spans="1:18" x14ac:dyDescent="0.3">
      <c r="A455">
        <v>100450</v>
      </c>
      <c r="B455" s="8">
        <v>45310.708333333343</v>
      </c>
      <c r="C455" t="s">
        <v>15</v>
      </c>
      <c r="D455" t="s">
        <v>29</v>
      </c>
      <c r="E455" t="s">
        <v>66</v>
      </c>
      <c r="F455" t="s">
        <v>71</v>
      </c>
      <c r="G455">
        <v>4</v>
      </c>
      <c r="H455">
        <v>9.01</v>
      </c>
      <c r="I455">
        <v>10</v>
      </c>
      <c r="J455" t="s">
        <v>76</v>
      </c>
      <c r="K455" t="s">
        <v>77</v>
      </c>
      <c r="L455">
        <v>36.04</v>
      </c>
      <c r="M455">
        <v>3.6040000000000001</v>
      </c>
      <c r="N455">
        <v>32.436</v>
      </c>
      <c r="O4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5" s="9" t="str">
        <f ca="1">IF(OR(ISNUMBER(Table13[[#This Row],[Order_Date]])=FALSE,Table13[[#This Row],[Order_Date]]&lt;DATE(2000,1,1),Table13[[#This Row],[Order_Date]]&gt;TODAY()),"YES","NO")</f>
        <v>NO</v>
      </c>
      <c r="Q455" s="9">
        <f>IF(Table13[[#This Row],[Order_Status]] = "Cancelled",0,IF(Table13[[#This Row],[Order_Status]] = "Returned",Table13[[#This Row],[Net_Sales]] * -1,Table13[[#This Row],[Net_Sales]]))</f>
        <v>32.436</v>
      </c>
      <c r="R455" s="9" t="str">
        <f>IF(Table13[[#This Row],[Gross_Sales]]&gt;=500, "YES","NO")</f>
        <v>NO</v>
      </c>
    </row>
    <row r="456" spans="1:18" x14ac:dyDescent="0.3">
      <c r="A456">
        <v>100451</v>
      </c>
      <c r="B456" s="8">
        <v>45310.75</v>
      </c>
      <c r="C456" t="s">
        <v>15</v>
      </c>
      <c r="D456" t="s">
        <v>41</v>
      </c>
      <c r="E456" t="s">
        <v>70</v>
      </c>
      <c r="F456" t="s">
        <v>71</v>
      </c>
      <c r="G456">
        <v>3</v>
      </c>
      <c r="H456">
        <v>68.38</v>
      </c>
      <c r="I456">
        <v>0</v>
      </c>
      <c r="J456" t="s">
        <v>73</v>
      </c>
      <c r="K456" t="s">
        <v>77</v>
      </c>
      <c r="L456">
        <v>205.14</v>
      </c>
      <c r="M456">
        <v>0</v>
      </c>
      <c r="N456">
        <v>205.14</v>
      </c>
      <c r="O4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6" s="9" t="str">
        <f ca="1">IF(OR(ISNUMBER(Table13[[#This Row],[Order_Date]])=FALSE,Table13[[#This Row],[Order_Date]]&lt;DATE(2000,1,1),Table13[[#This Row],[Order_Date]]&gt;TODAY()),"YES","NO")</f>
        <v>NO</v>
      </c>
      <c r="Q456" s="9">
        <f>IF(Table13[[#This Row],[Order_Status]] = "Cancelled",0,IF(Table13[[#This Row],[Order_Status]] = "Returned",Table13[[#This Row],[Net_Sales]] * -1,Table13[[#This Row],[Net_Sales]]))</f>
        <v>205.14</v>
      </c>
      <c r="R456" s="9" t="str">
        <f>IF(Table13[[#This Row],[Gross_Sales]]&gt;=500, "YES","NO")</f>
        <v>NO</v>
      </c>
    </row>
    <row r="457" spans="1:18" x14ac:dyDescent="0.3">
      <c r="A457">
        <v>100452</v>
      </c>
      <c r="B457" s="8">
        <v>45310.791666666657</v>
      </c>
      <c r="C457" t="s">
        <v>15</v>
      </c>
      <c r="D457" t="s">
        <v>24</v>
      </c>
      <c r="E457" t="s">
        <v>70</v>
      </c>
      <c r="F457" t="s">
        <v>72</v>
      </c>
      <c r="G457">
        <v>5</v>
      </c>
      <c r="H457">
        <v>55.39</v>
      </c>
      <c r="I457">
        <v>5</v>
      </c>
      <c r="J457" t="s">
        <v>76</v>
      </c>
      <c r="K457" t="s">
        <v>77</v>
      </c>
      <c r="L457">
        <v>276.95</v>
      </c>
      <c r="M457">
        <v>13.8475</v>
      </c>
      <c r="N457">
        <v>263.10250000000002</v>
      </c>
      <c r="O4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7" s="9" t="str">
        <f ca="1">IF(OR(ISNUMBER(Table13[[#This Row],[Order_Date]])=FALSE,Table13[[#This Row],[Order_Date]]&lt;DATE(2000,1,1),Table13[[#This Row],[Order_Date]]&gt;TODAY()),"YES","NO")</f>
        <v>NO</v>
      </c>
      <c r="Q457" s="9">
        <f>IF(Table13[[#This Row],[Order_Status]] = "Cancelled",0,IF(Table13[[#This Row],[Order_Status]] = "Returned",Table13[[#This Row],[Net_Sales]] * -1,Table13[[#This Row],[Net_Sales]]))</f>
        <v>263.10250000000002</v>
      </c>
      <c r="R457" s="9" t="str">
        <f>IF(Table13[[#This Row],[Gross_Sales]]&gt;=500, "YES","NO")</f>
        <v>NO</v>
      </c>
    </row>
    <row r="458" spans="1:18" x14ac:dyDescent="0.3">
      <c r="A458">
        <v>100453</v>
      </c>
      <c r="B458" s="8">
        <v>45310.833333333343</v>
      </c>
      <c r="C458" t="s">
        <v>15</v>
      </c>
      <c r="D458" t="s">
        <v>62</v>
      </c>
      <c r="E458" t="s">
        <v>69</v>
      </c>
      <c r="F458" t="s">
        <v>71</v>
      </c>
      <c r="G458">
        <v>1</v>
      </c>
      <c r="H458">
        <v>101.51</v>
      </c>
      <c r="I458">
        <v>5</v>
      </c>
      <c r="J458" t="s">
        <v>74</v>
      </c>
      <c r="K458" t="s">
        <v>77</v>
      </c>
      <c r="L458">
        <v>101.51</v>
      </c>
      <c r="M458">
        <v>5.0755000000000008</v>
      </c>
      <c r="N458">
        <v>96.4345</v>
      </c>
      <c r="O4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8" s="9" t="str">
        <f ca="1">IF(OR(ISNUMBER(Table13[[#This Row],[Order_Date]])=FALSE,Table13[[#This Row],[Order_Date]]&lt;DATE(2000,1,1),Table13[[#This Row],[Order_Date]]&gt;TODAY()),"YES","NO")</f>
        <v>NO</v>
      </c>
      <c r="Q458" s="9">
        <f>IF(Table13[[#This Row],[Order_Status]] = "Cancelled",0,IF(Table13[[#This Row],[Order_Status]] = "Returned",Table13[[#This Row],[Net_Sales]] * -1,Table13[[#This Row],[Net_Sales]]))</f>
        <v>96.4345</v>
      </c>
      <c r="R458" s="9" t="str">
        <f>IF(Table13[[#This Row],[Gross_Sales]]&gt;=500, "YES","NO")</f>
        <v>NO</v>
      </c>
    </row>
    <row r="459" spans="1:18" x14ac:dyDescent="0.3">
      <c r="A459">
        <v>100454</v>
      </c>
      <c r="B459" s="8">
        <v>45310.875</v>
      </c>
      <c r="C459" t="s">
        <v>15</v>
      </c>
      <c r="D459" t="s">
        <v>57</v>
      </c>
      <c r="E459" t="s">
        <v>66</v>
      </c>
      <c r="F459" t="s">
        <v>72</v>
      </c>
      <c r="G459">
        <v>2</v>
      </c>
      <c r="H459">
        <v>23.48</v>
      </c>
      <c r="I459">
        <v>5</v>
      </c>
      <c r="J459" t="s">
        <v>74</v>
      </c>
      <c r="K459" t="s">
        <v>77</v>
      </c>
      <c r="L459">
        <v>46.96</v>
      </c>
      <c r="M459">
        <v>2.3479999999999999</v>
      </c>
      <c r="N459">
        <v>44.612000000000002</v>
      </c>
      <c r="O4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59" s="9" t="str">
        <f ca="1">IF(OR(ISNUMBER(Table13[[#This Row],[Order_Date]])=FALSE,Table13[[#This Row],[Order_Date]]&lt;DATE(2000,1,1),Table13[[#This Row],[Order_Date]]&gt;TODAY()),"YES","NO")</f>
        <v>NO</v>
      </c>
      <c r="Q459" s="9">
        <f>IF(Table13[[#This Row],[Order_Status]] = "Cancelled",0,IF(Table13[[#This Row],[Order_Status]] = "Returned",Table13[[#This Row],[Net_Sales]] * -1,Table13[[#This Row],[Net_Sales]]))</f>
        <v>44.612000000000002</v>
      </c>
      <c r="R459" s="9" t="str">
        <f>IF(Table13[[#This Row],[Gross_Sales]]&gt;=500, "YES","NO")</f>
        <v>NO</v>
      </c>
    </row>
    <row r="460" spans="1:18" x14ac:dyDescent="0.3">
      <c r="A460">
        <v>100455</v>
      </c>
      <c r="B460" s="8">
        <v>45310.916666666657</v>
      </c>
      <c r="C460" t="s">
        <v>14</v>
      </c>
      <c r="D460" t="s">
        <v>41</v>
      </c>
      <c r="E460" t="s">
        <v>66</v>
      </c>
      <c r="F460" t="s">
        <v>71</v>
      </c>
      <c r="G460">
        <v>3</v>
      </c>
      <c r="H460">
        <v>7.87</v>
      </c>
      <c r="I460">
        <v>5</v>
      </c>
      <c r="J460" t="s">
        <v>74</v>
      </c>
      <c r="K460" t="s">
        <v>77</v>
      </c>
      <c r="L460">
        <v>23.61</v>
      </c>
      <c r="M460">
        <v>1.1805000000000001</v>
      </c>
      <c r="N460">
        <v>22.429500000000001</v>
      </c>
      <c r="O4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0" s="9" t="str">
        <f ca="1">IF(OR(ISNUMBER(Table13[[#This Row],[Order_Date]])=FALSE,Table13[[#This Row],[Order_Date]]&lt;DATE(2000,1,1),Table13[[#This Row],[Order_Date]]&gt;TODAY()),"YES","NO")</f>
        <v>NO</v>
      </c>
      <c r="Q460" s="9">
        <f>IF(Table13[[#This Row],[Order_Status]] = "Cancelled",0,IF(Table13[[#This Row],[Order_Status]] = "Returned",Table13[[#This Row],[Net_Sales]] * -1,Table13[[#This Row],[Net_Sales]]))</f>
        <v>22.429500000000001</v>
      </c>
      <c r="R460" s="9" t="str">
        <f>IF(Table13[[#This Row],[Gross_Sales]]&gt;=500, "YES","NO")</f>
        <v>NO</v>
      </c>
    </row>
    <row r="461" spans="1:18" x14ac:dyDescent="0.3">
      <c r="A461">
        <v>100456</v>
      </c>
      <c r="B461" s="8">
        <v>45310.958333333343</v>
      </c>
      <c r="C461" t="s">
        <v>14</v>
      </c>
      <c r="D461" t="s">
        <v>20</v>
      </c>
      <c r="E461" t="s">
        <v>70</v>
      </c>
      <c r="F461" t="s">
        <v>71</v>
      </c>
      <c r="G461">
        <v>2</v>
      </c>
      <c r="H461">
        <v>56.64</v>
      </c>
      <c r="I461">
        <v>0</v>
      </c>
      <c r="J461" t="s">
        <v>73</v>
      </c>
      <c r="K461" t="s">
        <v>77</v>
      </c>
      <c r="L461">
        <v>113.28</v>
      </c>
      <c r="M461">
        <v>0</v>
      </c>
      <c r="N461">
        <v>113.28</v>
      </c>
      <c r="O4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1" s="9" t="str">
        <f ca="1">IF(OR(ISNUMBER(Table13[[#This Row],[Order_Date]])=FALSE,Table13[[#This Row],[Order_Date]]&lt;DATE(2000,1,1),Table13[[#This Row],[Order_Date]]&gt;TODAY()),"YES","NO")</f>
        <v>NO</v>
      </c>
      <c r="Q461" s="9">
        <f>IF(Table13[[#This Row],[Order_Status]] = "Cancelled",0,IF(Table13[[#This Row],[Order_Status]] = "Returned",Table13[[#This Row],[Net_Sales]] * -1,Table13[[#This Row],[Net_Sales]]))</f>
        <v>113.28</v>
      </c>
      <c r="R461" s="9" t="str">
        <f>IF(Table13[[#This Row],[Gross_Sales]]&gt;=500, "YES","NO")</f>
        <v>NO</v>
      </c>
    </row>
    <row r="462" spans="1:18" x14ac:dyDescent="0.3">
      <c r="A462">
        <v>100457</v>
      </c>
      <c r="B462" s="8">
        <v>45311</v>
      </c>
      <c r="C462" t="s">
        <v>15</v>
      </c>
      <c r="D462" t="s">
        <v>54</v>
      </c>
      <c r="E462" t="s">
        <v>67</v>
      </c>
      <c r="F462" t="s">
        <v>71</v>
      </c>
      <c r="G462">
        <v>2</v>
      </c>
      <c r="H462">
        <v>32.31</v>
      </c>
      <c r="I462">
        <v>15</v>
      </c>
      <c r="J462" t="s">
        <v>74</v>
      </c>
      <c r="K462" t="s">
        <v>78</v>
      </c>
      <c r="L462">
        <v>64.62</v>
      </c>
      <c r="M462">
        <v>9.6929999999999996</v>
      </c>
      <c r="N462">
        <v>54.927000000000007</v>
      </c>
      <c r="O4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62" s="9" t="str">
        <f ca="1">IF(OR(ISNUMBER(Table13[[#This Row],[Order_Date]])=FALSE,Table13[[#This Row],[Order_Date]]&lt;DATE(2000,1,1),Table13[[#This Row],[Order_Date]]&gt;TODAY()),"YES","NO")</f>
        <v>NO</v>
      </c>
      <c r="Q462" s="9">
        <f>IF(Table13[[#This Row],[Order_Status]] = "Cancelled",0,IF(Table13[[#This Row],[Order_Status]] = "Returned",Table13[[#This Row],[Net_Sales]] * -1,Table13[[#This Row],[Net_Sales]]))</f>
        <v>-54.927000000000007</v>
      </c>
      <c r="R462" s="9" t="str">
        <f>IF(Table13[[#This Row],[Gross_Sales]]&gt;=500, "YES","NO")</f>
        <v>NO</v>
      </c>
    </row>
    <row r="463" spans="1:18" x14ac:dyDescent="0.3">
      <c r="A463">
        <v>100458</v>
      </c>
      <c r="B463" s="8">
        <v>45311.041666666657</v>
      </c>
      <c r="C463" t="s">
        <v>15</v>
      </c>
      <c r="D463" t="s">
        <v>27</v>
      </c>
      <c r="E463" t="s">
        <v>69</v>
      </c>
      <c r="F463" t="s">
        <v>71</v>
      </c>
      <c r="G463">
        <v>4</v>
      </c>
      <c r="H463">
        <v>10.71</v>
      </c>
      <c r="I463">
        <v>15</v>
      </c>
      <c r="J463" t="s">
        <v>75</v>
      </c>
      <c r="K463" t="s">
        <v>77</v>
      </c>
      <c r="L463">
        <v>42.84</v>
      </c>
      <c r="M463">
        <v>6.4260000000000002</v>
      </c>
      <c r="N463">
        <v>36.414000000000001</v>
      </c>
      <c r="O4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3" s="9" t="str">
        <f ca="1">IF(OR(ISNUMBER(Table13[[#This Row],[Order_Date]])=FALSE,Table13[[#This Row],[Order_Date]]&lt;DATE(2000,1,1),Table13[[#This Row],[Order_Date]]&gt;TODAY()),"YES","NO")</f>
        <v>NO</v>
      </c>
      <c r="Q463" s="9">
        <f>IF(Table13[[#This Row],[Order_Status]] = "Cancelled",0,IF(Table13[[#This Row],[Order_Status]] = "Returned",Table13[[#This Row],[Net_Sales]] * -1,Table13[[#This Row],[Net_Sales]]))</f>
        <v>36.414000000000001</v>
      </c>
      <c r="R463" s="9" t="str">
        <f>IF(Table13[[#This Row],[Gross_Sales]]&gt;=500, "YES","NO")</f>
        <v>NO</v>
      </c>
    </row>
    <row r="464" spans="1:18" x14ac:dyDescent="0.3">
      <c r="A464">
        <v>100459</v>
      </c>
      <c r="B464" s="8">
        <v>45311.083333333343</v>
      </c>
      <c r="C464" t="s">
        <v>14</v>
      </c>
      <c r="D464" t="s">
        <v>30</v>
      </c>
      <c r="E464" t="s">
        <v>66</v>
      </c>
      <c r="F464" t="s">
        <v>72</v>
      </c>
      <c r="G464">
        <v>4</v>
      </c>
      <c r="H464">
        <v>88.33</v>
      </c>
      <c r="I464">
        <v>0</v>
      </c>
      <c r="J464" t="s">
        <v>74</v>
      </c>
      <c r="K464" t="s">
        <v>77</v>
      </c>
      <c r="L464">
        <v>353.32</v>
      </c>
      <c r="M464">
        <v>0</v>
      </c>
      <c r="N464">
        <v>353.32</v>
      </c>
      <c r="O4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4" s="9" t="str">
        <f ca="1">IF(OR(ISNUMBER(Table13[[#This Row],[Order_Date]])=FALSE,Table13[[#This Row],[Order_Date]]&lt;DATE(2000,1,1),Table13[[#This Row],[Order_Date]]&gt;TODAY()),"YES","NO")</f>
        <v>NO</v>
      </c>
      <c r="Q464" s="9">
        <f>IF(Table13[[#This Row],[Order_Status]] = "Cancelled",0,IF(Table13[[#This Row],[Order_Status]] = "Returned",Table13[[#This Row],[Net_Sales]] * -1,Table13[[#This Row],[Net_Sales]]))</f>
        <v>353.32</v>
      </c>
      <c r="R464" s="9" t="str">
        <f>IF(Table13[[#This Row],[Gross_Sales]]&gt;=500, "YES","NO")</f>
        <v>NO</v>
      </c>
    </row>
    <row r="465" spans="1:18" x14ac:dyDescent="0.3">
      <c r="A465">
        <v>100460</v>
      </c>
      <c r="B465" s="8">
        <v>45311.125</v>
      </c>
      <c r="C465" t="s">
        <v>14</v>
      </c>
      <c r="D465" t="s">
        <v>18</v>
      </c>
      <c r="E465" t="s">
        <v>70</v>
      </c>
      <c r="F465" t="s">
        <v>71</v>
      </c>
      <c r="G465">
        <v>3</v>
      </c>
      <c r="H465">
        <v>17.829999999999998</v>
      </c>
      <c r="I465">
        <v>0</v>
      </c>
      <c r="J465" t="s">
        <v>76</v>
      </c>
      <c r="K465" t="s">
        <v>77</v>
      </c>
      <c r="L465">
        <v>53.489999999999988</v>
      </c>
      <c r="M465">
        <v>0</v>
      </c>
      <c r="N465">
        <v>53.489999999999988</v>
      </c>
      <c r="O4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5" s="9" t="str">
        <f ca="1">IF(OR(ISNUMBER(Table13[[#This Row],[Order_Date]])=FALSE,Table13[[#This Row],[Order_Date]]&lt;DATE(2000,1,1),Table13[[#This Row],[Order_Date]]&gt;TODAY()),"YES","NO")</f>
        <v>NO</v>
      </c>
      <c r="Q465" s="9">
        <f>IF(Table13[[#This Row],[Order_Status]] = "Cancelled",0,IF(Table13[[#This Row],[Order_Status]] = "Returned",Table13[[#This Row],[Net_Sales]] * -1,Table13[[#This Row],[Net_Sales]]))</f>
        <v>53.489999999999988</v>
      </c>
      <c r="R465" s="9" t="str">
        <f>IF(Table13[[#This Row],[Gross_Sales]]&gt;=500, "YES","NO")</f>
        <v>NO</v>
      </c>
    </row>
    <row r="466" spans="1:18" x14ac:dyDescent="0.3">
      <c r="A466">
        <v>100461</v>
      </c>
      <c r="B466" s="8">
        <v>45311.166666666657</v>
      </c>
      <c r="C466" t="s">
        <v>15</v>
      </c>
      <c r="D466" t="s">
        <v>29</v>
      </c>
      <c r="E466" t="s">
        <v>66</v>
      </c>
      <c r="F466" t="s">
        <v>72</v>
      </c>
      <c r="G466">
        <v>5</v>
      </c>
      <c r="H466">
        <v>74.959999999999994</v>
      </c>
      <c r="I466">
        <v>10</v>
      </c>
      <c r="J466" t="s">
        <v>76</v>
      </c>
      <c r="K466" t="s">
        <v>79</v>
      </c>
      <c r="L466">
        <v>374.8</v>
      </c>
      <c r="M466">
        <v>37.479999999999997</v>
      </c>
      <c r="N466">
        <v>337.31999999999988</v>
      </c>
      <c r="O4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66" s="9" t="str">
        <f ca="1">IF(OR(ISNUMBER(Table13[[#This Row],[Order_Date]])=FALSE,Table13[[#This Row],[Order_Date]]&lt;DATE(2000,1,1),Table13[[#This Row],[Order_Date]]&gt;TODAY()),"YES","NO")</f>
        <v>NO</v>
      </c>
      <c r="Q466" s="9">
        <f>IF(Table13[[#This Row],[Order_Status]] = "Cancelled",0,IF(Table13[[#This Row],[Order_Status]] = "Returned",Table13[[#This Row],[Net_Sales]] * -1,Table13[[#This Row],[Net_Sales]]))</f>
        <v>0</v>
      </c>
      <c r="R466" s="9" t="str">
        <f>IF(Table13[[#This Row],[Gross_Sales]]&gt;=500, "YES","NO")</f>
        <v>NO</v>
      </c>
    </row>
    <row r="467" spans="1:18" x14ac:dyDescent="0.3">
      <c r="A467">
        <v>100462</v>
      </c>
      <c r="B467" s="8">
        <v>45311.208333333343</v>
      </c>
      <c r="C467" t="s">
        <v>14</v>
      </c>
      <c r="D467" t="s">
        <v>54</v>
      </c>
      <c r="E467" t="s">
        <v>69</v>
      </c>
      <c r="F467" t="s">
        <v>72</v>
      </c>
      <c r="G467">
        <v>3</v>
      </c>
      <c r="H467">
        <v>37.32</v>
      </c>
      <c r="I467">
        <v>10</v>
      </c>
      <c r="J467" t="s">
        <v>76</v>
      </c>
      <c r="K467" t="s">
        <v>77</v>
      </c>
      <c r="L467">
        <v>111.96</v>
      </c>
      <c r="M467">
        <v>11.196</v>
      </c>
      <c r="N467">
        <v>100.764</v>
      </c>
      <c r="O4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7" s="9" t="str">
        <f ca="1">IF(OR(ISNUMBER(Table13[[#This Row],[Order_Date]])=FALSE,Table13[[#This Row],[Order_Date]]&lt;DATE(2000,1,1),Table13[[#This Row],[Order_Date]]&gt;TODAY()),"YES","NO")</f>
        <v>NO</v>
      </c>
      <c r="Q467" s="9">
        <f>IF(Table13[[#This Row],[Order_Status]] = "Cancelled",0,IF(Table13[[#This Row],[Order_Status]] = "Returned",Table13[[#This Row],[Net_Sales]] * -1,Table13[[#This Row],[Net_Sales]]))</f>
        <v>100.764</v>
      </c>
      <c r="R467" s="9" t="str">
        <f>IF(Table13[[#This Row],[Gross_Sales]]&gt;=500, "YES","NO")</f>
        <v>NO</v>
      </c>
    </row>
    <row r="468" spans="1:18" x14ac:dyDescent="0.3">
      <c r="A468">
        <v>100463</v>
      </c>
      <c r="B468" s="8">
        <v>45311.25</v>
      </c>
      <c r="C468" t="s">
        <v>15</v>
      </c>
      <c r="D468" t="s">
        <v>62</v>
      </c>
      <c r="E468" t="s">
        <v>69</v>
      </c>
      <c r="F468" t="s">
        <v>72</v>
      </c>
      <c r="G468">
        <v>5</v>
      </c>
      <c r="H468">
        <v>24.95</v>
      </c>
      <c r="I468">
        <v>10</v>
      </c>
      <c r="J468" t="s">
        <v>73</v>
      </c>
      <c r="K468" t="s">
        <v>77</v>
      </c>
      <c r="L468">
        <v>124.75</v>
      </c>
      <c r="M468">
        <v>12.475</v>
      </c>
      <c r="N468">
        <v>112.27500000000001</v>
      </c>
      <c r="O4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8" s="9" t="str">
        <f ca="1">IF(OR(ISNUMBER(Table13[[#This Row],[Order_Date]])=FALSE,Table13[[#This Row],[Order_Date]]&lt;DATE(2000,1,1),Table13[[#This Row],[Order_Date]]&gt;TODAY()),"YES","NO")</f>
        <v>NO</v>
      </c>
      <c r="Q468" s="9">
        <f>IF(Table13[[#This Row],[Order_Status]] = "Cancelled",0,IF(Table13[[#This Row],[Order_Status]] = "Returned",Table13[[#This Row],[Net_Sales]] * -1,Table13[[#This Row],[Net_Sales]]))</f>
        <v>112.27500000000001</v>
      </c>
      <c r="R468" s="9" t="str">
        <f>IF(Table13[[#This Row],[Gross_Sales]]&gt;=500, "YES","NO")</f>
        <v>NO</v>
      </c>
    </row>
    <row r="469" spans="1:18" x14ac:dyDescent="0.3">
      <c r="A469">
        <v>100464</v>
      </c>
      <c r="B469" s="8">
        <v>45311.291666666657</v>
      </c>
      <c r="C469" t="s">
        <v>14</v>
      </c>
      <c r="D469" t="s">
        <v>57</v>
      </c>
      <c r="E469" t="s">
        <v>68</v>
      </c>
      <c r="F469" t="s">
        <v>71</v>
      </c>
      <c r="G469">
        <v>2</v>
      </c>
      <c r="H469">
        <v>48.67</v>
      </c>
      <c r="I469">
        <v>5</v>
      </c>
      <c r="J469" t="s">
        <v>75</v>
      </c>
      <c r="K469" t="s">
        <v>77</v>
      </c>
      <c r="L469">
        <v>97.34</v>
      </c>
      <c r="M469">
        <v>4.8670000000000009</v>
      </c>
      <c r="N469">
        <v>92.472999999999999</v>
      </c>
      <c r="O4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69" s="9" t="str">
        <f ca="1">IF(OR(ISNUMBER(Table13[[#This Row],[Order_Date]])=FALSE,Table13[[#This Row],[Order_Date]]&lt;DATE(2000,1,1),Table13[[#This Row],[Order_Date]]&gt;TODAY()),"YES","NO")</f>
        <v>NO</v>
      </c>
      <c r="Q469" s="9">
        <f>IF(Table13[[#This Row],[Order_Status]] = "Cancelled",0,IF(Table13[[#This Row],[Order_Status]] = "Returned",Table13[[#This Row],[Net_Sales]] * -1,Table13[[#This Row],[Net_Sales]]))</f>
        <v>92.472999999999999</v>
      </c>
      <c r="R469" s="9" t="str">
        <f>IF(Table13[[#This Row],[Gross_Sales]]&gt;=500, "YES","NO")</f>
        <v>NO</v>
      </c>
    </row>
    <row r="470" spans="1:18" x14ac:dyDescent="0.3">
      <c r="A470">
        <v>100465</v>
      </c>
      <c r="B470" s="8">
        <v>45311.333333333343</v>
      </c>
      <c r="C470" t="s">
        <v>15</v>
      </c>
      <c r="D470" t="s">
        <v>58</v>
      </c>
      <c r="E470" t="s">
        <v>70</v>
      </c>
      <c r="F470" t="s">
        <v>72</v>
      </c>
      <c r="G470">
        <v>1</v>
      </c>
      <c r="H470">
        <v>97.17</v>
      </c>
      <c r="I470">
        <v>10</v>
      </c>
      <c r="J470" t="s">
        <v>74</v>
      </c>
      <c r="K470" t="s">
        <v>77</v>
      </c>
      <c r="L470">
        <v>97.17</v>
      </c>
      <c r="M470">
        <v>9.7170000000000005</v>
      </c>
      <c r="N470">
        <v>87.453000000000003</v>
      </c>
      <c r="O4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0" s="9" t="str">
        <f ca="1">IF(OR(ISNUMBER(Table13[[#This Row],[Order_Date]])=FALSE,Table13[[#This Row],[Order_Date]]&lt;DATE(2000,1,1),Table13[[#This Row],[Order_Date]]&gt;TODAY()),"YES","NO")</f>
        <v>NO</v>
      </c>
      <c r="Q470" s="9">
        <f>IF(Table13[[#This Row],[Order_Status]] = "Cancelled",0,IF(Table13[[#This Row],[Order_Status]] = "Returned",Table13[[#This Row],[Net_Sales]] * -1,Table13[[#This Row],[Net_Sales]]))</f>
        <v>87.453000000000003</v>
      </c>
      <c r="R470" s="9" t="str">
        <f>IF(Table13[[#This Row],[Gross_Sales]]&gt;=500, "YES","NO")</f>
        <v>NO</v>
      </c>
    </row>
    <row r="471" spans="1:18" x14ac:dyDescent="0.3">
      <c r="A471">
        <v>100466</v>
      </c>
      <c r="B471" s="8">
        <v>45311.375</v>
      </c>
      <c r="C471" t="s">
        <v>14</v>
      </c>
      <c r="D471" t="s">
        <v>64</v>
      </c>
      <c r="E471" t="s">
        <v>69</v>
      </c>
      <c r="F471" t="s">
        <v>72</v>
      </c>
      <c r="G471">
        <v>3</v>
      </c>
      <c r="H471">
        <v>50.09</v>
      </c>
      <c r="I471">
        <v>15</v>
      </c>
      <c r="J471" t="s">
        <v>75</v>
      </c>
      <c r="K471" t="s">
        <v>77</v>
      </c>
      <c r="L471">
        <v>150.27000000000001</v>
      </c>
      <c r="M471">
        <v>22.540500000000002</v>
      </c>
      <c r="N471">
        <v>127.7295</v>
      </c>
      <c r="O4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1" s="9" t="str">
        <f ca="1">IF(OR(ISNUMBER(Table13[[#This Row],[Order_Date]])=FALSE,Table13[[#This Row],[Order_Date]]&lt;DATE(2000,1,1),Table13[[#This Row],[Order_Date]]&gt;TODAY()),"YES","NO")</f>
        <v>NO</v>
      </c>
      <c r="Q471" s="9">
        <f>IF(Table13[[#This Row],[Order_Status]] = "Cancelled",0,IF(Table13[[#This Row],[Order_Status]] = "Returned",Table13[[#This Row],[Net_Sales]] * -1,Table13[[#This Row],[Net_Sales]]))</f>
        <v>127.7295</v>
      </c>
      <c r="R471" s="9" t="str">
        <f>IF(Table13[[#This Row],[Gross_Sales]]&gt;=500, "YES","NO")</f>
        <v>NO</v>
      </c>
    </row>
    <row r="472" spans="1:18" x14ac:dyDescent="0.3">
      <c r="A472">
        <v>100467</v>
      </c>
      <c r="B472" s="8">
        <v>45311.416666666657</v>
      </c>
      <c r="C472" t="s">
        <v>15</v>
      </c>
      <c r="D472" t="s">
        <v>22</v>
      </c>
      <c r="E472" t="s">
        <v>68</v>
      </c>
      <c r="F472" t="s">
        <v>72</v>
      </c>
      <c r="G472">
        <v>3</v>
      </c>
      <c r="H472">
        <v>91.34</v>
      </c>
      <c r="I472">
        <v>5</v>
      </c>
      <c r="J472" t="s">
        <v>75</v>
      </c>
      <c r="K472" t="s">
        <v>77</v>
      </c>
      <c r="L472">
        <v>274.02</v>
      </c>
      <c r="M472">
        <v>13.701000000000001</v>
      </c>
      <c r="N472">
        <v>260.31900000000002</v>
      </c>
      <c r="O4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2" s="9" t="str">
        <f ca="1">IF(OR(ISNUMBER(Table13[[#This Row],[Order_Date]])=FALSE,Table13[[#This Row],[Order_Date]]&lt;DATE(2000,1,1),Table13[[#This Row],[Order_Date]]&gt;TODAY()),"YES","NO")</f>
        <v>NO</v>
      </c>
      <c r="Q472" s="9">
        <f>IF(Table13[[#This Row],[Order_Status]] = "Cancelled",0,IF(Table13[[#This Row],[Order_Status]] = "Returned",Table13[[#This Row],[Net_Sales]] * -1,Table13[[#This Row],[Net_Sales]]))</f>
        <v>260.31900000000002</v>
      </c>
      <c r="R472" s="9" t="str">
        <f>IF(Table13[[#This Row],[Gross_Sales]]&gt;=500, "YES","NO")</f>
        <v>NO</v>
      </c>
    </row>
    <row r="473" spans="1:18" x14ac:dyDescent="0.3">
      <c r="A473">
        <v>100468</v>
      </c>
      <c r="B473" s="8">
        <v>45311.458333333343</v>
      </c>
      <c r="C473" t="s">
        <v>14</v>
      </c>
      <c r="D473" t="s">
        <v>53</v>
      </c>
      <c r="E473" t="s">
        <v>68</v>
      </c>
      <c r="F473" t="s">
        <v>71</v>
      </c>
      <c r="G473">
        <v>5</v>
      </c>
      <c r="H473">
        <v>19.43</v>
      </c>
      <c r="I473">
        <v>10</v>
      </c>
      <c r="J473" t="s">
        <v>76</v>
      </c>
      <c r="K473" t="s">
        <v>77</v>
      </c>
      <c r="L473">
        <v>97.15</v>
      </c>
      <c r="M473">
        <v>9.7150000000000016</v>
      </c>
      <c r="N473">
        <v>87.435000000000002</v>
      </c>
      <c r="O4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3" s="9" t="str">
        <f ca="1">IF(OR(ISNUMBER(Table13[[#This Row],[Order_Date]])=FALSE,Table13[[#This Row],[Order_Date]]&lt;DATE(2000,1,1),Table13[[#This Row],[Order_Date]]&gt;TODAY()),"YES","NO")</f>
        <v>NO</v>
      </c>
      <c r="Q473" s="9">
        <f>IF(Table13[[#This Row],[Order_Status]] = "Cancelled",0,IF(Table13[[#This Row],[Order_Status]] = "Returned",Table13[[#This Row],[Net_Sales]] * -1,Table13[[#This Row],[Net_Sales]]))</f>
        <v>87.435000000000002</v>
      </c>
      <c r="R473" s="9" t="str">
        <f>IF(Table13[[#This Row],[Gross_Sales]]&gt;=500, "YES","NO")</f>
        <v>NO</v>
      </c>
    </row>
    <row r="474" spans="1:18" x14ac:dyDescent="0.3">
      <c r="A474">
        <v>100469</v>
      </c>
      <c r="B474" s="8">
        <v>45311.5</v>
      </c>
      <c r="C474" t="s">
        <v>14</v>
      </c>
      <c r="D474" t="s">
        <v>28</v>
      </c>
      <c r="E474" t="s">
        <v>66</v>
      </c>
      <c r="F474" t="s">
        <v>71</v>
      </c>
      <c r="G474">
        <v>2</v>
      </c>
      <c r="H474">
        <v>93.87</v>
      </c>
      <c r="I474">
        <v>5</v>
      </c>
      <c r="J474" t="s">
        <v>76</v>
      </c>
      <c r="K474" t="s">
        <v>78</v>
      </c>
      <c r="L474">
        <v>187.74</v>
      </c>
      <c r="M474">
        <v>9.3870000000000005</v>
      </c>
      <c r="N474">
        <v>178.35300000000001</v>
      </c>
      <c r="O4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74" s="9" t="str">
        <f ca="1">IF(OR(ISNUMBER(Table13[[#This Row],[Order_Date]])=FALSE,Table13[[#This Row],[Order_Date]]&lt;DATE(2000,1,1),Table13[[#This Row],[Order_Date]]&gt;TODAY()),"YES","NO")</f>
        <v>NO</v>
      </c>
      <c r="Q474" s="9">
        <f>IF(Table13[[#This Row],[Order_Status]] = "Cancelled",0,IF(Table13[[#This Row],[Order_Status]] = "Returned",Table13[[#This Row],[Net_Sales]] * -1,Table13[[#This Row],[Net_Sales]]))</f>
        <v>-178.35300000000001</v>
      </c>
      <c r="R474" s="9" t="str">
        <f>IF(Table13[[#This Row],[Gross_Sales]]&gt;=500, "YES","NO")</f>
        <v>NO</v>
      </c>
    </row>
    <row r="475" spans="1:18" x14ac:dyDescent="0.3">
      <c r="A475">
        <v>100470</v>
      </c>
      <c r="B475" s="8">
        <v>45311.541666666657</v>
      </c>
      <c r="C475" t="s">
        <v>15</v>
      </c>
      <c r="D475" t="s">
        <v>50</v>
      </c>
      <c r="E475" t="s">
        <v>66</v>
      </c>
      <c r="F475" t="s">
        <v>72</v>
      </c>
      <c r="G475">
        <v>2</v>
      </c>
      <c r="H475">
        <v>32.25</v>
      </c>
      <c r="I475">
        <v>15</v>
      </c>
      <c r="J475" t="s">
        <v>76</v>
      </c>
      <c r="K475" t="s">
        <v>77</v>
      </c>
      <c r="L475">
        <v>64.5</v>
      </c>
      <c r="M475">
        <v>9.6749999999999989</v>
      </c>
      <c r="N475">
        <v>54.825000000000003</v>
      </c>
      <c r="O4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5" s="9" t="str">
        <f ca="1">IF(OR(ISNUMBER(Table13[[#This Row],[Order_Date]])=FALSE,Table13[[#This Row],[Order_Date]]&lt;DATE(2000,1,1),Table13[[#This Row],[Order_Date]]&gt;TODAY()),"YES","NO")</f>
        <v>NO</v>
      </c>
      <c r="Q475" s="9">
        <f>IF(Table13[[#This Row],[Order_Status]] = "Cancelled",0,IF(Table13[[#This Row],[Order_Status]] = "Returned",Table13[[#This Row],[Net_Sales]] * -1,Table13[[#This Row],[Net_Sales]]))</f>
        <v>54.825000000000003</v>
      </c>
      <c r="R475" s="9" t="str">
        <f>IF(Table13[[#This Row],[Gross_Sales]]&gt;=500, "YES","NO")</f>
        <v>NO</v>
      </c>
    </row>
    <row r="476" spans="1:18" x14ac:dyDescent="0.3">
      <c r="A476">
        <v>100471</v>
      </c>
      <c r="B476" s="8">
        <v>45311.583333333343</v>
      </c>
      <c r="C476" t="s">
        <v>14</v>
      </c>
      <c r="D476" t="s">
        <v>55</v>
      </c>
      <c r="E476" t="s">
        <v>68</v>
      </c>
      <c r="F476" t="s">
        <v>71</v>
      </c>
      <c r="G476">
        <v>5</v>
      </c>
      <c r="H476">
        <v>82.9</v>
      </c>
      <c r="I476">
        <v>10</v>
      </c>
      <c r="J476" t="s">
        <v>73</v>
      </c>
      <c r="K476" t="s">
        <v>77</v>
      </c>
      <c r="L476">
        <v>414.5</v>
      </c>
      <c r="M476">
        <v>41.45</v>
      </c>
      <c r="N476">
        <v>373.05</v>
      </c>
      <c r="O4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6" s="9" t="str">
        <f ca="1">IF(OR(ISNUMBER(Table13[[#This Row],[Order_Date]])=FALSE,Table13[[#This Row],[Order_Date]]&lt;DATE(2000,1,1),Table13[[#This Row],[Order_Date]]&gt;TODAY()),"YES","NO")</f>
        <v>NO</v>
      </c>
      <c r="Q476" s="9">
        <f>IF(Table13[[#This Row],[Order_Status]] = "Cancelled",0,IF(Table13[[#This Row],[Order_Status]] = "Returned",Table13[[#This Row],[Net_Sales]] * -1,Table13[[#This Row],[Net_Sales]]))</f>
        <v>373.05</v>
      </c>
      <c r="R476" s="9" t="str">
        <f>IF(Table13[[#This Row],[Gross_Sales]]&gt;=500, "YES","NO")</f>
        <v>NO</v>
      </c>
    </row>
    <row r="477" spans="1:18" x14ac:dyDescent="0.3">
      <c r="A477">
        <v>100472</v>
      </c>
      <c r="B477" s="8">
        <v>45311.625</v>
      </c>
      <c r="C477" t="s">
        <v>15</v>
      </c>
      <c r="D477" t="s">
        <v>61</v>
      </c>
      <c r="E477" t="s">
        <v>66</v>
      </c>
      <c r="F477" t="s">
        <v>72</v>
      </c>
      <c r="G477">
        <v>2</v>
      </c>
      <c r="H477">
        <v>70.06</v>
      </c>
      <c r="I477">
        <v>15</v>
      </c>
      <c r="J477" t="s">
        <v>75</v>
      </c>
      <c r="K477" t="s">
        <v>77</v>
      </c>
      <c r="L477">
        <v>140.12</v>
      </c>
      <c r="M477">
        <v>21.018000000000001</v>
      </c>
      <c r="N477">
        <v>119.102</v>
      </c>
      <c r="O4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7" s="9" t="str">
        <f ca="1">IF(OR(ISNUMBER(Table13[[#This Row],[Order_Date]])=FALSE,Table13[[#This Row],[Order_Date]]&lt;DATE(2000,1,1),Table13[[#This Row],[Order_Date]]&gt;TODAY()),"YES","NO")</f>
        <v>NO</v>
      </c>
      <c r="Q477" s="9">
        <f>IF(Table13[[#This Row],[Order_Status]] = "Cancelled",0,IF(Table13[[#This Row],[Order_Status]] = "Returned",Table13[[#This Row],[Net_Sales]] * -1,Table13[[#This Row],[Net_Sales]]))</f>
        <v>119.102</v>
      </c>
      <c r="R477" s="9" t="str">
        <f>IF(Table13[[#This Row],[Gross_Sales]]&gt;=500, "YES","NO")</f>
        <v>NO</v>
      </c>
    </row>
    <row r="478" spans="1:18" x14ac:dyDescent="0.3">
      <c r="A478">
        <v>100473</v>
      </c>
      <c r="B478" s="8">
        <v>45311.666666666657</v>
      </c>
      <c r="C478" t="s">
        <v>14</v>
      </c>
      <c r="D478" t="s">
        <v>38</v>
      </c>
      <c r="E478" t="s">
        <v>69</v>
      </c>
      <c r="F478" t="s">
        <v>72</v>
      </c>
      <c r="G478">
        <v>4</v>
      </c>
      <c r="H478">
        <v>111.85</v>
      </c>
      <c r="I478">
        <v>15</v>
      </c>
      <c r="J478" t="s">
        <v>75</v>
      </c>
      <c r="K478" t="s">
        <v>77</v>
      </c>
      <c r="L478">
        <v>447.4</v>
      </c>
      <c r="M478">
        <v>67.11</v>
      </c>
      <c r="N478">
        <v>380.29</v>
      </c>
      <c r="O4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78" s="9" t="str">
        <f ca="1">IF(OR(ISNUMBER(Table13[[#This Row],[Order_Date]])=FALSE,Table13[[#This Row],[Order_Date]]&lt;DATE(2000,1,1),Table13[[#This Row],[Order_Date]]&gt;TODAY()),"YES","NO")</f>
        <v>NO</v>
      </c>
      <c r="Q478" s="9">
        <f>IF(Table13[[#This Row],[Order_Status]] = "Cancelled",0,IF(Table13[[#This Row],[Order_Status]] = "Returned",Table13[[#This Row],[Net_Sales]] * -1,Table13[[#This Row],[Net_Sales]]))</f>
        <v>380.29</v>
      </c>
      <c r="R478" s="9" t="str">
        <f>IF(Table13[[#This Row],[Gross_Sales]]&gt;=500, "YES","NO")</f>
        <v>NO</v>
      </c>
    </row>
    <row r="479" spans="1:18" x14ac:dyDescent="0.3">
      <c r="A479">
        <v>100474</v>
      </c>
      <c r="B479" s="8">
        <v>45311.708333333343</v>
      </c>
      <c r="C479" t="s">
        <v>15</v>
      </c>
      <c r="D479" t="s">
        <v>21</v>
      </c>
      <c r="E479" t="s">
        <v>67</v>
      </c>
      <c r="F479" t="s">
        <v>71</v>
      </c>
      <c r="G479">
        <v>1</v>
      </c>
      <c r="H479">
        <v>49.54</v>
      </c>
      <c r="I479">
        <v>15</v>
      </c>
      <c r="J479" t="s">
        <v>73</v>
      </c>
      <c r="K479" t="s">
        <v>78</v>
      </c>
      <c r="L479">
        <v>49.54</v>
      </c>
      <c r="M479">
        <v>7.4309999999999992</v>
      </c>
      <c r="N479">
        <v>42.109000000000002</v>
      </c>
      <c r="O4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79" s="9" t="str">
        <f ca="1">IF(OR(ISNUMBER(Table13[[#This Row],[Order_Date]])=FALSE,Table13[[#This Row],[Order_Date]]&lt;DATE(2000,1,1),Table13[[#This Row],[Order_Date]]&gt;TODAY()),"YES","NO")</f>
        <v>NO</v>
      </c>
      <c r="Q479" s="9">
        <f>IF(Table13[[#This Row],[Order_Status]] = "Cancelled",0,IF(Table13[[#This Row],[Order_Status]] = "Returned",Table13[[#This Row],[Net_Sales]] * -1,Table13[[#This Row],[Net_Sales]]))</f>
        <v>-42.109000000000002</v>
      </c>
      <c r="R479" s="9" t="str">
        <f>IF(Table13[[#This Row],[Gross_Sales]]&gt;=500, "YES","NO")</f>
        <v>NO</v>
      </c>
    </row>
    <row r="480" spans="1:18" x14ac:dyDescent="0.3">
      <c r="A480">
        <v>100475</v>
      </c>
      <c r="B480" s="8">
        <v>45311.75</v>
      </c>
      <c r="C480" t="s">
        <v>14</v>
      </c>
      <c r="D480" t="s">
        <v>46</v>
      </c>
      <c r="E480" t="s">
        <v>69</v>
      </c>
      <c r="F480" t="s">
        <v>72</v>
      </c>
      <c r="G480">
        <v>3</v>
      </c>
      <c r="H480">
        <v>12.61</v>
      </c>
      <c r="I480">
        <v>10</v>
      </c>
      <c r="J480" t="s">
        <v>73</v>
      </c>
      <c r="K480" t="s">
        <v>77</v>
      </c>
      <c r="L480">
        <v>37.83</v>
      </c>
      <c r="M480">
        <v>3.7829999999999999</v>
      </c>
      <c r="N480">
        <v>34.046999999999997</v>
      </c>
      <c r="O4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0" s="9" t="str">
        <f ca="1">IF(OR(ISNUMBER(Table13[[#This Row],[Order_Date]])=FALSE,Table13[[#This Row],[Order_Date]]&lt;DATE(2000,1,1),Table13[[#This Row],[Order_Date]]&gt;TODAY()),"YES","NO")</f>
        <v>NO</v>
      </c>
      <c r="Q480" s="9">
        <f>IF(Table13[[#This Row],[Order_Status]] = "Cancelled",0,IF(Table13[[#This Row],[Order_Status]] = "Returned",Table13[[#This Row],[Net_Sales]] * -1,Table13[[#This Row],[Net_Sales]]))</f>
        <v>34.046999999999997</v>
      </c>
      <c r="R480" s="9" t="str">
        <f>IF(Table13[[#This Row],[Gross_Sales]]&gt;=500, "YES","NO")</f>
        <v>NO</v>
      </c>
    </row>
    <row r="481" spans="1:18" x14ac:dyDescent="0.3">
      <c r="A481">
        <v>100476</v>
      </c>
      <c r="B481" s="8">
        <v>45311.791666666657</v>
      </c>
      <c r="C481" t="s">
        <v>15</v>
      </c>
      <c r="D481" t="s">
        <v>17</v>
      </c>
      <c r="E481" t="s">
        <v>68</v>
      </c>
      <c r="F481" t="s">
        <v>71</v>
      </c>
      <c r="G481">
        <v>1</v>
      </c>
      <c r="H481">
        <v>7.2</v>
      </c>
      <c r="I481">
        <v>0</v>
      </c>
      <c r="J481" t="s">
        <v>73</v>
      </c>
      <c r="K481" t="s">
        <v>77</v>
      </c>
      <c r="L481">
        <v>7.2</v>
      </c>
      <c r="M481">
        <v>0</v>
      </c>
      <c r="N481">
        <v>7.2</v>
      </c>
      <c r="O4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1" s="9" t="str">
        <f ca="1">IF(OR(ISNUMBER(Table13[[#This Row],[Order_Date]])=FALSE,Table13[[#This Row],[Order_Date]]&lt;DATE(2000,1,1),Table13[[#This Row],[Order_Date]]&gt;TODAY()),"YES","NO")</f>
        <v>NO</v>
      </c>
      <c r="Q481" s="9">
        <f>IF(Table13[[#This Row],[Order_Status]] = "Cancelled",0,IF(Table13[[#This Row],[Order_Status]] = "Returned",Table13[[#This Row],[Net_Sales]] * -1,Table13[[#This Row],[Net_Sales]]))</f>
        <v>7.2</v>
      </c>
      <c r="R481" s="9" t="str">
        <f>IF(Table13[[#This Row],[Gross_Sales]]&gt;=500, "YES","NO")</f>
        <v>NO</v>
      </c>
    </row>
    <row r="482" spans="1:18" x14ac:dyDescent="0.3">
      <c r="A482">
        <v>100477</v>
      </c>
      <c r="B482" s="8">
        <v>45311.833333333343</v>
      </c>
      <c r="C482" t="s">
        <v>14</v>
      </c>
      <c r="D482" t="s">
        <v>23</v>
      </c>
      <c r="E482" t="s">
        <v>68</v>
      </c>
      <c r="F482" t="s">
        <v>71</v>
      </c>
      <c r="G482">
        <v>3</v>
      </c>
      <c r="H482">
        <v>100.09</v>
      </c>
      <c r="I482">
        <v>10</v>
      </c>
      <c r="J482" t="s">
        <v>75</v>
      </c>
      <c r="K482" t="s">
        <v>77</v>
      </c>
      <c r="L482">
        <v>300.27</v>
      </c>
      <c r="M482">
        <v>30.027000000000001</v>
      </c>
      <c r="N482">
        <v>270.24299999999999</v>
      </c>
      <c r="O4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2" s="9" t="str">
        <f ca="1">IF(OR(ISNUMBER(Table13[[#This Row],[Order_Date]])=FALSE,Table13[[#This Row],[Order_Date]]&lt;DATE(2000,1,1),Table13[[#This Row],[Order_Date]]&gt;TODAY()),"YES","NO")</f>
        <v>NO</v>
      </c>
      <c r="Q482" s="9">
        <f>IF(Table13[[#This Row],[Order_Status]] = "Cancelled",0,IF(Table13[[#This Row],[Order_Status]] = "Returned",Table13[[#This Row],[Net_Sales]] * -1,Table13[[#This Row],[Net_Sales]]))</f>
        <v>270.24299999999999</v>
      </c>
      <c r="R482" s="9" t="str">
        <f>IF(Table13[[#This Row],[Gross_Sales]]&gt;=500, "YES","NO")</f>
        <v>NO</v>
      </c>
    </row>
    <row r="483" spans="1:18" x14ac:dyDescent="0.3">
      <c r="A483">
        <v>100478</v>
      </c>
      <c r="B483" s="8">
        <v>45311.875</v>
      </c>
      <c r="C483" t="s">
        <v>15</v>
      </c>
      <c r="D483" t="s">
        <v>52</v>
      </c>
      <c r="E483" t="s">
        <v>69</v>
      </c>
      <c r="F483" t="s">
        <v>72</v>
      </c>
      <c r="G483">
        <v>4</v>
      </c>
      <c r="H483">
        <v>65.34</v>
      </c>
      <c r="I483">
        <v>15</v>
      </c>
      <c r="J483" t="s">
        <v>75</v>
      </c>
      <c r="K483" t="s">
        <v>77</v>
      </c>
      <c r="L483">
        <v>261.36</v>
      </c>
      <c r="M483">
        <v>39.204000000000001</v>
      </c>
      <c r="N483">
        <v>222.15600000000001</v>
      </c>
      <c r="O4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3" s="9" t="str">
        <f ca="1">IF(OR(ISNUMBER(Table13[[#This Row],[Order_Date]])=FALSE,Table13[[#This Row],[Order_Date]]&lt;DATE(2000,1,1),Table13[[#This Row],[Order_Date]]&gt;TODAY()),"YES","NO")</f>
        <v>NO</v>
      </c>
      <c r="Q483" s="9">
        <f>IF(Table13[[#This Row],[Order_Status]] = "Cancelled",0,IF(Table13[[#This Row],[Order_Status]] = "Returned",Table13[[#This Row],[Net_Sales]] * -1,Table13[[#This Row],[Net_Sales]]))</f>
        <v>222.15600000000001</v>
      </c>
      <c r="R483" s="9" t="str">
        <f>IF(Table13[[#This Row],[Gross_Sales]]&gt;=500, "YES","NO")</f>
        <v>NO</v>
      </c>
    </row>
    <row r="484" spans="1:18" x14ac:dyDescent="0.3">
      <c r="A484">
        <v>100479</v>
      </c>
      <c r="B484" s="8">
        <v>45311.916666666657</v>
      </c>
      <c r="C484" t="s">
        <v>14</v>
      </c>
      <c r="D484" t="s">
        <v>54</v>
      </c>
      <c r="E484" t="s">
        <v>66</v>
      </c>
      <c r="F484" t="s">
        <v>71</v>
      </c>
      <c r="G484">
        <v>2</v>
      </c>
      <c r="H484">
        <v>94.15</v>
      </c>
      <c r="I484">
        <v>10</v>
      </c>
      <c r="J484" t="s">
        <v>76</v>
      </c>
      <c r="K484" t="s">
        <v>77</v>
      </c>
      <c r="L484">
        <v>188.3</v>
      </c>
      <c r="M484">
        <v>18.829999999999998</v>
      </c>
      <c r="N484">
        <v>169.47</v>
      </c>
      <c r="O4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4" s="9" t="str">
        <f ca="1">IF(OR(ISNUMBER(Table13[[#This Row],[Order_Date]])=FALSE,Table13[[#This Row],[Order_Date]]&lt;DATE(2000,1,1),Table13[[#This Row],[Order_Date]]&gt;TODAY()),"YES","NO")</f>
        <v>NO</v>
      </c>
      <c r="Q484" s="9">
        <f>IF(Table13[[#This Row],[Order_Status]] = "Cancelled",0,IF(Table13[[#This Row],[Order_Status]] = "Returned",Table13[[#This Row],[Net_Sales]] * -1,Table13[[#This Row],[Net_Sales]]))</f>
        <v>169.47</v>
      </c>
      <c r="R484" s="9" t="str">
        <f>IF(Table13[[#This Row],[Gross_Sales]]&gt;=500, "YES","NO")</f>
        <v>NO</v>
      </c>
    </row>
    <row r="485" spans="1:18" x14ac:dyDescent="0.3">
      <c r="A485">
        <v>100480</v>
      </c>
      <c r="B485" s="8">
        <v>45311.958333333343</v>
      </c>
      <c r="C485" t="s">
        <v>15</v>
      </c>
      <c r="D485" t="s">
        <v>45</v>
      </c>
      <c r="E485" t="s">
        <v>66</v>
      </c>
      <c r="F485" t="s">
        <v>71</v>
      </c>
      <c r="G485">
        <v>5</v>
      </c>
      <c r="H485">
        <v>31.96</v>
      </c>
      <c r="I485">
        <v>15</v>
      </c>
      <c r="J485" t="s">
        <v>76</v>
      </c>
      <c r="K485" t="s">
        <v>77</v>
      </c>
      <c r="L485">
        <v>159.80000000000001</v>
      </c>
      <c r="M485">
        <v>23.97</v>
      </c>
      <c r="N485">
        <v>135.83000000000001</v>
      </c>
      <c r="O4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5" s="9" t="str">
        <f ca="1">IF(OR(ISNUMBER(Table13[[#This Row],[Order_Date]])=FALSE,Table13[[#This Row],[Order_Date]]&lt;DATE(2000,1,1),Table13[[#This Row],[Order_Date]]&gt;TODAY()),"YES","NO")</f>
        <v>NO</v>
      </c>
      <c r="Q485" s="9">
        <f>IF(Table13[[#This Row],[Order_Status]] = "Cancelled",0,IF(Table13[[#This Row],[Order_Status]] = "Returned",Table13[[#This Row],[Net_Sales]] * -1,Table13[[#This Row],[Net_Sales]]))</f>
        <v>135.83000000000001</v>
      </c>
      <c r="R485" s="9" t="str">
        <f>IF(Table13[[#This Row],[Gross_Sales]]&gt;=500, "YES","NO")</f>
        <v>NO</v>
      </c>
    </row>
    <row r="486" spans="1:18" x14ac:dyDescent="0.3">
      <c r="A486">
        <v>100481</v>
      </c>
      <c r="B486" s="8">
        <v>45312</v>
      </c>
      <c r="C486" t="s">
        <v>15</v>
      </c>
      <c r="D486" t="s">
        <v>42</v>
      </c>
      <c r="E486" t="s">
        <v>68</v>
      </c>
      <c r="F486" t="s">
        <v>72</v>
      </c>
      <c r="G486">
        <v>4</v>
      </c>
      <c r="H486">
        <v>44.68</v>
      </c>
      <c r="I486">
        <v>0</v>
      </c>
      <c r="J486" t="s">
        <v>75</v>
      </c>
      <c r="K486" t="s">
        <v>77</v>
      </c>
      <c r="L486">
        <v>178.72</v>
      </c>
      <c r="M486">
        <v>0</v>
      </c>
      <c r="N486">
        <v>178.72</v>
      </c>
      <c r="O4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6" s="9" t="str">
        <f ca="1">IF(OR(ISNUMBER(Table13[[#This Row],[Order_Date]])=FALSE,Table13[[#This Row],[Order_Date]]&lt;DATE(2000,1,1),Table13[[#This Row],[Order_Date]]&gt;TODAY()),"YES","NO")</f>
        <v>NO</v>
      </c>
      <c r="Q486" s="9">
        <f>IF(Table13[[#This Row],[Order_Status]] = "Cancelled",0,IF(Table13[[#This Row],[Order_Status]] = "Returned",Table13[[#This Row],[Net_Sales]] * -1,Table13[[#This Row],[Net_Sales]]))</f>
        <v>178.72</v>
      </c>
      <c r="R486" s="9" t="str">
        <f>IF(Table13[[#This Row],[Gross_Sales]]&gt;=500, "YES","NO")</f>
        <v>NO</v>
      </c>
    </row>
    <row r="487" spans="1:18" x14ac:dyDescent="0.3">
      <c r="A487">
        <v>100482</v>
      </c>
      <c r="B487" s="8">
        <v>45312.041666666657</v>
      </c>
      <c r="C487" t="s">
        <v>15</v>
      </c>
      <c r="D487" t="s">
        <v>39</v>
      </c>
      <c r="E487" t="s">
        <v>70</v>
      </c>
      <c r="F487" t="s">
        <v>72</v>
      </c>
      <c r="G487">
        <v>1</v>
      </c>
      <c r="H487">
        <v>8.4600000000000009</v>
      </c>
      <c r="I487">
        <v>5</v>
      </c>
      <c r="J487" t="s">
        <v>76</v>
      </c>
      <c r="K487" t="s">
        <v>77</v>
      </c>
      <c r="L487">
        <v>8.4600000000000009</v>
      </c>
      <c r="M487">
        <v>0.42299999999999999</v>
      </c>
      <c r="N487">
        <v>8.0370000000000008</v>
      </c>
      <c r="O4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7" s="9" t="str">
        <f ca="1">IF(OR(ISNUMBER(Table13[[#This Row],[Order_Date]])=FALSE,Table13[[#This Row],[Order_Date]]&lt;DATE(2000,1,1),Table13[[#This Row],[Order_Date]]&gt;TODAY()),"YES","NO")</f>
        <v>NO</v>
      </c>
      <c r="Q487" s="9">
        <f>IF(Table13[[#This Row],[Order_Status]] = "Cancelled",0,IF(Table13[[#This Row],[Order_Status]] = "Returned",Table13[[#This Row],[Net_Sales]] * -1,Table13[[#This Row],[Net_Sales]]))</f>
        <v>8.0370000000000008</v>
      </c>
      <c r="R487" s="9" t="str">
        <f>IF(Table13[[#This Row],[Gross_Sales]]&gt;=500, "YES","NO")</f>
        <v>NO</v>
      </c>
    </row>
    <row r="488" spans="1:18" x14ac:dyDescent="0.3">
      <c r="A488">
        <v>100483</v>
      </c>
      <c r="B488" s="8">
        <v>45312.083333333343</v>
      </c>
      <c r="C488" t="s">
        <v>14</v>
      </c>
      <c r="D488" t="s">
        <v>49</v>
      </c>
      <c r="E488" t="s">
        <v>66</v>
      </c>
      <c r="F488" t="s">
        <v>71</v>
      </c>
      <c r="G488">
        <v>5</v>
      </c>
      <c r="H488">
        <v>115.57</v>
      </c>
      <c r="I488">
        <v>0</v>
      </c>
      <c r="J488" t="s">
        <v>73</v>
      </c>
      <c r="K488" t="s">
        <v>77</v>
      </c>
      <c r="L488">
        <v>577.84999999999991</v>
      </c>
      <c r="M488">
        <v>0</v>
      </c>
      <c r="N488">
        <v>577.84999999999991</v>
      </c>
      <c r="O4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8" s="9" t="str">
        <f ca="1">IF(OR(ISNUMBER(Table13[[#This Row],[Order_Date]])=FALSE,Table13[[#This Row],[Order_Date]]&lt;DATE(2000,1,1),Table13[[#This Row],[Order_Date]]&gt;TODAY()),"YES","NO")</f>
        <v>NO</v>
      </c>
      <c r="Q488" s="9">
        <f>IF(Table13[[#This Row],[Order_Status]] = "Cancelled",0,IF(Table13[[#This Row],[Order_Status]] = "Returned",Table13[[#This Row],[Net_Sales]] * -1,Table13[[#This Row],[Net_Sales]]))</f>
        <v>577.84999999999991</v>
      </c>
      <c r="R488" s="9" t="str">
        <f>IF(Table13[[#This Row],[Gross_Sales]]&gt;=500, "YES","NO")</f>
        <v>YES</v>
      </c>
    </row>
    <row r="489" spans="1:18" x14ac:dyDescent="0.3">
      <c r="A489">
        <v>100484</v>
      </c>
      <c r="B489" s="8">
        <v>45312.125</v>
      </c>
      <c r="C489" t="s">
        <v>15</v>
      </c>
      <c r="D489" t="s">
        <v>36</v>
      </c>
      <c r="E489" t="s">
        <v>69</v>
      </c>
      <c r="F489" t="s">
        <v>71</v>
      </c>
      <c r="G489">
        <v>2</v>
      </c>
      <c r="H489">
        <v>81.8</v>
      </c>
      <c r="I489">
        <v>0</v>
      </c>
      <c r="J489" t="s">
        <v>74</v>
      </c>
      <c r="K489" t="s">
        <v>77</v>
      </c>
      <c r="L489">
        <v>163.6</v>
      </c>
      <c r="M489">
        <v>0</v>
      </c>
      <c r="N489">
        <v>163.6</v>
      </c>
      <c r="O4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89" s="9" t="str">
        <f ca="1">IF(OR(ISNUMBER(Table13[[#This Row],[Order_Date]])=FALSE,Table13[[#This Row],[Order_Date]]&lt;DATE(2000,1,1),Table13[[#This Row],[Order_Date]]&gt;TODAY()),"YES","NO")</f>
        <v>NO</v>
      </c>
      <c r="Q489" s="9">
        <f>IF(Table13[[#This Row],[Order_Status]] = "Cancelled",0,IF(Table13[[#This Row],[Order_Status]] = "Returned",Table13[[#This Row],[Net_Sales]] * -1,Table13[[#This Row],[Net_Sales]]))</f>
        <v>163.6</v>
      </c>
      <c r="R489" s="9" t="str">
        <f>IF(Table13[[#This Row],[Gross_Sales]]&gt;=500, "YES","NO")</f>
        <v>NO</v>
      </c>
    </row>
    <row r="490" spans="1:18" x14ac:dyDescent="0.3">
      <c r="A490">
        <v>100485</v>
      </c>
      <c r="B490" s="8">
        <v>45312.166666666657</v>
      </c>
      <c r="C490" t="s">
        <v>14</v>
      </c>
      <c r="D490" t="s">
        <v>24</v>
      </c>
      <c r="E490" t="s">
        <v>66</v>
      </c>
      <c r="F490" t="s">
        <v>72</v>
      </c>
      <c r="G490">
        <v>4</v>
      </c>
      <c r="H490">
        <v>112.32</v>
      </c>
      <c r="I490">
        <v>5</v>
      </c>
      <c r="J490" t="s">
        <v>76</v>
      </c>
      <c r="K490" t="s">
        <v>79</v>
      </c>
      <c r="L490">
        <v>449.28</v>
      </c>
      <c r="M490">
        <v>22.463999999999999</v>
      </c>
      <c r="N490">
        <v>426.81599999999997</v>
      </c>
      <c r="O4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90" s="9" t="str">
        <f ca="1">IF(OR(ISNUMBER(Table13[[#This Row],[Order_Date]])=FALSE,Table13[[#This Row],[Order_Date]]&lt;DATE(2000,1,1),Table13[[#This Row],[Order_Date]]&gt;TODAY()),"YES","NO")</f>
        <v>NO</v>
      </c>
      <c r="Q490" s="9">
        <f>IF(Table13[[#This Row],[Order_Status]] = "Cancelled",0,IF(Table13[[#This Row],[Order_Status]] = "Returned",Table13[[#This Row],[Net_Sales]] * -1,Table13[[#This Row],[Net_Sales]]))</f>
        <v>0</v>
      </c>
      <c r="R490" s="9" t="str">
        <f>IF(Table13[[#This Row],[Gross_Sales]]&gt;=500, "YES","NO")</f>
        <v>NO</v>
      </c>
    </row>
    <row r="491" spans="1:18" x14ac:dyDescent="0.3">
      <c r="A491">
        <v>100486</v>
      </c>
      <c r="B491" s="8">
        <v>45312.208333333343</v>
      </c>
      <c r="C491" t="s">
        <v>15</v>
      </c>
      <c r="D491" t="s">
        <v>50</v>
      </c>
      <c r="E491" t="s">
        <v>69</v>
      </c>
      <c r="F491" t="s">
        <v>71</v>
      </c>
      <c r="G491">
        <v>5</v>
      </c>
      <c r="H491">
        <v>35.53</v>
      </c>
      <c r="I491">
        <v>10</v>
      </c>
      <c r="J491" t="s">
        <v>75</v>
      </c>
      <c r="K491" t="s">
        <v>77</v>
      </c>
      <c r="L491">
        <v>177.65</v>
      </c>
      <c r="M491">
        <v>17.765000000000001</v>
      </c>
      <c r="N491">
        <v>159.88499999999999</v>
      </c>
      <c r="O4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1" s="9" t="str">
        <f ca="1">IF(OR(ISNUMBER(Table13[[#This Row],[Order_Date]])=FALSE,Table13[[#This Row],[Order_Date]]&lt;DATE(2000,1,1),Table13[[#This Row],[Order_Date]]&gt;TODAY()),"YES","NO")</f>
        <v>NO</v>
      </c>
      <c r="Q491" s="9">
        <f>IF(Table13[[#This Row],[Order_Status]] = "Cancelled",0,IF(Table13[[#This Row],[Order_Status]] = "Returned",Table13[[#This Row],[Net_Sales]] * -1,Table13[[#This Row],[Net_Sales]]))</f>
        <v>159.88499999999999</v>
      </c>
      <c r="R491" s="9" t="str">
        <f>IF(Table13[[#This Row],[Gross_Sales]]&gt;=500, "YES","NO")</f>
        <v>NO</v>
      </c>
    </row>
    <row r="492" spans="1:18" x14ac:dyDescent="0.3">
      <c r="A492">
        <v>100487</v>
      </c>
      <c r="B492" s="8">
        <v>45312.25</v>
      </c>
      <c r="C492" t="s">
        <v>14</v>
      </c>
      <c r="D492" t="s">
        <v>40</v>
      </c>
      <c r="E492" t="s">
        <v>68</v>
      </c>
      <c r="F492" t="s">
        <v>71</v>
      </c>
      <c r="G492">
        <v>4</v>
      </c>
      <c r="H492">
        <v>75.319999999999993</v>
      </c>
      <c r="I492">
        <v>5</v>
      </c>
      <c r="J492" t="s">
        <v>76</v>
      </c>
      <c r="K492" t="s">
        <v>77</v>
      </c>
      <c r="L492">
        <v>301.27999999999997</v>
      </c>
      <c r="M492">
        <v>15.064</v>
      </c>
      <c r="N492">
        <v>286.21600000000001</v>
      </c>
      <c r="O4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2" s="9" t="str">
        <f ca="1">IF(OR(ISNUMBER(Table13[[#This Row],[Order_Date]])=FALSE,Table13[[#This Row],[Order_Date]]&lt;DATE(2000,1,1),Table13[[#This Row],[Order_Date]]&gt;TODAY()),"YES","NO")</f>
        <v>NO</v>
      </c>
      <c r="Q492" s="9">
        <f>IF(Table13[[#This Row],[Order_Status]] = "Cancelled",0,IF(Table13[[#This Row],[Order_Status]] = "Returned",Table13[[#This Row],[Net_Sales]] * -1,Table13[[#This Row],[Net_Sales]]))</f>
        <v>286.21600000000001</v>
      </c>
      <c r="R492" s="9" t="str">
        <f>IF(Table13[[#This Row],[Gross_Sales]]&gt;=500, "YES","NO")</f>
        <v>NO</v>
      </c>
    </row>
    <row r="493" spans="1:18" x14ac:dyDescent="0.3">
      <c r="A493">
        <v>100488</v>
      </c>
      <c r="B493" s="8">
        <v>45312.291666666657</v>
      </c>
      <c r="C493" t="s">
        <v>15</v>
      </c>
      <c r="D493" t="s">
        <v>41</v>
      </c>
      <c r="E493" t="s">
        <v>66</v>
      </c>
      <c r="F493" t="s">
        <v>71</v>
      </c>
      <c r="G493">
        <v>4</v>
      </c>
      <c r="H493">
        <v>83.03</v>
      </c>
      <c r="I493">
        <v>10</v>
      </c>
      <c r="J493" t="s">
        <v>76</v>
      </c>
      <c r="K493" t="s">
        <v>77</v>
      </c>
      <c r="L493">
        <v>332.12</v>
      </c>
      <c r="M493">
        <v>33.212000000000003</v>
      </c>
      <c r="N493">
        <v>298.90800000000002</v>
      </c>
      <c r="O4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3" s="9" t="str">
        <f ca="1">IF(OR(ISNUMBER(Table13[[#This Row],[Order_Date]])=FALSE,Table13[[#This Row],[Order_Date]]&lt;DATE(2000,1,1),Table13[[#This Row],[Order_Date]]&gt;TODAY()),"YES","NO")</f>
        <v>NO</v>
      </c>
      <c r="Q493" s="9">
        <f>IF(Table13[[#This Row],[Order_Status]] = "Cancelled",0,IF(Table13[[#This Row],[Order_Status]] = "Returned",Table13[[#This Row],[Net_Sales]] * -1,Table13[[#This Row],[Net_Sales]]))</f>
        <v>298.90800000000002</v>
      </c>
      <c r="R493" s="9" t="str">
        <f>IF(Table13[[#This Row],[Gross_Sales]]&gt;=500, "YES","NO")</f>
        <v>NO</v>
      </c>
    </row>
    <row r="494" spans="1:18" x14ac:dyDescent="0.3">
      <c r="A494">
        <v>100489</v>
      </c>
      <c r="B494" s="8">
        <v>45312.333333333343</v>
      </c>
      <c r="C494" t="s">
        <v>14</v>
      </c>
      <c r="D494" t="s">
        <v>24</v>
      </c>
      <c r="E494" t="s">
        <v>69</v>
      </c>
      <c r="F494" t="s">
        <v>71</v>
      </c>
      <c r="G494">
        <v>2</v>
      </c>
      <c r="H494">
        <v>41.52</v>
      </c>
      <c r="I494">
        <v>10</v>
      </c>
      <c r="J494" t="s">
        <v>76</v>
      </c>
      <c r="K494" t="s">
        <v>77</v>
      </c>
      <c r="L494">
        <v>83.04</v>
      </c>
      <c r="M494">
        <v>8.3040000000000003</v>
      </c>
      <c r="N494">
        <v>74.736000000000004</v>
      </c>
      <c r="O4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4" s="9" t="str">
        <f ca="1">IF(OR(ISNUMBER(Table13[[#This Row],[Order_Date]])=FALSE,Table13[[#This Row],[Order_Date]]&lt;DATE(2000,1,1),Table13[[#This Row],[Order_Date]]&gt;TODAY()),"YES","NO")</f>
        <v>NO</v>
      </c>
      <c r="Q494" s="9">
        <f>IF(Table13[[#This Row],[Order_Status]] = "Cancelled",0,IF(Table13[[#This Row],[Order_Status]] = "Returned",Table13[[#This Row],[Net_Sales]] * -1,Table13[[#This Row],[Net_Sales]]))</f>
        <v>74.736000000000004</v>
      </c>
      <c r="R494" s="9" t="str">
        <f>IF(Table13[[#This Row],[Gross_Sales]]&gt;=500, "YES","NO")</f>
        <v>NO</v>
      </c>
    </row>
    <row r="495" spans="1:18" x14ac:dyDescent="0.3">
      <c r="A495">
        <v>100490</v>
      </c>
      <c r="B495" s="8">
        <v>45312.375</v>
      </c>
      <c r="C495" t="s">
        <v>14</v>
      </c>
      <c r="D495" t="s">
        <v>64</v>
      </c>
      <c r="E495" t="s">
        <v>68</v>
      </c>
      <c r="F495" t="s">
        <v>71</v>
      </c>
      <c r="G495">
        <v>3</v>
      </c>
      <c r="H495">
        <v>102.53</v>
      </c>
      <c r="I495">
        <v>15</v>
      </c>
      <c r="J495" t="s">
        <v>74</v>
      </c>
      <c r="K495" t="s">
        <v>77</v>
      </c>
      <c r="L495">
        <v>307.58999999999997</v>
      </c>
      <c r="M495">
        <v>46.138500000000001</v>
      </c>
      <c r="N495">
        <v>261.45150000000001</v>
      </c>
      <c r="O4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5" s="9" t="str">
        <f ca="1">IF(OR(ISNUMBER(Table13[[#This Row],[Order_Date]])=FALSE,Table13[[#This Row],[Order_Date]]&lt;DATE(2000,1,1),Table13[[#This Row],[Order_Date]]&gt;TODAY()),"YES","NO")</f>
        <v>NO</v>
      </c>
      <c r="Q495" s="9">
        <f>IF(Table13[[#This Row],[Order_Status]] = "Cancelled",0,IF(Table13[[#This Row],[Order_Status]] = "Returned",Table13[[#This Row],[Net_Sales]] * -1,Table13[[#This Row],[Net_Sales]]))</f>
        <v>261.45150000000001</v>
      </c>
      <c r="R495" s="9" t="str">
        <f>IF(Table13[[#This Row],[Gross_Sales]]&gt;=500, "YES","NO")</f>
        <v>NO</v>
      </c>
    </row>
    <row r="496" spans="1:18" x14ac:dyDescent="0.3">
      <c r="A496">
        <v>100491</v>
      </c>
      <c r="B496" s="8">
        <v>45312.416666666657</v>
      </c>
      <c r="C496" t="s">
        <v>15</v>
      </c>
      <c r="D496" t="s">
        <v>49</v>
      </c>
      <c r="E496" t="s">
        <v>70</v>
      </c>
      <c r="F496" t="s">
        <v>71</v>
      </c>
      <c r="G496">
        <v>5</v>
      </c>
      <c r="H496">
        <v>113.92</v>
      </c>
      <c r="I496">
        <v>15</v>
      </c>
      <c r="J496" t="s">
        <v>73</v>
      </c>
      <c r="K496" t="s">
        <v>78</v>
      </c>
      <c r="L496">
        <v>569.6</v>
      </c>
      <c r="M496">
        <v>85.44</v>
      </c>
      <c r="N496">
        <v>484.16</v>
      </c>
      <c r="O4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96" s="9" t="str">
        <f ca="1">IF(OR(ISNUMBER(Table13[[#This Row],[Order_Date]])=FALSE,Table13[[#This Row],[Order_Date]]&lt;DATE(2000,1,1),Table13[[#This Row],[Order_Date]]&gt;TODAY()),"YES","NO")</f>
        <v>NO</v>
      </c>
      <c r="Q496" s="9">
        <f>IF(Table13[[#This Row],[Order_Status]] = "Cancelled",0,IF(Table13[[#This Row],[Order_Status]] = "Returned",Table13[[#This Row],[Net_Sales]] * -1,Table13[[#This Row],[Net_Sales]]))</f>
        <v>-484.16</v>
      </c>
      <c r="R496" s="9" t="str">
        <f>IF(Table13[[#This Row],[Gross_Sales]]&gt;=500, "YES","NO")</f>
        <v>YES</v>
      </c>
    </row>
    <row r="497" spans="1:18" x14ac:dyDescent="0.3">
      <c r="A497">
        <v>100492</v>
      </c>
      <c r="B497" s="8">
        <v>45312.458333333343</v>
      </c>
      <c r="C497" t="s">
        <v>14</v>
      </c>
      <c r="D497" t="s">
        <v>36</v>
      </c>
      <c r="E497" t="s">
        <v>69</v>
      </c>
      <c r="F497" t="s">
        <v>71</v>
      </c>
      <c r="G497">
        <v>2</v>
      </c>
      <c r="H497">
        <v>106.76</v>
      </c>
      <c r="I497">
        <v>5</v>
      </c>
      <c r="J497" t="s">
        <v>75</v>
      </c>
      <c r="K497" t="s">
        <v>77</v>
      </c>
      <c r="L497">
        <v>213.52</v>
      </c>
      <c r="M497">
        <v>10.676</v>
      </c>
      <c r="N497">
        <v>202.84399999999999</v>
      </c>
      <c r="O4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7" s="9" t="str">
        <f ca="1">IF(OR(ISNUMBER(Table13[[#This Row],[Order_Date]])=FALSE,Table13[[#This Row],[Order_Date]]&lt;DATE(2000,1,1),Table13[[#This Row],[Order_Date]]&gt;TODAY()),"YES","NO")</f>
        <v>NO</v>
      </c>
      <c r="Q497" s="9">
        <f>IF(Table13[[#This Row],[Order_Status]] = "Cancelled",0,IF(Table13[[#This Row],[Order_Status]] = "Returned",Table13[[#This Row],[Net_Sales]] * -1,Table13[[#This Row],[Net_Sales]]))</f>
        <v>202.84399999999999</v>
      </c>
      <c r="R497" s="9" t="str">
        <f>IF(Table13[[#This Row],[Gross_Sales]]&gt;=500, "YES","NO")</f>
        <v>NO</v>
      </c>
    </row>
    <row r="498" spans="1:18" x14ac:dyDescent="0.3">
      <c r="A498">
        <v>100493</v>
      </c>
      <c r="B498" s="8">
        <v>45312.5</v>
      </c>
      <c r="C498" t="s">
        <v>14</v>
      </c>
      <c r="D498" t="s">
        <v>54</v>
      </c>
      <c r="E498" t="s">
        <v>70</v>
      </c>
      <c r="F498" t="s">
        <v>72</v>
      </c>
      <c r="G498">
        <v>4</v>
      </c>
      <c r="H498">
        <v>89.99</v>
      </c>
      <c r="I498">
        <v>0</v>
      </c>
      <c r="J498" t="s">
        <v>74</v>
      </c>
      <c r="K498" t="s">
        <v>78</v>
      </c>
      <c r="L498">
        <v>359.96</v>
      </c>
      <c r="M498">
        <v>0</v>
      </c>
      <c r="N498">
        <v>359.96</v>
      </c>
      <c r="O4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498" s="9" t="str">
        <f ca="1">IF(OR(ISNUMBER(Table13[[#This Row],[Order_Date]])=FALSE,Table13[[#This Row],[Order_Date]]&lt;DATE(2000,1,1),Table13[[#This Row],[Order_Date]]&gt;TODAY()),"YES","NO")</f>
        <v>NO</v>
      </c>
      <c r="Q498" s="9">
        <f>IF(Table13[[#This Row],[Order_Status]] = "Cancelled",0,IF(Table13[[#This Row],[Order_Status]] = "Returned",Table13[[#This Row],[Net_Sales]] * -1,Table13[[#This Row],[Net_Sales]]))</f>
        <v>-359.96</v>
      </c>
      <c r="R498" s="9" t="str">
        <f>IF(Table13[[#This Row],[Gross_Sales]]&gt;=500, "YES","NO")</f>
        <v>NO</v>
      </c>
    </row>
    <row r="499" spans="1:18" x14ac:dyDescent="0.3">
      <c r="A499">
        <v>100494</v>
      </c>
      <c r="B499" s="8">
        <v>45312.541666666657</v>
      </c>
      <c r="C499" t="s">
        <v>15</v>
      </c>
      <c r="D499" t="s">
        <v>59</v>
      </c>
      <c r="E499" t="s">
        <v>70</v>
      </c>
      <c r="F499" t="s">
        <v>72</v>
      </c>
      <c r="G499">
        <v>2</v>
      </c>
      <c r="H499">
        <v>36.909999999999997</v>
      </c>
      <c r="I499">
        <v>5</v>
      </c>
      <c r="J499" t="s">
        <v>75</v>
      </c>
      <c r="K499" t="s">
        <v>77</v>
      </c>
      <c r="L499">
        <v>73.819999999999993</v>
      </c>
      <c r="M499">
        <v>3.6909999999999998</v>
      </c>
      <c r="N499">
        <v>70.128999999999991</v>
      </c>
      <c r="O4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499" s="9" t="str">
        <f ca="1">IF(OR(ISNUMBER(Table13[[#This Row],[Order_Date]])=FALSE,Table13[[#This Row],[Order_Date]]&lt;DATE(2000,1,1),Table13[[#This Row],[Order_Date]]&gt;TODAY()),"YES","NO")</f>
        <v>NO</v>
      </c>
      <c r="Q499" s="9">
        <f>IF(Table13[[#This Row],[Order_Status]] = "Cancelled",0,IF(Table13[[#This Row],[Order_Status]] = "Returned",Table13[[#This Row],[Net_Sales]] * -1,Table13[[#This Row],[Net_Sales]]))</f>
        <v>70.128999999999991</v>
      </c>
      <c r="R499" s="9" t="str">
        <f>IF(Table13[[#This Row],[Gross_Sales]]&gt;=500, "YES","NO")</f>
        <v>NO</v>
      </c>
    </row>
    <row r="500" spans="1:18" x14ac:dyDescent="0.3">
      <c r="A500">
        <v>100495</v>
      </c>
      <c r="B500" s="8">
        <v>45312.583333333343</v>
      </c>
      <c r="C500" t="s">
        <v>14</v>
      </c>
      <c r="D500" t="s">
        <v>40</v>
      </c>
      <c r="E500" t="s">
        <v>67</v>
      </c>
      <c r="F500" t="s">
        <v>72</v>
      </c>
      <c r="G500">
        <v>3</v>
      </c>
      <c r="H500">
        <v>37.39</v>
      </c>
      <c r="I500">
        <v>10</v>
      </c>
      <c r="J500" t="s">
        <v>75</v>
      </c>
      <c r="K500" t="s">
        <v>77</v>
      </c>
      <c r="L500">
        <v>112.17</v>
      </c>
      <c r="M500">
        <v>11.217000000000001</v>
      </c>
      <c r="N500">
        <v>100.953</v>
      </c>
      <c r="O5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0" s="9" t="str">
        <f ca="1">IF(OR(ISNUMBER(Table13[[#This Row],[Order_Date]])=FALSE,Table13[[#This Row],[Order_Date]]&lt;DATE(2000,1,1),Table13[[#This Row],[Order_Date]]&gt;TODAY()),"YES","NO")</f>
        <v>NO</v>
      </c>
      <c r="Q500" s="9">
        <f>IF(Table13[[#This Row],[Order_Status]] = "Cancelled",0,IF(Table13[[#This Row],[Order_Status]] = "Returned",Table13[[#This Row],[Net_Sales]] * -1,Table13[[#This Row],[Net_Sales]]))</f>
        <v>100.953</v>
      </c>
      <c r="R500" s="9" t="str">
        <f>IF(Table13[[#This Row],[Gross_Sales]]&gt;=500, "YES","NO")</f>
        <v>NO</v>
      </c>
    </row>
    <row r="501" spans="1:18" x14ac:dyDescent="0.3">
      <c r="A501">
        <v>100496</v>
      </c>
      <c r="B501" s="8">
        <v>45312.625</v>
      </c>
      <c r="C501" t="s">
        <v>14</v>
      </c>
      <c r="D501" t="s">
        <v>29</v>
      </c>
      <c r="E501" t="s">
        <v>66</v>
      </c>
      <c r="F501" t="s">
        <v>72</v>
      </c>
      <c r="G501">
        <v>5</v>
      </c>
      <c r="H501">
        <v>115.79</v>
      </c>
      <c r="I501">
        <v>15</v>
      </c>
      <c r="J501" t="s">
        <v>75</v>
      </c>
      <c r="K501" t="s">
        <v>78</v>
      </c>
      <c r="L501">
        <v>578.95000000000005</v>
      </c>
      <c r="M501">
        <v>86.842500000000001</v>
      </c>
      <c r="N501">
        <v>492.10750000000007</v>
      </c>
      <c r="O5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01" s="9" t="str">
        <f ca="1">IF(OR(ISNUMBER(Table13[[#This Row],[Order_Date]])=FALSE,Table13[[#This Row],[Order_Date]]&lt;DATE(2000,1,1),Table13[[#This Row],[Order_Date]]&gt;TODAY()),"YES","NO")</f>
        <v>NO</v>
      </c>
      <c r="Q501" s="9">
        <f>IF(Table13[[#This Row],[Order_Status]] = "Cancelled",0,IF(Table13[[#This Row],[Order_Status]] = "Returned",Table13[[#This Row],[Net_Sales]] * -1,Table13[[#This Row],[Net_Sales]]))</f>
        <v>-492.10750000000007</v>
      </c>
      <c r="R501" s="9" t="str">
        <f>IF(Table13[[#This Row],[Gross_Sales]]&gt;=500, "YES","NO")</f>
        <v>YES</v>
      </c>
    </row>
    <row r="502" spans="1:18" x14ac:dyDescent="0.3">
      <c r="A502">
        <v>100497</v>
      </c>
      <c r="B502" s="8">
        <v>45312.666666666657</v>
      </c>
      <c r="C502" t="s">
        <v>14</v>
      </c>
      <c r="D502" t="s">
        <v>17</v>
      </c>
      <c r="E502" t="s">
        <v>69</v>
      </c>
      <c r="F502" t="s">
        <v>72</v>
      </c>
      <c r="G502">
        <v>3</v>
      </c>
      <c r="H502">
        <v>6.18</v>
      </c>
      <c r="I502">
        <v>5</v>
      </c>
      <c r="J502" t="s">
        <v>74</v>
      </c>
      <c r="K502" t="s">
        <v>77</v>
      </c>
      <c r="L502">
        <v>18.54</v>
      </c>
      <c r="M502">
        <v>0.92700000000000005</v>
      </c>
      <c r="N502">
        <v>17.613</v>
      </c>
      <c r="O5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2" s="9" t="str">
        <f ca="1">IF(OR(ISNUMBER(Table13[[#This Row],[Order_Date]])=FALSE,Table13[[#This Row],[Order_Date]]&lt;DATE(2000,1,1),Table13[[#This Row],[Order_Date]]&gt;TODAY()),"YES","NO")</f>
        <v>NO</v>
      </c>
      <c r="Q502" s="9">
        <f>IF(Table13[[#This Row],[Order_Status]] = "Cancelled",0,IF(Table13[[#This Row],[Order_Status]] = "Returned",Table13[[#This Row],[Net_Sales]] * -1,Table13[[#This Row],[Net_Sales]]))</f>
        <v>17.613</v>
      </c>
      <c r="R502" s="9" t="str">
        <f>IF(Table13[[#This Row],[Gross_Sales]]&gt;=500, "YES","NO")</f>
        <v>NO</v>
      </c>
    </row>
    <row r="503" spans="1:18" x14ac:dyDescent="0.3">
      <c r="A503">
        <v>100498</v>
      </c>
      <c r="B503" s="8">
        <v>45312.708333333343</v>
      </c>
      <c r="C503" t="s">
        <v>15</v>
      </c>
      <c r="D503" t="s">
        <v>17</v>
      </c>
      <c r="E503" t="s">
        <v>70</v>
      </c>
      <c r="F503" t="s">
        <v>71</v>
      </c>
      <c r="G503">
        <v>1</v>
      </c>
      <c r="H503">
        <v>87.35</v>
      </c>
      <c r="I503">
        <v>5</v>
      </c>
      <c r="J503" t="s">
        <v>73</v>
      </c>
      <c r="K503" t="s">
        <v>79</v>
      </c>
      <c r="L503">
        <v>87.35</v>
      </c>
      <c r="M503">
        <v>4.3674999999999997</v>
      </c>
      <c r="N503">
        <v>82.982499999999987</v>
      </c>
      <c r="O5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03" s="9" t="str">
        <f ca="1">IF(OR(ISNUMBER(Table13[[#This Row],[Order_Date]])=FALSE,Table13[[#This Row],[Order_Date]]&lt;DATE(2000,1,1),Table13[[#This Row],[Order_Date]]&gt;TODAY()),"YES","NO")</f>
        <v>NO</v>
      </c>
      <c r="Q503" s="9">
        <f>IF(Table13[[#This Row],[Order_Status]] = "Cancelled",0,IF(Table13[[#This Row],[Order_Status]] = "Returned",Table13[[#This Row],[Net_Sales]] * -1,Table13[[#This Row],[Net_Sales]]))</f>
        <v>0</v>
      </c>
      <c r="R503" s="9" t="str">
        <f>IF(Table13[[#This Row],[Gross_Sales]]&gt;=500, "YES","NO")</f>
        <v>NO</v>
      </c>
    </row>
    <row r="504" spans="1:18" x14ac:dyDescent="0.3">
      <c r="A504">
        <v>100499</v>
      </c>
      <c r="B504" s="8">
        <v>45312.75</v>
      </c>
      <c r="C504" t="s">
        <v>14</v>
      </c>
      <c r="D504" t="s">
        <v>32</v>
      </c>
      <c r="E504" t="s">
        <v>67</v>
      </c>
      <c r="F504" t="s">
        <v>71</v>
      </c>
      <c r="G504">
        <v>5</v>
      </c>
      <c r="H504">
        <v>86.22</v>
      </c>
      <c r="I504">
        <v>15</v>
      </c>
      <c r="J504" t="s">
        <v>75</v>
      </c>
      <c r="K504" t="s">
        <v>77</v>
      </c>
      <c r="L504">
        <v>431.1</v>
      </c>
      <c r="M504">
        <v>64.665000000000006</v>
      </c>
      <c r="N504">
        <v>366.435</v>
      </c>
      <c r="O5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4" s="9" t="str">
        <f ca="1">IF(OR(ISNUMBER(Table13[[#This Row],[Order_Date]])=FALSE,Table13[[#This Row],[Order_Date]]&lt;DATE(2000,1,1),Table13[[#This Row],[Order_Date]]&gt;TODAY()),"YES","NO")</f>
        <v>NO</v>
      </c>
      <c r="Q504" s="9">
        <f>IF(Table13[[#This Row],[Order_Status]] = "Cancelled",0,IF(Table13[[#This Row],[Order_Status]] = "Returned",Table13[[#This Row],[Net_Sales]] * -1,Table13[[#This Row],[Net_Sales]]))</f>
        <v>366.435</v>
      </c>
      <c r="R504" s="9" t="str">
        <f>IF(Table13[[#This Row],[Gross_Sales]]&gt;=500, "YES","NO")</f>
        <v>NO</v>
      </c>
    </row>
    <row r="505" spans="1:18" x14ac:dyDescent="0.3">
      <c r="A505">
        <v>100500</v>
      </c>
      <c r="B505" s="8">
        <v>45312.791666666657</v>
      </c>
      <c r="C505" t="s">
        <v>15</v>
      </c>
      <c r="D505" t="s">
        <v>41</v>
      </c>
      <c r="E505" t="s">
        <v>68</v>
      </c>
      <c r="F505" t="s">
        <v>71</v>
      </c>
      <c r="G505">
        <v>3</v>
      </c>
      <c r="H505">
        <v>76.61</v>
      </c>
      <c r="I505">
        <v>15</v>
      </c>
      <c r="J505" t="s">
        <v>73</v>
      </c>
      <c r="K505" t="s">
        <v>78</v>
      </c>
      <c r="L505">
        <v>229.83</v>
      </c>
      <c r="M505">
        <v>34.474499999999999</v>
      </c>
      <c r="N505">
        <v>195.35550000000001</v>
      </c>
      <c r="O5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05" s="9" t="str">
        <f ca="1">IF(OR(ISNUMBER(Table13[[#This Row],[Order_Date]])=FALSE,Table13[[#This Row],[Order_Date]]&lt;DATE(2000,1,1),Table13[[#This Row],[Order_Date]]&gt;TODAY()),"YES","NO")</f>
        <v>NO</v>
      </c>
      <c r="Q505" s="9">
        <f>IF(Table13[[#This Row],[Order_Status]] = "Cancelled",0,IF(Table13[[#This Row],[Order_Status]] = "Returned",Table13[[#This Row],[Net_Sales]] * -1,Table13[[#This Row],[Net_Sales]]))</f>
        <v>-195.35550000000001</v>
      </c>
      <c r="R505" s="9" t="str">
        <f>IF(Table13[[#This Row],[Gross_Sales]]&gt;=500, "YES","NO")</f>
        <v>NO</v>
      </c>
    </row>
    <row r="506" spans="1:18" x14ac:dyDescent="0.3">
      <c r="A506">
        <v>100501</v>
      </c>
      <c r="B506" s="8">
        <v>45312.833333333343</v>
      </c>
      <c r="C506" t="s">
        <v>14</v>
      </c>
      <c r="D506" t="s">
        <v>45</v>
      </c>
      <c r="E506" t="s">
        <v>69</v>
      </c>
      <c r="F506" t="s">
        <v>71</v>
      </c>
      <c r="G506">
        <v>4</v>
      </c>
      <c r="H506">
        <v>118.86</v>
      </c>
      <c r="I506">
        <v>15</v>
      </c>
      <c r="J506" t="s">
        <v>73</v>
      </c>
      <c r="K506" t="s">
        <v>77</v>
      </c>
      <c r="L506">
        <v>475.44</v>
      </c>
      <c r="M506">
        <v>71.316000000000003</v>
      </c>
      <c r="N506">
        <v>404.12400000000002</v>
      </c>
      <c r="O5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6" s="9" t="str">
        <f ca="1">IF(OR(ISNUMBER(Table13[[#This Row],[Order_Date]])=FALSE,Table13[[#This Row],[Order_Date]]&lt;DATE(2000,1,1),Table13[[#This Row],[Order_Date]]&gt;TODAY()),"YES","NO")</f>
        <v>NO</v>
      </c>
      <c r="Q506" s="9">
        <f>IF(Table13[[#This Row],[Order_Status]] = "Cancelled",0,IF(Table13[[#This Row],[Order_Status]] = "Returned",Table13[[#This Row],[Net_Sales]] * -1,Table13[[#This Row],[Net_Sales]]))</f>
        <v>404.12400000000002</v>
      </c>
      <c r="R506" s="9" t="str">
        <f>IF(Table13[[#This Row],[Gross_Sales]]&gt;=500, "YES","NO")</f>
        <v>NO</v>
      </c>
    </row>
    <row r="507" spans="1:18" x14ac:dyDescent="0.3">
      <c r="A507">
        <v>100502</v>
      </c>
      <c r="B507" s="8">
        <v>45312.875</v>
      </c>
      <c r="C507" t="s">
        <v>14</v>
      </c>
      <c r="D507" t="s">
        <v>25</v>
      </c>
      <c r="E507" t="s">
        <v>70</v>
      </c>
      <c r="F507" t="s">
        <v>72</v>
      </c>
      <c r="G507">
        <v>5</v>
      </c>
      <c r="H507">
        <v>40.869999999999997</v>
      </c>
      <c r="I507">
        <v>10</v>
      </c>
      <c r="J507" t="s">
        <v>76</v>
      </c>
      <c r="K507" t="s">
        <v>77</v>
      </c>
      <c r="L507">
        <v>204.35</v>
      </c>
      <c r="M507">
        <v>20.434999999999999</v>
      </c>
      <c r="N507">
        <v>183.91499999999999</v>
      </c>
      <c r="O5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7" s="9" t="str">
        <f ca="1">IF(OR(ISNUMBER(Table13[[#This Row],[Order_Date]])=FALSE,Table13[[#This Row],[Order_Date]]&lt;DATE(2000,1,1),Table13[[#This Row],[Order_Date]]&gt;TODAY()),"YES","NO")</f>
        <v>NO</v>
      </c>
      <c r="Q507" s="9">
        <f>IF(Table13[[#This Row],[Order_Status]] = "Cancelled",0,IF(Table13[[#This Row],[Order_Status]] = "Returned",Table13[[#This Row],[Net_Sales]] * -1,Table13[[#This Row],[Net_Sales]]))</f>
        <v>183.91499999999999</v>
      </c>
      <c r="R507" s="9" t="str">
        <f>IF(Table13[[#This Row],[Gross_Sales]]&gt;=500, "YES","NO")</f>
        <v>NO</v>
      </c>
    </row>
    <row r="508" spans="1:18" x14ac:dyDescent="0.3">
      <c r="A508">
        <v>100503</v>
      </c>
      <c r="B508" s="8">
        <v>45312.916666666657</v>
      </c>
      <c r="C508" t="s">
        <v>14</v>
      </c>
      <c r="D508" t="s">
        <v>30</v>
      </c>
      <c r="E508" t="s">
        <v>66</v>
      </c>
      <c r="F508" t="s">
        <v>71</v>
      </c>
      <c r="G508">
        <v>5</v>
      </c>
      <c r="H508">
        <v>44.1</v>
      </c>
      <c r="I508">
        <v>15</v>
      </c>
      <c r="J508" t="s">
        <v>74</v>
      </c>
      <c r="K508" t="s">
        <v>77</v>
      </c>
      <c r="L508">
        <v>220.5</v>
      </c>
      <c r="M508">
        <v>33.075000000000003</v>
      </c>
      <c r="N508">
        <v>187.42500000000001</v>
      </c>
      <c r="O5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8" s="9" t="str">
        <f ca="1">IF(OR(ISNUMBER(Table13[[#This Row],[Order_Date]])=FALSE,Table13[[#This Row],[Order_Date]]&lt;DATE(2000,1,1),Table13[[#This Row],[Order_Date]]&gt;TODAY()),"YES","NO")</f>
        <v>NO</v>
      </c>
      <c r="Q508" s="9">
        <f>IF(Table13[[#This Row],[Order_Status]] = "Cancelled",0,IF(Table13[[#This Row],[Order_Status]] = "Returned",Table13[[#This Row],[Net_Sales]] * -1,Table13[[#This Row],[Net_Sales]]))</f>
        <v>187.42500000000001</v>
      </c>
      <c r="R508" s="9" t="str">
        <f>IF(Table13[[#This Row],[Gross_Sales]]&gt;=500, "YES","NO")</f>
        <v>NO</v>
      </c>
    </row>
    <row r="509" spans="1:18" x14ac:dyDescent="0.3">
      <c r="A509">
        <v>100504</v>
      </c>
      <c r="B509" s="8">
        <v>45312.958333333343</v>
      </c>
      <c r="C509" t="s">
        <v>15</v>
      </c>
      <c r="D509" t="s">
        <v>41</v>
      </c>
      <c r="E509" t="s">
        <v>67</v>
      </c>
      <c r="F509" t="s">
        <v>71</v>
      </c>
      <c r="G509">
        <v>2</v>
      </c>
      <c r="H509">
        <v>14.08</v>
      </c>
      <c r="I509">
        <v>0</v>
      </c>
      <c r="J509" t="s">
        <v>74</v>
      </c>
      <c r="K509" t="s">
        <v>77</v>
      </c>
      <c r="L509">
        <v>28.16</v>
      </c>
      <c r="M509">
        <v>0</v>
      </c>
      <c r="N509">
        <v>28.16</v>
      </c>
      <c r="O5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09" s="9" t="str">
        <f ca="1">IF(OR(ISNUMBER(Table13[[#This Row],[Order_Date]])=FALSE,Table13[[#This Row],[Order_Date]]&lt;DATE(2000,1,1),Table13[[#This Row],[Order_Date]]&gt;TODAY()),"YES","NO")</f>
        <v>NO</v>
      </c>
      <c r="Q509" s="9">
        <f>IF(Table13[[#This Row],[Order_Status]] = "Cancelled",0,IF(Table13[[#This Row],[Order_Status]] = "Returned",Table13[[#This Row],[Net_Sales]] * -1,Table13[[#This Row],[Net_Sales]]))</f>
        <v>28.16</v>
      </c>
      <c r="R509" s="9" t="str">
        <f>IF(Table13[[#This Row],[Gross_Sales]]&gt;=500, "YES","NO")</f>
        <v>NO</v>
      </c>
    </row>
    <row r="510" spans="1:18" x14ac:dyDescent="0.3">
      <c r="A510">
        <v>100505</v>
      </c>
      <c r="B510" s="8">
        <v>45313</v>
      </c>
      <c r="C510" t="s">
        <v>14</v>
      </c>
      <c r="D510" t="s">
        <v>39</v>
      </c>
      <c r="E510" t="s">
        <v>70</v>
      </c>
      <c r="F510" t="s">
        <v>72</v>
      </c>
      <c r="G510">
        <v>4</v>
      </c>
      <c r="H510">
        <v>55.92</v>
      </c>
      <c r="I510">
        <v>5</v>
      </c>
      <c r="J510" t="s">
        <v>76</v>
      </c>
      <c r="K510" t="s">
        <v>77</v>
      </c>
      <c r="L510">
        <v>223.68</v>
      </c>
      <c r="M510">
        <v>11.183999999999999</v>
      </c>
      <c r="N510">
        <v>212.49600000000001</v>
      </c>
      <c r="O5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0" s="9" t="str">
        <f ca="1">IF(OR(ISNUMBER(Table13[[#This Row],[Order_Date]])=FALSE,Table13[[#This Row],[Order_Date]]&lt;DATE(2000,1,1),Table13[[#This Row],[Order_Date]]&gt;TODAY()),"YES","NO")</f>
        <v>NO</v>
      </c>
      <c r="Q510" s="9">
        <f>IF(Table13[[#This Row],[Order_Status]] = "Cancelled",0,IF(Table13[[#This Row],[Order_Status]] = "Returned",Table13[[#This Row],[Net_Sales]] * -1,Table13[[#This Row],[Net_Sales]]))</f>
        <v>212.49600000000001</v>
      </c>
      <c r="R510" s="9" t="str">
        <f>IF(Table13[[#This Row],[Gross_Sales]]&gt;=500, "YES","NO")</f>
        <v>NO</v>
      </c>
    </row>
    <row r="511" spans="1:18" x14ac:dyDescent="0.3">
      <c r="A511">
        <v>100506</v>
      </c>
      <c r="B511" s="8">
        <v>45313.041666666657</v>
      </c>
      <c r="C511" t="s">
        <v>14</v>
      </c>
      <c r="D511" t="s">
        <v>47</v>
      </c>
      <c r="E511" t="s">
        <v>66</v>
      </c>
      <c r="F511" t="s">
        <v>71</v>
      </c>
      <c r="G511">
        <v>1</v>
      </c>
      <c r="H511">
        <v>35.020000000000003</v>
      </c>
      <c r="I511">
        <v>15</v>
      </c>
      <c r="J511" t="s">
        <v>76</v>
      </c>
      <c r="K511" t="s">
        <v>77</v>
      </c>
      <c r="L511">
        <v>35.020000000000003</v>
      </c>
      <c r="M511">
        <v>5.2530000000000001</v>
      </c>
      <c r="N511">
        <v>29.766999999999999</v>
      </c>
      <c r="O5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1" s="9" t="str">
        <f ca="1">IF(OR(ISNUMBER(Table13[[#This Row],[Order_Date]])=FALSE,Table13[[#This Row],[Order_Date]]&lt;DATE(2000,1,1),Table13[[#This Row],[Order_Date]]&gt;TODAY()),"YES","NO")</f>
        <v>NO</v>
      </c>
      <c r="Q511" s="9">
        <f>IF(Table13[[#This Row],[Order_Status]] = "Cancelled",0,IF(Table13[[#This Row],[Order_Status]] = "Returned",Table13[[#This Row],[Net_Sales]] * -1,Table13[[#This Row],[Net_Sales]]))</f>
        <v>29.766999999999999</v>
      </c>
      <c r="R511" s="9" t="str">
        <f>IF(Table13[[#This Row],[Gross_Sales]]&gt;=500, "YES","NO")</f>
        <v>NO</v>
      </c>
    </row>
    <row r="512" spans="1:18" x14ac:dyDescent="0.3">
      <c r="A512">
        <v>100507</v>
      </c>
      <c r="B512" s="8">
        <v>45313.083333333343</v>
      </c>
      <c r="C512" t="s">
        <v>15</v>
      </c>
      <c r="D512" t="s">
        <v>31</v>
      </c>
      <c r="E512" t="s">
        <v>70</v>
      </c>
      <c r="F512" t="s">
        <v>71</v>
      </c>
      <c r="G512">
        <v>3</v>
      </c>
      <c r="H512">
        <v>44.49</v>
      </c>
      <c r="I512">
        <v>15</v>
      </c>
      <c r="J512" t="s">
        <v>73</v>
      </c>
      <c r="K512" t="s">
        <v>77</v>
      </c>
      <c r="L512">
        <v>133.47</v>
      </c>
      <c r="M512">
        <v>20.020499999999998</v>
      </c>
      <c r="N512">
        <v>113.4495</v>
      </c>
      <c r="O5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2" s="9" t="str">
        <f ca="1">IF(OR(ISNUMBER(Table13[[#This Row],[Order_Date]])=FALSE,Table13[[#This Row],[Order_Date]]&lt;DATE(2000,1,1),Table13[[#This Row],[Order_Date]]&gt;TODAY()),"YES","NO")</f>
        <v>NO</v>
      </c>
      <c r="Q512" s="9">
        <f>IF(Table13[[#This Row],[Order_Status]] = "Cancelled",0,IF(Table13[[#This Row],[Order_Status]] = "Returned",Table13[[#This Row],[Net_Sales]] * -1,Table13[[#This Row],[Net_Sales]]))</f>
        <v>113.4495</v>
      </c>
      <c r="R512" s="9" t="str">
        <f>IF(Table13[[#This Row],[Gross_Sales]]&gt;=500, "YES","NO")</f>
        <v>NO</v>
      </c>
    </row>
    <row r="513" spans="1:18" x14ac:dyDescent="0.3">
      <c r="A513">
        <v>100508</v>
      </c>
      <c r="B513" s="8">
        <v>45313.125</v>
      </c>
      <c r="C513" t="s">
        <v>14</v>
      </c>
      <c r="D513" t="s">
        <v>65</v>
      </c>
      <c r="E513" t="s">
        <v>69</v>
      </c>
      <c r="F513" t="s">
        <v>72</v>
      </c>
      <c r="G513">
        <v>2</v>
      </c>
      <c r="H513">
        <v>100.98</v>
      </c>
      <c r="I513">
        <v>10</v>
      </c>
      <c r="J513" t="s">
        <v>75</v>
      </c>
      <c r="K513" t="s">
        <v>77</v>
      </c>
      <c r="L513">
        <v>201.96</v>
      </c>
      <c r="M513">
        <v>20.196000000000002</v>
      </c>
      <c r="N513">
        <v>181.76400000000001</v>
      </c>
      <c r="O5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3" s="9" t="str">
        <f ca="1">IF(OR(ISNUMBER(Table13[[#This Row],[Order_Date]])=FALSE,Table13[[#This Row],[Order_Date]]&lt;DATE(2000,1,1),Table13[[#This Row],[Order_Date]]&gt;TODAY()),"YES","NO")</f>
        <v>NO</v>
      </c>
      <c r="Q513" s="9">
        <f>IF(Table13[[#This Row],[Order_Status]] = "Cancelled",0,IF(Table13[[#This Row],[Order_Status]] = "Returned",Table13[[#This Row],[Net_Sales]] * -1,Table13[[#This Row],[Net_Sales]]))</f>
        <v>181.76400000000001</v>
      </c>
      <c r="R513" s="9" t="str">
        <f>IF(Table13[[#This Row],[Gross_Sales]]&gt;=500, "YES","NO")</f>
        <v>NO</v>
      </c>
    </row>
    <row r="514" spans="1:18" x14ac:dyDescent="0.3">
      <c r="A514">
        <v>100509</v>
      </c>
      <c r="B514" s="8">
        <v>45313.166666666657</v>
      </c>
      <c r="C514" t="s">
        <v>15</v>
      </c>
      <c r="D514" t="s">
        <v>27</v>
      </c>
      <c r="E514" t="s">
        <v>69</v>
      </c>
      <c r="F514" t="s">
        <v>71</v>
      </c>
      <c r="G514">
        <v>3</v>
      </c>
      <c r="H514">
        <v>112.58</v>
      </c>
      <c r="I514">
        <v>10</v>
      </c>
      <c r="J514" t="s">
        <v>74</v>
      </c>
      <c r="K514" t="s">
        <v>77</v>
      </c>
      <c r="L514">
        <v>337.74</v>
      </c>
      <c r="M514">
        <v>33.774000000000001</v>
      </c>
      <c r="N514">
        <v>303.96600000000001</v>
      </c>
      <c r="O5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4" s="9" t="str">
        <f ca="1">IF(OR(ISNUMBER(Table13[[#This Row],[Order_Date]])=FALSE,Table13[[#This Row],[Order_Date]]&lt;DATE(2000,1,1),Table13[[#This Row],[Order_Date]]&gt;TODAY()),"YES","NO")</f>
        <v>NO</v>
      </c>
      <c r="Q514" s="9">
        <f>IF(Table13[[#This Row],[Order_Status]] = "Cancelled",0,IF(Table13[[#This Row],[Order_Status]] = "Returned",Table13[[#This Row],[Net_Sales]] * -1,Table13[[#This Row],[Net_Sales]]))</f>
        <v>303.96600000000001</v>
      </c>
      <c r="R514" s="9" t="str">
        <f>IF(Table13[[#This Row],[Gross_Sales]]&gt;=500, "YES","NO")</f>
        <v>NO</v>
      </c>
    </row>
    <row r="515" spans="1:18" x14ac:dyDescent="0.3">
      <c r="A515">
        <v>100510</v>
      </c>
      <c r="B515" s="8">
        <v>45313.208333333343</v>
      </c>
      <c r="C515" t="s">
        <v>15</v>
      </c>
      <c r="D515" t="s">
        <v>43</v>
      </c>
      <c r="E515" t="s">
        <v>69</v>
      </c>
      <c r="F515" t="s">
        <v>71</v>
      </c>
      <c r="G515">
        <v>1</v>
      </c>
      <c r="H515">
        <v>26.36</v>
      </c>
      <c r="I515">
        <v>5</v>
      </c>
      <c r="J515" t="s">
        <v>75</v>
      </c>
      <c r="K515" t="s">
        <v>77</v>
      </c>
      <c r="L515">
        <v>26.36</v>
      </c>
      <c r="M515">
        <v>1.3180000000000001</v>
      </c>
      <c r="N515">
        <v>25.042000000000002</v>
      </c>
      <c r="O5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5" s="9" t="str">
        <f ca="1">IF(OR(ISNUMBER(Table13[[#This Row],[Order_Date]])=FALSE,Table13[[#This Row],[Order_Date]]&lt;DATE(2000,1,1),Table13[[#This Row],[Order_Date]]&gt;TODAY()),"YES","NO")</f>
        <v>NO</v>
      </c>
      <c r="Q515" s="9">
        <f>IF(Table13[[#This Row],[Order_Status]] = "Cancelled",0,IF(Table13[[#This Row],[Order_Status]] = "Returned",Table13[[#This Row],[Net_Sales]] * -1,Table13[[#This Row],[Net_Sales]]))</f>
        <v>25.042000000000002</v>
      </c>
      <c r="R515" s="9" t="str">
        <f>IF(Table13[[#This Row],[Gross_Sales]]&gt;=500, "YES","NO")</f>
        <v>NO</v>
      </c>
    </row>
    <row r="516" spans="1:18" x14ac:dyDescent="0.3">
      <c r="A516">
        <v>100511</v>
      </c>
      <c r="B516" s="8">
        <v>45313.25</v>
      </c>
      <c r="C516" t="s">
        <v>14</v>
      </c>
      <c r="D516" t="s">
        <v>44</v>
      </c>
      <c r="E516" t="s">
        <v>67</v>
      </c>
      <c r="F516" t="s">
        <v>71</v>
      </c>
      <c r="G516">
        <v>1</v>
      </c>
      <c r="H516">
        <v>47.84</v>
      </c>
      <c r="I516">
        <v>0</v>
      </c>
      <c r="J516" t="s">
        <v>75</v>
      </c>
      <c r="K516" t="s">
        <v>77</v>
      </c>
      <c r="L516">
        <v>47.84</v>
      </c>
      <c r="M516">
        <v>0</v>
      </c>
      <c r="N516">
        <v>47.84</v>
      </c>
      <c r="O5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6" s="9" t="str">
        <f ca="1">IF(OR(ISNUMBER(Table13[[#This Row],[Order_Date]])=FALSE,Table13[[#This Row],[Order_Date]]&lt;DATE(2000,1,1),Table13[[#This Row],[Order_Date]]&gt;TODAY()),"YES","NO")</f>
        <v>NO</v>
      </c>
      <c r="Q516" s="9">
        <f>IF(Table13[[#This Row],[Order_Status]] = "Cancelled",0,IF(Table13[[#This Row],[Order_Status]] = "Returned",Table13[[#This Row],[Net_Sales]] * -1,Table13[[#This Row],[Net_Sales]]))</f>
        <v>47.84</v>
      </c>
      <c r="R516" s="9" t="str">
        <f>IF(Table13[[#This Row],[Gross_Sales]]&gt;=500, "YES","NO")</f>
        <v>NO</v>
      </c>
    </row>
    <row r="517" spans="1:18" x14ac:dyDescent="0.3">
      <c r="A517">
        <v>100512</v>
      </c>
      <c r="B517" s="8">
        <v>45313.291666666657</v>
      </c>
      <c r="C517" t="s">
        <v>15</v>
      </c>
      <c r="D517" t="s">
        <v>43</v>
      </c>
      <c r="E517" t="s">
        <v>69</v>
      </c>
      <c r="F517" t="s">
        <v>71</v>
      </c>
      <c r="G517">
        <v>5</v>
      </c>
      <c r="H517">
        <v>111.79</v>
      </c>
      <c r="I517">
        <v>5</v>
      </c>
      <c r="J517" t="s">
        <v>76</v>
      </c>
      <c r="K517" t="s">
        <v>77</v>
      </c>
      <c r="L517">
        <v>558.95000000000005</v>
      </c>
      <c r="M517">
        <v>27.947500000000009</v>
      </c>
      <c r="N517">
        <v>531.00250000000005</v>
      </c>
      <c r="O5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7" s="9" t="str">
        <f ca="1">IF(OR(ISNUMBER(Table13[[#This Row],[Order_Date]])=FALSE,Table13[[#This Row],[Order_Date]]&lt;DATE(2000,1,1),Table13[[#This Row],[Order_Date]]&gt;TODAY()),"YES","NO")</f>
        <v>NO</v>
      </c>
      <c r="Q517" s="9">
        <f>IF(Table13[[#This Row],[Order_Status]] = "Cancelled",0,IF(Table13[[#This Row],[Order_Status]] = "Returned",Table13[[#This Row],[Net_Sales]] * -1,Table13[[#This Row],[Net_Sales]]))</f>
        <v>531.00250000000005</v>
      </c>
      <c r="R517" s="9" t="str">
        <f>IF(Table13[[#This Row],[Gross_Sales]]&gt;=500, "YES","NO")</f>
        <v>YES</v>
      </c>
    </row>
    <row r="518" spans="1:18" x14ac:dyDescent="0.3">
      <c r="A518">
        <v>100513</v>
      </c>
      <c r="B518" s="8">
        <v>45313.333333333343</v>
      </c>
      <c r="C518" t="s">
        <v>14</v>
      </c>
      <c r="D518" t="s">
        <v>16</v>
      </c>
      <c r="E518" t="s">
        <v>66</v>
      </c>
      <c r="F518" t="s">
        <v>71</v>
      </c>
      <c r="G518">
        <v>1</v>
      </c>
      <c r="H518">
        <v>12.11</v>
      </c>
      <c r="I518">
        <v>15</v>
      </c>
      <c r="J518" t="s">
        <v>75</v>
      </c>
      <c r="K518" t="s">
        <v>77</v>
      </c>
      <c r="L518">
        <v>12.11</v>
      </c>
      <c r="M518">
        <v>1.8165</v>
      </c>
      <c r="N518">
        <v>10.2935</v>
      </c>
      <c r="O5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8" s="9" t="str">
        <f ca="1">IF(OR(ISNUMBER(Table13[[#This Row],[Order_Date]])=FALSE,Table13[[#This Row],[Order_Date]]&lt;DATE(2000,1,1),Table13[[#This Row],[Order_Date]]&gt;TODAY()),"YES","NO")</f>
        <v>NO</v>
      </c>
      <c r="Q518" s="9">
        <f>IF(Table13[[#This Row],[Order_Status]] = "Cancelled",0,IF(Table13[[#This Row],[Order_Status]] = "Returned",Table13[[#This Row],[Net_Sales]] * -1,Table13[[#This Row],[Net_Sales]]))</f>
        <v>10.2935</v>
      </c>
      <c r="R518" s="9" t="str">
        <f>IF(Table13[[#This Row],[Gross_Sales]]&gt;=500, "YES","NO")</f>
        <v>NO</v>
      </c>
    </row>
    <row r="519" spans="1:18" x14ac:dyDescent="0.3">
      <c r="A519">
        <v>100514</v>
      </c>
      <c r="B519" s="8">
        <v>45313.375</v>
      </c>
      <c r="C519" t="s">
        <v>15</v>
      </c>
      <c r="D519" t="s">
        <v>62</v>
      </c>
      <c r="E519" t="s">
        <v>70</v>
      </c>
      <c r="F519" t="s">
        <v>72</v>
      </c>
      <c r="G519">
        <v>3</v>
      </c>
      <c r="H519">
        <v>15.62</v>
      </c>
      <c r="I519">
        <v>0</v>
      </c>
      <c r="J519" t="s">
        <v>73</v>
      </c>
      <c r="K519" t="s">
        <v>77</v>
      </c>
      <c r="L519">
        <v>46.86</v>
      </c>
      <c r="M519">
        <v>0</v>
      </c>
      <c r="N519">
        <v>46.86</v>
      </c>
      <c r="O5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19" s="9" t="str">
        <f ca="1">IF(OR(ISNUMBER(Table13[[#This Row],[Order_Date]])=FALSE,Table13[[#This Row],[Order_Date]]&lt;DATE(2000,1,1),Table13[[#This Row],[Order_Date]]&gt;TODAY()),"YES","NO")</f>
        <v>NO</v>
      </c>
      <c r="Q519" s="9">
        <f>IF(Table13[[#This Row],[Order_Status]] = "Cancelled",0,IF(Table13[[#This Row],[Order_Status]] = "Returned",Table13[[#This Row],[Net_Sales]] * -1,Table13[[#This Row],[Net_Sales]]))</f>
        <v>46.86</v>
      </c>
      <c r="R519" s="9" t="str">
        <f>IF(Table13[[#This Row],[Gross_Sales]]&gt;=500, "YES","NO")</f>
        <v>NO</v>
      </c>
    </row>
    <row r="520" spans="1:18" x14ac:dyDescent="0.3">
      <c r="A520">
        <v>100515</v>
      </c>
      <c r="B520" s="8">
        <v>45313.416666666657</v>
      </c>
      <c r="C520" t="s">
        <v>15</v>
      </c>
      <c r="D520" t="s">
        <v>58</v>
      </c>
      <c r="E520" t="s">
        <v>68</v>
      </c>
      <c r="F520" t="s">
        <v>72</v>
      </c>
      <c r="G520">
        <v>4</v>
      </c>
      <c r="H520">
        <v>23.72</v>
      </c>
      <c r="I520">
        <v>0</v>
      </c>
      <c r="J520" t="s">
        <v>76</v>
      </c>
      <c r="K520" t="s">
        <v>77</v>
      </c>
      <c r="L520">
        <v>94.88</v>
      </c>
      <c r="M520">
        <v>0</v>
      </c>
      <c r="N520">
        <v>94.88</v>
      </c>
      <c r="O5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0" s="9" t="str">
        <f ca="1">IF(OR(ISNUMBER(Table13[[#This Row],[Order_Date]])=FALSE,Table13[[#This Row],[Order_Date]]&lt;DATE(2000,1,1),Table13[[#This Row],[Order_Date]]&gt;TODAY()),"YES","NO")</f>
        <v>NO</v>
      </c>
      <c r="Q520" s="9">
        <f>IF(Table13[[#This Row],[Order_Status]] = "Cancelled",0,IF(Table13[[#This Row],[Order_Status]] = "Returned",Table13[[#This Row],[Net_Sales]] * -1,Table13[[#This Row],[Net_Sales]]))</f>
        <v>94.88</v>
      </c>
      <c r="R520" s="9" t="str">
        <f>IF(Table13[[#This Row],[Gross_Sales]]&gt;=500, "YES","NO")</f>
        <v>NO</v>
      </c>
    </row>
    <row r="521" spans="1:18" x14ac:dyDescent="0.3">
      <c r="A521">
        <v>100516</v>
      </c>
      <c r="B521" s="8">
        <v>45313.458333333343</v>
      </c>
      <c r="C521" t="s">
        <v>14</v>
      </c>
      <c r="D521" t="s">
        <v>60</v>
      </c>
      <c r="E521" t="s">
        <v>66</v>
      </c>
      <c r="F521" t="s">
        <v>72</v>
      </c>
      <c r="G521">
        <v>4</v>
      </c>
      <c r="H521">
        <v>73.45</v>
      </c>
      <c r="I521">
        <v>0</v>
      </c>
      <c r="J521" t="s">
        <v>75</v>
      </c>
      <c r="K521" t="s">
        <v>78</v>
      </c>
      <c r="L521">
        <v>293.8</v>
      </c>
      <c r="M521">
        <v>0</v>
      </c>
      <c r="N521">
        <v>293.8</v>
      </c>
      <c r="O5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21" s="9" t="str">
        <f ca="1">IF(OR(ISNUMBER(Table13[[#This Row],[Order_Date]])=FALSE,Table13[[#This Row],[Order_Date]]&lt;DATE(2000,1,1),Table13[[#This Row],[Order_Date]]&gt;TODAY()),"YES","NO")</f>
        <v>NO</v>
      </c>
      <c r="Q521" s="9">
        <f>IF(Table13[[#This Row],[Order_Status]] = "Cancelled",0,IF(Table13[[#This Row],[Order_Status]] = "Returned",Table13[[#This Row],[Net_Sales]] * -1,Table13[[#This Row],[Net_Sales]]))</f>
        <v>-293.8</v>
      </c>
      <c r="R521" s="9" t="str">
        <f>IF(Table13[[#This Row],[Gross_Sales]]&gt;=500, "YES","NO")</f>
        <v>NO</v>
      </c>
    </row>
    <row r="522" spans="1:18" x14ac:dyDescent="0.3">
      <c r="A522">
        <v>100517</v>
      </c>
      <c r="B522" s="8">
        <v>45313.5</v>
      </c>
      <c r="C522" t="s">
        <v>15</v>
      </c>
      <c r="D522" t="s">
        <v>30</v>
      </c>
      <c r="E522" t="s">
        <v>66</v>
      </c>
      <c r="F522" t="s">
        <v>72</v>
      </c>
      <c r="G522">
        <v>5</v>
      </c>
      <c r="H522">
        <v>22.3</v>
      </c>
      <c r="I522">
        <v>0</v>
      </c>
      <c r="J522" t="s">
        <v>76</v>
      </c>
      <c r="K522" t="s">
        <v>77</v>
      </c>
      <c r="L522">
        <v>111.5</v>
      </c>
      <c r="M522">
        <v>0</v>
      </c>
      <c r="N522">
        <v>111.5</v>
      </c>
      <c r="O5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2" s="9" t="str">
        <f ca="1">IF(OR(ISNUMBER(Table13[[#This Row],[Order_Date]])=FALSE,Table13[[#This Row],[Order_Date]]&lt;DATE(2000,1,1),Table13[[#This Row],[Order_Date]]&gt;TODAY()),"YES","NO")</f>
        <v>NO</v>
      </c>
      <c r="Q522" s="9">
        <f>IF(Table13[[#This Row],[Order_Status]] = "Cancelled",0,IF(Table13[[#This Row],[Order_Status]] = "Returned",Table13[[#This Row],[Net_Sales]] * -1,Table13[[#This Row],[Net_Sales]]))</f>
        <v>111.5</v>
      </c>
      <c r="R522" s="9" t="str">
        <f>IF(Table13[[#This Row],[Gross_Sales]]&gt;=500, "YES","NO")</f>
        <v>NO</v>
      </c>
    </row>
    <row r="523" spans="1:18" x14ac:dyDescent="0.3">
      <c r="A523">
        <v>100518</v>
      </c>
      <c r="B523" s="8">
        <v>45313.541666666657</v>
      </c>
      <c r="C523" t="s">
        <v>15</v>
      </c>
      <c r="D523" t="s">
        <v>65</v>
      </c>
      <c r="E523" t="s">
        <v>69</v>
      </c>
      <c r="F523" t="s">
        <v>72</v>
      </c>
      <c r="G523">
        <v>3</v>
      </c>
      <c r="H523">
        <v>116.33</v>
      </c>
      <c r="I523">
        <v>5</v>
      </c>
      <c r="J523" t="s">
        <v>73</v>
      </c>
      <c r="K523" t="s">
        <v>77</v>
      </c>
      <c r="L523">
        <v>348.99</v>
      </c>
      <c r="M523">
        <v>17.4495</v>
      </c>
      <c r="N523">
        <v>331.54050000000001</v>
      </c>
      <c r="O5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3" s="9" t="str">
        <f ca="1">IF(OR(ISNUMBER(Table13[[#This Row],[Order_Date]])=FALSE,Table13[[#This Row],[Order_Date]]&lt;DATE(2000,1,1),Table13[[#This Row],[Order_Date]]&gt;TODAY()),"YES","NO")</f>
        <v>NO</v>
      </c>
      <c r="Q523" s="9">
        <f>IF(Table13[[#This Row],[Order_Status]] = "Cancelled",0,IF(Table13[[#This Row],[Order_Status]] = "Returned",Table13[[#This Row],[Net_Sales]] * -1,Table13[[#This Row],[Net_Sales]]))</f>
        <v>331.54050000000001</v>
      </c>
      <c r="R523" s="9" t="str">
        <f>IF(Table13[[#This Row],[Gross_Sales]]&gt;=500, "YES","NO")</f>
        <v>NO</v>
      </c>
    </row>
    <row r="524" spans="1:18" x14ac:dyDescent="0.3">
      <c r="A524">
        <v>100519</v>
      </c>
      <c r="B524" s="8">
        <v>45313.583333333343</v>
      </c>
      <c r="C524" t="s">
        <v>15</v>
      </c>
      <c r="D524" t="s">
        <v>26</v>
      </c>
      <c r="E524" t="s">
        <v>67</v>
      </c>
      <c r="F524" t="s">
        <v>72</v>
      </c>
      <c r="G524">
        <v>3</v>
      </c>
      <c r="H524">
        <v>56.37</v>
      </c>
      <c r="I524">
        <v>10</v>
      </c>
      <c r="J524" t="s">
        <v>73</v>
      </c>
      <c r="K524" t="s">
        <v>77</v>
      </c>
      <c r="L524">
        <v>169.11</v>
      </c>
      <c r="M524">
        <v>16.911000000000001</v>
      </c>
      <c r="N524">
        <v>152.19900000000001</v>
      </c>
      <c r="O5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4" s="9" t="str">
        <f ca="1">IF(OR(ISNUMBER(Table13[[#This Row],[Order_Date]])=FALSE,Table13[[#This Row],[Order_Date]]&lt;DATE(2000,1,1),Table13[[#This Row],[Order_Date]]&gt;TODAY()),"YES","NO")</f>
        <v>NO</v>
      </c>
      <c r="Q524" s="9">
        <f>IF(Table13[[#This Row],[Order_Status]] = "Cancelled",0,IF(Table13[[#This Row],[Order_Status]] = "Returned",Table13[[#This Row],[Net_Sales]] * -1,Table13[[#This Row],[Net_Sales]]))</f>
        <v>152.19900000000001</v>
      </c>
      <c r="R524" s="9" t="str">
        <f>IF(Table13[[#This Row],[Gross_Sales]]&gt;=500, "YES","NO")</f>
        <v>NO</v>
      </c>
    </row>
    <row r="525" spans="1:18" x14ac:dyDescent="0.3">
      <c r="A525">
        <v>100520</v>
      </c>
      <c r="B525" s="8">
        <v>45313.625</v>
      </c>
      <c r="C525" t="s">
        <v>15</v>
      </c>
      <c r="D525" t="s">
        <v>60</v>
      </c>
      <c r="E525" t="s">
        <v>70</v>
      </c>
      <c r="F525" t="s">
        <v>71</v>
      </c>
      <c r="G525">
        <v>1</v>
      </c>
      <c r="H525">
        <v>62.67</v>
      </c>
      <c r="I525">
        <v>10</v>
      </c>
      <c r="J525" t="s">
        <v>75</v>
      </c>
      <c r="K525" t="s">
        <v>77</v>
      </c>
      <c r="L525">
        <v>62.67</v>
      </c>
      <c r="M525">
        <v>6.2670000000000003</v>
      </c>
      <c r="N525">
        <v>56.402999999999999</v>
      </c>
      <c r="O5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5" s="9" t="str">
        <f ca="1">IF(OR(ISNUMBER(Table13[[#This Row],[Order_Date]])=FALSE,Table13[[#This Row],[Order_Date]]&lt;DATE(2000,1,1),Table13[[#This Row],[Order_Date]]&gt;TODAY()),"YES","NO")</f>
        <v>NO</v>
      </c>
      <c r="Q525" s="9">
        <f>IF(Table13[[#This Row],[Order_Status]] = "Cancelled",0,IF(Table13[[#This Row],[Order_Status]] = "Returned",Table13[[#This Row],[Net_Sales]] * -1,Table13[[#This Row],[Net_Sales]]))</f>
        <v>56.402999999999999</v>
      </c>
      <c r="R525" s="9" t="str">
        <f>IF(Table13[[#This Row],[Gross_Sales]]&gt;=500, "YES","NO")</f>
        <v>NO</v>
      </c>
    </row>
    <row r="526" spans="1:18" x14ac:dyDescent="0.3">
      <c r="A526">
        <v>100521</v>
      </c>
      <c r="B526" s="8">
        <v>45313.666666666657</v>
      </c>
      <c r="C526" t="s">
        <v>15</v>
      </c>
      <c r="D526" t="s">
        <v>18</v>
      </c>
      <c r="E526" t="s">
        <v>67</v>
      </c>
      <c r="F526" t="s">
        <v>72</v>
      </c>
      <c r="G526">
        <v>3</v>
      </c>
      <c r="H526">
        <v>33.369999999999997</v>
      </c>
      <c r="I526">
        <v>15</v>
      </c>
      <c r="J526" t="s">
        <v>76</v>
      </c>
      <c r="K526" t="s">
        <v>77</v>
      </c>
      <c r="L526">
        <v>100.11</v>
      </c>
      <c r="M526">
        <v>15.016500000000001</v>
      </c>
      <c r="N526">
        <v>85.093499999999992</v>
      </c>
      <c r="O5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6" s="9" t="str">
        <f ca="1">IF(OR(ISNUMBER(Table13[[#This Row],[Order_Date]])=FALSE,Table13[[#This Row],[Order_Date]]&lt;DATE(2000,1,1),Table13[[#This Row],[Order_Date]]&gt;TODAY()),"YES","NO")</f>
        <v>NO</v>
      </c>
      <c r="Q526" s="9">
        <f>IF(Table13[[#This Row],[Order_Status]] = "Cancelled",0,IF(Table13[[#This Row],[Order_Status]] = "Returned",Table13[[#This Row],[Net_Sales]] * -1,Table13[[#This Row],[Net_Sales]]))</f>
        <v>85.093499999999992</v>
      </c>
      <c r="R526" s="9" t="str">
        <f>IF(Table13[[#This Row],[Gross_Sales]]&gt;=500, "YES","NO")</f>
        <v>NO</v>
      </c>
    </row>
    <row r="527" spans="1:18" x14ac:dyDescent="0.3">
      <c r="A527">
        <v>100522</v>
      </c>
      <c r="B527" s="8">
        <v>45313.708333333343</v>
      </c>
      <c r="C527" t="s">
        <v>14</v>
      </c>
      <c r="D527" t="s">
        <v>38</v>
      </c>
      <c r="E527" t="s">
        <v>70</v>
      </c>
      <c r="F527" t="s">
        <v>72</v>
      </c>
      <c r="G527">
        <v>2</v>
      </c>
      <c r="H527">
        <v>59.16</v>
      </c>
      <c r="I527">
        <v>10</v>
      </c>
      <c r="J527" t="s">
        <v>75</v>
      </c>
      <c r="K527" t="s">
        <v>77</v>
      </c>
      <c r="L527">
        <v>118.32</v>
      </c>
      <c r="M527">
        <v>11.832000000000001</v>
      </c>
      <c r="N527">
        <v>106.488</v>
      </c>
      <c r="O5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7" s="9" t="str">
        <f ca="1">IF(OR(ISNUMBER(Table13[[#This Row],[Order_Date]])=FALSE,Table13[[#This Row],[Order_Date]]&lt;DATE(2000,1,1),Table13[[#This Row],[Order_Date]]&gt;TODAY()),"YES","NO")</f>
        <v>NO</v>
      </c>
      <c r="Q527" s="9">
        <f>IF(Table13[[#This Row],[Order_Status]] = "Cancelled",0,IF(Table13[[#This Row],[Order_Status]] = "Returned",Table13[[#This Row],[Net_Sales]] * -1,Table13[[#This Row],[Net_Sales]]))</f>
        <v>106.488</v>
      </c>
      <c r="R527" s="9" t="str">
        <f>IF(Table13[[#This Row],[Gross_Sales]]&gt;=500, "YES","NO")</f>
        <v>NO</v>
      </c>
    </row>
    <row r="528" spans="1:18" x14ac:dyDescent="0.3">
      <c r="A528">
        <v>100523</v>
      </c>
      <c r="B528" s="8">
        <v>45313.75</v>
      </c>
      <c r="C528" t="s">
        <v>15</v>
      </c>
      <c r="D528" t="s">
        <v>23</v>
      </c>
      <c r="E528" t="s">
        <v>70</v>
      </c>
      <c r="F528" t="s">
        <v>71</v>
      </c>
      <c r="G528">
        <v>1</v>
      </c>
      <c r="H528">
        <v>81.12</v>
      </c>
      <c r="I528">
        <v>10</v>
      </c>
      <c r="J528" t="s">
        <v>75</v>
      </c>
      <c r="K528" t="s">
        <v>77</v>
      </c>
      <c r="L528">
        <v>81.12</v>
      </c>
      <c r="M528">
        <v>8.1120000000000001</v>
      </c>
      <c r="N528">
        <v>73.00800000000001</v>
      </c>
      <c r="O5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8" s="9" t="str">
        <f ca="1">IF(OR(ISNUMBER(Table13[[#This Row],[Order_Date]])=FALSE,Table13[[#This Row],[Order_Date]]&lt;DATE(2000,1,1),Table13[[#This Row],[Order_Date]]&gt;TODAY()),"YES","NO")</f>
        <v>NO</v>
      </c>
      <c r="Q528" s="9">
        <f>IF(Table13[[#This Row],[Order_Status]] = "Cancelled",0,IF(Table13[[#This Row],[Order_Status]] = "Returned",Table13[[#This Row],[Net_Sales]] * -1,Table13[[#This Row],[Net_Sales]]))</f>
        <v>73.00800000000001</v>
      </c>
      <c r="R528" s="9" t="str">
        <f>IF(Table13[[#This Row],[Gross_Sales]]&gt;=500, "YES","NO")</f>
        <v>NO</v>
      </c>
    </row>
    <row r="529" spans="1:18" x14ac:dyDescent="0.3">
      <c r="A529">
        <v>100524</v>
      </c>
      <c r="B529" s="8">
        <v>45313.791666666657</v>
      </c>
      <c r="C529" t="s">
        <v>14</v>
      </c>
      <c r="D529" t="s">
        <v>62</v>
      </c>
      <c r="E529" t="s">
        <v>67</v>
      </c>
      <c r="F529" t="s">
        <v>71</v>
      </c>
      <c r="G529">
        <v>2</v>
      </c>
      <c r="H529">
        <v>91.39</v>
      </c>
      <c r="I529">
        <v>10</v>
      </c>
      <c r="J529" t="s">
        <v>76</v>
      </c>
      <c r="K529" t="s">
        <v>77</v>
      </c>
      <c r="L529">
        <v>182.78</v>
      </c>
      <c r="M529">
        <v>18.277999999999999</v>
      </c>
      <c r="N529">
        <v>164.50200000000001</v>
      </c>
      <c r="O5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29" s="9" t="str">
        <f ca="1">IF(OR(ISNUMBER(Table13[[#This Row],[Order_Date]])=FALSE,Table13[[#This Row],[Order_Date]]&lt;DATE(2000,1,1),Table13[[#This Row],[Order_Date]]&gt;TODAY()),"YES","NO")</f>
        <v>NO</v>
      </c>
      <c r="Q529" s="9">
        <f>IF(Table13[[#This Row],[Order_Status]] = "Cancelled",0,IF(Table13[[#This Row],[Order_Status]] = "Returned",Table13[[#This Row],[Net_Sales]] * -1,Table13[[#This Row],[Net_Sales]]))</f>
        <v>164.50200000000001</v>
      </c>
      <c r="R529" s="9" t="str">
        <f>IF(Table13[[#This Row],[Gross_Sales]]&gt;=500, "YES","NO")</f>
        <v>NO</v>
      </c>
    </row>
    <row r="530" spans="1:18" x14ac:dyDescent="0.3">
      <c r="A530">
        <v>100525</v>
      </c>
      <c r="B530" s="8">
        <v>45313.833333333343</v>
      </c>
      <c r="C530" t="s">
        <v>15</v>
      </c>
      <c r="D530" t="s">
        <v>42</v>
      </c>
      <c r="E530" t="s">
        <v>66</v>
      </c>
      <c r="F530" t="s">
        <v>72</v>
      </c>
      <c r="G530">
        <v>5</v>
      </c>
      <c r="H530">
        <v>91.69</v>
      </c>
      <c r="I530">
        <v>10</v>
      </c>
      <c r="J530" t="s">
        <v>75</v>
      </c>
      <c r="K530" t="s">
        <v>77</v>
      </c>
      <c r="L530">
        <v>458.45</v>
      </c>
      <c r="M530">
        <v>45.844999999999999</v>
      </c>
      <c r="N530">
        <v>412.60500000000002</v>
      </c>
      <c r="O5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0" s="9" t="str">
        <f ca="1">IF(OR(ISNUMBER(Table13[[#This Row],[Order_Date]])=FALSE,Table13[[#This Row],[Order_Date]]&lt;DATE(2000,1,1),Table13[[#This Row],[Order_Date]]&gt;TODAY()),"YES","NO")</f>
        <v>NO</v>
      </c>
      <c r="Q530" s="9">
        <f>IF(Table13[[#This Row],[Order_Status]] = "Cancelled",0,IF(Table13[[#This Row],[Order_Status]] = "Returned",Table13[[#This Row],[Net_Sales]] * -1,Table13[[#This Row],[Net_Sales]]))</f>
        <v>412.60500000000002</v>
      </c>
      <c r="R530" s="9" t="str">
        <f>IF(Table13[[#This Row],[Gross_Sales]]&gt;=500, "YES","NO")</f>
        <v>NO</v>
      </c>
    </row>
    <row r="531" spans="1:18" x14ac:dyDescent="0.3">
      <c r="A531">
        <v>100526</v>
      </c>
      <c r="B531" s="8">
        <v>45313.875</v>
      </c>
      <c r="C531" t="s">
        <v>14</v>
      </c>
      <c r="D531" t="s">
        <v>41</v>
      </c>
      <c r="E531" t="s">
        <v>70</v>
      </c>
      <c r="F531" t="s">
        <v>71</v>
      </c>
      <c r="G531">
        <v>4</v>
      </c>
      <c r="H531">
        <v>71.459999999999994</v>
      </c>
      <c r="I531">
        <v>15</v>
      </c>
      <c r="J531" t="s">
        <v>73</v>
      </c>
      <c r="K531" t="s">
        <v>77</v>
      </c>
      <c r="L531">
        <v>285.83999999999997</v>
      </c>
      <c r="M531">
        <v>42.875999999999998</v>
      </c>
      <c r="N531">
        <v>242.964</v>
      </c>
      <c r="O5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1" s="9" t="str">
        <f ca="1">IF(OR(ISNUMBER(Table13[[#This Row],[Order_Date]])=FALSE,Table13[[#This Row],[Order_Date]]&lt;DATE(2000,1,1),Table13[[#This Row],[Order_Date]]&gt;TODAY()),"YES","NO")</f>
        <v>NO</v>
      </c>
      <c r="Q531" s="9">
        <f>IF(Table13[[#This Row],[Order_Status]] = "Cancelled",0,IF(Table13[[#This Row],[Order_Status]] = "Returned",Table13[[#This Row],[Net_Sales]] * -1,Table13[[#This Row],[Net_Sales]]))</f>
        <v>242.964</v>
      </c>
      <c r="R531" s="9" t="str">
        <f>IF(Table13[[#This Row],[Gross_Sales]]&gt;=500, "YES","NO")</f>
        <v>NO</v>
      </c>
    </row>
    <row r="532" spans="1:18" x14ac:dyDescent="0.3">
      <c r="A532">
        <v>100527</v>
      </c>
      <c r="B532" s="8">
        <v>45313.916666666657</v>
      </c>
      <c r="C532" t="s">
        <v>14</v>
      </c>
      <c r="D532" t="s">
        <v>21</v>
      </c>
      <c r="E532" t="s">
        <v>67</v>
      </c>
      <c r="F532" t="s">
        <v>72</v>
      </c>
      <c r="G532">
        <v>5</v>
      </c>
      <c r="H532">
        <v>109</v>
      </c>
      <c r="I532">
        <v>5</v>
      </c>
      <c r="J532" t="s">
        <v>76</v>
      </c>
      <c r="K532" t="s">
        <v>78</v>
      </c>
      <c r="L532">
        <v>545</v>
      </c>
      <c r="M532">
        <v>27.25</v>
      </c>
      <c r="N532">
        <v>517.75</v>
      </c>
      <c r="O5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32" s="9" t="str">
        <f ca="1">IF(OR(ISNUMBER(Table13[[#This Row],[Order_Date]])=FALSE,Table13[[#This Row],[Order_Date]]&lt;DATE(2000,1,1),Table13[[#This Row],[Order_Date]]&gt;TODAY()),"YES","NO")</f>
        <v>NO</v>
      </c>
      <c r="Q532" s="9">
        <f>IF(Table13[[#This Row],[Order_Status]] = "Cancelled",0,IF(Table13[[#This Row],[Order_Status]] = "Returned",Table13[[#This Row],[Net_Sales]] * -1,Table13[[#This Row],[Net_Sales]]))</f>
        <v>-517.75</v>
      </c>
      <c r="R532" s="9" t="str">
        <f>IF(Table13[[#This Row],[Gross_Sales]]&gt;=500, "YES","NO")</f>
        <v>YES</v>
      </c>
    </row>
    <row r="533" spans="1:18" x14ac:dyDescent="0.3">
      <c r="A533">
        <v>100528</v>
      </c>
      <c r="B533" s="8">
        <v>45313.958333333343</v>
      </c>
      <c r="C533" t="s">
        <v>15</v>
      </c>
      <c r="D533" t="s">
        <v>34</v>
      </c>
      <c r="E533" t="s">
        <v>70</v>
      </c>
      <c r="F533" t="s">
        <v>71</v>
      </c>
      <c r="G533">
        <v>4</v>
      </c>
      <c r="H533">
        <v>99</v>
      </c>
      <c r="I533">
        <v>0</v>
      </c>
      <c r="J533" t="s">
        <v>76</v>
      </c>
      <c r="K533" t="s">
        <v>77</v>
      </c>
      <c r="L533">
        <v>396</v>
      </c>
      <c r="M533">
        <v>0</v>
      </c>
      <c r="N533">
        <v>396</v>
      </c>
      <c r="O5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3" s="9" t="str">
        <f ca="1">IF(OR(ISNUMBER(Table13[[#This Row],[Order_Date]])=FALSE,Table13[[#This Row],[Order_Date]]&lt;DATE(2000,1,1),Table13[[#This Row],[Order_Date]]&gt;TODAY()),"YES","NO")</f>
        <v>NO</v>
      </c>
      <c r="Q533" s="9">
        <f>IF(Table13[[#This Row],[Order_Status]] = "Cancelled",0,IF(Table13[[#This Row],[Order_Status]] = "Returned",Table13[[#This Row],[Net_Sales]] * -1,Table13[[#This Row],[Net_Sales]]))</f>
        <v>396</v>
      </c>
      <c r="R533" s="9" t="str">
        <f>IF(Table13[[#This Row],[Gross_Sales]]&gt;=500, "YES","NO")</f>
        <v>NO</v>
      </c>
    </row>
    <row r="534" spans="1:18" x14ac:dyDescent="0.3">
      <c r="A534">
        <v>100529</v>
      </c>
      <c r="B534" s="8">
        <v>45314</v>
      </c>
      <c r="C534" t="s">
        <v>15</v>
      </c>
      <c r="D534" t="s">
        <v>40</v>
      </c>
      <c r="E534" t="s">
        <v>68</v>
      </c>
      <c r="F534" t="s">
        <v>72</v>
      </c>
      <c r="G534">
        <v>5</v>
      </c>
      <c r="H534">
        <v>92.06</v>
      </c>
      <c r="I534">
        <v>10</v>
      </c>
      <c r="J534" t="s">
        <v>76</v>
      </c>
      <c r="K534" t="s">
        <v>77</v>
      </c>
      <c r="L534">
        <v>460.3</v>
      </c>
      <c r="M534">
        <v>46.03</v>
      </c>
      <c r="N534">
        <v>414.27</v>
      </c>
      <c r="O5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4" s="9" t="str">
        <f ca="1">IF(OR(ISNUMBER(Table13[[#This Row],[Order_Date]])=FALSE,Table13[[#This Row],[Order_Date]]&lt;DATE(2000,1,1),Table13[[#This Row],[Order_Date]]&gt;TODAY()),"YES","NO")</f>
        <v>NO</v>
      </c>
      <c r="Q534" s="9">
        <f>IF(Table13[[#This Row],[Order_Status]] = "Cancelled",0,IF(Table13[[#This Row],[Order_Status]] = "Returned",Table13[[#This Row],[Net_Sales]] * -1,Table13[[#This Row],[Net_Sales]]))</f>
        <v>414.27</v>
      </c>
      <c r="R534" s="9" t="str">
        <f>IF(Table13[[#This Row],[Gross_Sales]]&gt;=500, "YES","NO")</f>
        <v>NO</v>
      </c>
    </row>
    <row r="535" spans="1:18" x14ac:dyDescent="0.3">
      <c r="A535">
        <v>100530</v>
      </c>
      <c r="B535" s="8">
        <v>45314.041666666657</v>
      </c>
      <c r="C535" t="s">
        <v>15</v>
      </c>
      <c r="D535" t="s">
        <v>38</v>
      </c>
      <c r="E535" t="s">
        <v>66</v>
      </c>
      <c r="F535" t="s">
        <v>71</v>
      </c>
      <c r="G535">
        <v>3</v>
      </c>
      <c r="H535">
        <v>11.39</v>
      </c>
      <c r="I535">
        <v>5</v>
      </c>
      <c r="J535" t="s">
        <v>76</v>
      </c>
      <c r="K535" t="s">
        <v>79</v>
      </c>
      <c r="L535">
        <v>34.17</v>
      </c>
      <c r="M535">
        <v>1.7084999999999999</v>
      </c>
      <c r="N535">
        <v>32.461500000000001</v>
      </c>
      <c r="O5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35" s="9" t="str">
        <f ca="1">IF(OR(ISNUMBER(Table13[[#This Row],[Order_Date]])=FALSE,Table13[[#This Row],[Order_Date]]&lt;DATE(2000,1,1),Table13[[#This Row],[Order_Date]]&gt;TODAY()),"YES","NO")</f>
        <v>NO</v>
      </c>
      <c r="Q535" s="9">
        <f>IF(Table13[[#This Row],[Order_Status]] = "Cancelled",0,IF(Table13[[#This Row],[Order_Status]] = "Returned",Table13[[#This Row],[Net_Sales]] * -1,Table13[[#This Row],[Net_Sales]]))</f>
        <v>0</v>
      </c>
      <c r="R535" s="9" t="str">
        <f>IF(Table13[[#This Row],[Gross_Sales]]&gt;=500, "YES","NO")</f>
        <v>NO</v>
      </c>
    </row>
    <row r="536" spans="1:18" x14ac:dyDescent="0.3">
      <c r="A536">
        <v>100531</v>
      </c>
      <c r="B536" s="8">
        <v>45314.083333333343</v>
      </c>
      <c r="C536" t="s">
        <v>14</v>
      </c>
      <c r="D536" t="s">
        <v>65</v>
      </c>
      <c r="E536" t="s">
        <v>69</v>
      </c>
      <c r="F536" t="s">
        <v>71</v>
      </c>
      <c r="G536">
        <v>2</v>
      </c>
      <c r="H536">
        <v>5.79</v>
      </c>
      <c r="I536">
        <v>10</v>
      </c>
      <c r="J536" t="s">
        <v>75</v>
      </c>
      <c r="K536" t="s">
        <v>77</v>
      </c>
      <c r="L536">
        <v>11.58</v>
      </c>
      <c r="M536">
        <v>1.1579999999999999</v>
      </c>
      <c r="N536">
        <v>10.422000000000001</v>
      </c>
      <c r="O5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6" s="9" t="str">
        <f ca="1">IF(OR(ISNUMBER(Table13[[#This Row],[Order_Date]])=FALSE,Table13[[#This Row],[Order_Date]]&lt;DATE(2000,1,1),Table13[[#This Row],[Order_Date]]&gt;TODAY()),"YES","NO")</f>
        <v>NO</v>
      </c>
      <c r="Q536" s="9">
        <f>IF(Table13[[#This Row],[Order_Status]] = "Cancelled",0,IF(Table13[[#This Row],[Order_Status]] = "Returned",Table13[[#This Row],[Net_Sales]] * -1,Table13[[#This Row],[Net_Sales]]))</f>
        <v>10.422000000000001</v>
      </c>
      <c r="R536" s="9" t="str">
        <f>IF(Table13[[#This Row],[Gross_Sales]]&gt;=500, "YES","NO")</f>
        <v>NO</v>
      </c>
    </row>
    <row r="537" spans="1:18" x14ac:dyDescent="0.3">
      <c r="A537">
        <v>100532</v>
      </c>
      <c r="B537" s="8">
        <v>45314.125</v>
      </c>
      <c r="C537" t="s">
        <v>15</v>
      </c>
      <c r="D537" t="s">
        <v>16</v>
      </c>
      <c r="E537" t="s">
        <v>70</v>
      </c>
      <c r="F537" t="s">
        <v>72</v>
      </c>
      <c r="G537">
        <v>4</v>
      </c>
      <c r="H537">
        <v>29.43</v>
      </c>
      <c r="I537">
        <v>10</v>
      </c>
      <c r="J537" t="s">
        <v>75</v>
      </c>
      <c r="K537" t="s">
        <v>77</v>
      </c>
      <c r="L537">
        <v>117.72</v>
      </c>
      <c r="M537">
        <v>11.772</v>
      </c>
      <c r="N537">
        <v>105.94799999999999</v>
      </c>
      <c r="O5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7" s="9" t="str">
        <f ca="1">IF(OR(ISNUMBER(Table13[[#This Row],[Order_Date]])=FALSE,Table13[[#This Row],[Order_Date]]&lt;DATE(2000,1,1),Table13[[#This Row],[Order_Date]]&gt;TODAY()),"YES","NO")</f>
        <v>NO</v>
      </c>
      <c r="Q537" s="9">
        <f>IF(Table13[[#This Row],[Order_Status]] = "Cancelled",0,IF(Table13[[#This Row],[Order_Status]] = "Returned",Table13[[#This Row],[Net_Sales]] * -1,Table13[[#This Row],[Net_Sales]]))</f>
        <v>105.94799999999999</v>
      </c>
      <c r="R537" s="9" t="str">
        <f>IF(Table13[[#This Row],[Gross_Sales]]&gt;=500, "YES","NO")</f>
        <v>NO</v>
      </c>
    </row>
    <row r="538" spans="1:18" x14ac:dyDescent="0.3">
      <c r="A538">
        <v>100533</v>
      </c>
      <c r="B538" s="8">
        <v>45314.166666666657</v>
      </c>
      <c r="C538" t="s">
        <v>14</v>
      </c>
      <c r="D538" t="s">
        <v>19</v>
      </c>
      <c r="E538" t="s">
        <v>68</v>
      </c>
      <c r="F538" t="s">
        <v>72</v>
      </c>
      <c r="G538">
        <v>1</v>
      </c>
      <c r="H538">
        <v>81.31</v>
      </c>
      <c r="I538">
        <v>0</v>
      </c>
      <c r="J538" t="s">
        <v>73</v>
      </c>
      <c r="K538" t="s">
        <v>77</v>
      </c>
      <c r="L538">
        <v>81.31</v>
      </c>
      <c r="M538">
        <v>0</v>
      </c>
      <c r="N538">
        <v>81.31</v>
      </c>
      <c r="O5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38" s="9" t="str">
        <f ca="1">IF(OR(ISNUMBER(Table13[[#This Row],[Order_Date]])=FALSE,Table13[[#This Row],[Order_Date]]&lt;DATE(2000,1,1),Table13[[#This Row],[Order_Date]]&gt;TODAY()),"YES","NO")</f>
        <v>NO</v>
      </c>
      <c r="Q538" s="9">
        <f>IF(Table13[[#This Row],[Order_Status]] = "Cancelled",0,IF(Table13[[#This Row],[Order_Status]] = "Returned",Table13[[#This Row],[Net_Sales]] * -1,Table13[[#This Row],[Net_Sales]]))</f>
        <v>81.31</v>
      </c>
      <c r="R538" s="9" t="str">
        <f>IF(Table13[[#This Row],[Gross_Sales]]&gt;=500, "YES","NO")</f>
        <v>NO</v>
      </c>
    </row>
    <row r="539" spans="1:18" x14ac:dyDescent="0.3">
      <c r="A539">
        <v>100534</v>
      </c>
      <c r="B539" s="8">
        <v>45314.208333333343</v>
      </c>
      <c r="C539" t="s">
        <v>14</v>
      </c>
      <c r="D539" t="s">
        <v>45</v>
      </c>
      <c r="E539" t="s">
        <v>69</v>
      </c>
      <c r="F539" t="s">
        <v>72</v>
      </c>
      <c r="G539">
        <v>2</v>
      </c>
      <c r="H539">
        <v>52.29</v>
      </c>
      <c r="I539">
        <v>0</v>
      </c>
      <c r="J539" t="s">
        <v>74</v>
      </c>
      <c r="K539" t="s">
        <v>79</v>
      </c>
      <c r="L539">
        <v>104.58</v>
      </c>
      <c r="M539">
        <v>0</v>
      </c>
      <c r="N539">
        <v>104.58</v>
      </c>
      <c r="O5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39" s="9" t="str">
        <f ca="1">IF(OR(ISNUMBER(Table13[[#This Row],[Order_Date]])=FALSE,Table13[[#This Row],[Order_Date]]&lt;DATE(2000,1,1),Table13[[#This Row],[Order_Date]]&gt;TODAY()),"YES","NO")</f>
        <v>NO</v>
      </c>
      <c r="Q539" s="9">
        <f>IF(Table13[[#This Row],[Order_Status]] = "Cancelled",0,IF(Table13[[#This Row],[Order_Status]] = "Returned",Table13[[#This Row],[Net_Sales]] * -1,Table13[[#This Row],[Net_Sales]]))</f>
        <v>0</v>
      </c>
      <c r="R539" s="9" t="str">
        <f>IF(Table13[[#This Row],[Gross_Sales]]&gt;=500, "YES","NO")</f>
        <v>NO</v>
      </c>
    </row>
    <row r="540" spans="1:18" x14ac:dyDescent="0.3">
      <c r="A540">
        <v>100535</v>
      </c>
      <c r="B540" s="8">
        <v>45314.25</v>
      </c>
      <c r="C540" t="s">
        <v>14</v>
      </c>
      <c r="D540" t="s">
        <v>38</v>
      </c>
      <c r="E540" t="s">
        <v>69</v>
      </c>
      <c r="F540" t="s">
        <v>72</v>
      </c>
      <c r="G540">
        <v>1</v>
      </c>
      <c r="H540">
        <v>51.28</v>
      </c>
      <c r="I540">
        <v>0</v>
      </c>
      <c r="J540" t="s">
        <v>74</v>
      </c>
      <c r="K540" t="s">
        <v>79</v>
      </c>
      <c r="L540">
        <v>51.28</v>
      </c>
      <c r="M540">
        <v>0</v>
      </c>
      <c r="N540">
        <v>51.28</v>
      </c>
      <c r="O5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40" s="9" t="str">
        <f ca="1">IF(OR(ISNUMBER(Table13[[#This Row],[Order_Date]])=FALSE,Table13[[#This Row],[Order_Date]]&lt;DATE(2000,1,1),Table13[[#This Row],[Order_Date]]&gt;TODAY()),"YES","NO")</f>
        <v>NO</v>
      </c>
      <c r="Q540" s="9">
        <f>IF(Table13[[#This Row],[Order_Status]] = "Cancelled",0,IF(Table13[[#This Row],[Order_Status]] = "Returned",Table13[[#This Row],[Net_Sales]] * -1,Table13[[#This Row],[Net_Sales]]))</f>
        <v>0</v>
      </c>
      <c r="R540" s="9" t="str">
        <f>IF(Table13[[#This Row],[Gross_Sales]]&gt;=500, "YES","NO")</f>
        <v>NO</v>
      </c>
    </row>
    <row r="541" spans="1:18" x14ac:dyDescent="0.3">
      <c r="A541">
        <v>100536</v>
      </c>
      <c r="B541" s="8">
        <v>45314.291666666657</v>
      </c>
      <c r="C541" t="s">
        <v>15</v>
      </c>
      <c r="D541" t="s">
        <v>19</v>
      </c>
      <c r="E541" t="s">
        <v>70</v>
      </c>
      <c r="F541" t="s">
        <v>72</v>
      </c>
      <c r="G541">
        <v>2</v>
      </c>
      <c r="H541">
        <v>106.73</v>
      </c>
      <c r="I541">
        <v>10</v>
      </c>
      <c r="J541" t="s">
        <v>73</v>
      </c>
      <c r="K541" t="s">
        <v>77</v>
      </c>
      <c r="L541">
        <v>213.46</v>
      </c>
      <c r="M541">
        <v>21.346</v>
      </c>
      <c r="N541">
        <v>192.114</v>
      </c>
      <c r="O5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1" s="9" t="str">
        <f ca="1">IF(OR(ISNUMBER(Table13[[#This Row],[Order_Date]])=FALSE,Table13[[#This Row],[Order_Date]]&lt;DATE(2000,1,1),Table13[[#This Row],[Order_Date]]&gt;TODAY()),"YES","NO")</f>
        <v>NO</v>
      </c>
      <c r="Q541" s="9">
        <f>IF(Table13[[#This Row],[Order_Status]] = "Cancelled",0,IF(Table13[[#This Row],[Order_Status]] = "Returned",Table13[[#This Row],[Net_Sales]] * -1,Table13[[#This Row],[Net_Sales]]))</f>
        <v>192.114</v>
      </c>
      <c r="R541" s="9" t="str">
        <f>IF(Table13[[#This Row],[Gross_Sales]]&gt;=500, "YES","NO")</f>
        <v>NO</v>
      </c>
    </row>
    <row r="542" spans="1:18" x14ac:dyDescent="0.3">
      <c r="A542">
        <v>100537</v>
      </c>
      <c r="B542" s="8">
        <v>45314.333333333343</v>
      </c>
      <c r="C542" t="s">
        <v>15</v>
      </c>
      <c r="D542" t="s">
        <v>42</v>
      </c>
      <c r="E542" t="s">
        <v>67</v>
      </c>
      <c r="F542" t="s">
        <v>71</v>
      </c>
      <c r="G542">
        <v>2</v>
      </c>
      <c r="H542">
        <v>107.99</v>
      </c>
      <c r="I542">
        <v>10</v>
      </c>
      <c r="J542" t="s">
        <v>74</v>
      </c>
      <c r="K542" t="s">
        <v>77</v>
      </c>
      <c r="L542">
        <v>215.98</v>
      </c>
      <c r="M542">
        <v>21.597999999999999</v>
      </c>
      <c r="N542">
        <v>194.38200000000001</v>
      </c>
      <c r="O5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2" s="9" t="str">
        <f ca="1">IF(OR(ISNUMBER(Table13[[#This Row],[Order_Date]])=FALSE,Table13[[#This Row],[Order_Date]]&lt;DATE(2000,1,1),Table13[[#This Row],[Order_Date]]&gt;TODAY()),"YES","NO")</f>
        <v>NO</v>
      </c>
      <c r="Q542" s="9">
        <f>IF(Table13[[#This Row],[Order_Status]] = "Cancelled",0,IF(Table13[[#This Row],[Order_Status]] = "Returned",Table13[[#This Row],[Net_Sales]] * -1,Table13[[#This Row],[Net_Sales]]))</f>
        <v>194.38200000000001</v>
      </c>
      <c r="R542" s="9" t="str">
        <f>IF(Table13[[#This Row],[Gross_Sales]]&gt;=500, "YES","NO")</f>
        <v>NO</v>
      </c>
    </row>
    <row r="543" spans="1:18" x14ac:dyDescent="0.3">
      <c r="A543">
        <v>100538</v>
      </c>
      <c r="B543" s="8">
        <v>45314.375</v>
      </c>
      <c r="C543" t="s">
        <v>14</v>
      </c>
      <c r="D543" t="s">
        <v>21</v>
      </c>
      <c r="E543" t="s">
        <v>70</v>
      </c>
      <c r="F543" t="s">
        <v>72</v>
      </c>
      <c r="G543">
        <v>5</v>
      </c>
      <c r="H543">
        <v>109.56</v>
      </c>
      <c r="I543">
        <v>10</v>
      </c>
      <c r="J543" t="s">
        <v>73</v>
      </c>
      <c r="K543" t="s">
        <v>77</v>
      </c>
      <c r="L543">
        <v>547.79999999999995</v>
      </c>
      <c r="M543">
        <v>54.78</v>
      </c>
      <c r="N543">
        <v>493.02</v>
      </c>
      <c r="O5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3" s="9" t="str">
        <f ca="1">IF(OR(ISNUMBER(Table13[[#This Row],[Order_Date]])=FALSE,Table13[[#This Row],[Order_Date]]&lt;DATE(2000,1,1),Table13[[#This Row],[Order_Date]]&gt;TODAY()),"YES","NO")</f>
        <v>NO</v>
      </c>
      <c r="Q543" s="9">
        <f>IF(Table13[[#This Row],[Order_Status]] = "Cancelled",0,IF(Table13[[#This Row],[Order_Status]] = "Returned",Table13[[#This Row],[Net_Sales]] * -1,Table13[[#This Row],[Net_Sales]]))</f>
        <v>493.02</v>
      </c>
      <c r="R543" s="9" t="str">
        <f>IF(Table13[[#This Row],[Gross_Sales]]&gt;=500, "YES","NO")</f>
        <v>YES</v>
      </c>
    </row>
    <row r="544" spans="1:18" x14ac:dyDescent="0.3">
      <c r="A544">
        <v>100539</v>
      </c>
      <c r="B544" s="8">
        <v>45314.416666666657</v>
      </c>
      <c r="C544" t="s">
        <v>14</v>
      </c>
      <c r="D544" t="s">
        <v>54</v>
      </c>
      <c r="E544" t="s">
        <v>68</v>
      </c>
      <c r="F544" t="s">
        <v>72</v>
      </c>
      <c r="G544">
        <v>4</v>
      </c>
      <c r="H544">
        <v>41.1</v>
      </c>
      <c r="I544">
        <v>0</v>
      </c>
      <c r="J544" t="s">
        <v>75</v>
      </c>
      <c r="K544" t="s">
        <v>77</v>
      </c>
      <c r="L544">
        <v>164.4</v>
      </c>
      <c r="M544">
        <v>0</v>
      </c>
      <c r="N544">
        <v>164.4</v>
      </c>
      <c r="O5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4" s="9" t="str">
        <f ca="1">IF(OR(ISNUMBER(Table13[[#This Row],[Order_Date]])=FALSE,Table13[[#This Row],[Order_Date]]&lt;DATE(2000,1,1),Table13[[#This Row],[Order_Date]]&gt;TODAY()),"YES","NO")</f>
        <v>NO</v>
      </c>
      <c r="Q544" s="9">
        <f>IF(Table13[[#This Row],[Order_Status]] = "Cancelled",0,IF(Table13[[#This Row],[Order_Status]] = "Returned",Table13[[#This Row],[Net_Sales]] * -1,Table13[[#This Row],[Net_Sales]]))</f>
        <v>164.4</v>
      </c>
      <c r="R544" s="9" t="str">
        <f>IF(Table13[[#This Row],[Gross_Sales]]&gt;=500, "YES","NO")</f>
        <v>NO</v>
      </c>
    </row>
    <row r="545" spans="1:18" x14ac:dyDescent="0.3">
      <c r="A545">
        <v>100540</v>
      </c>
      <c r="B545" s="8">
        <v>45314.458333333343</v>
      </c>
      <c r="C545" t="s">
        <v>15</v>
      </c>
      <c r="D545" t="s">
        <v>38</v>
      </c>
      <c r="E545" t="s">
        <v>69</v>
      </c>
      <c r="F545" t="s">
        <v>71</v>
      </c>
      <c r="G545">
        <v>4</v>
      </c>
      <c r="H545">
        <v>84.47</v>
      </c>
      <c r="I545">
        <v>15</v>
      </c>
      <c r="J545" t="s">
        <v>76</v>
      </c>
      <c r="K545" t="s">
        <v>77</v>
      </c>
      <c r="L545">
        <v>337.88</v>
      </c>
      <c r="M545">
        <v>50.682000000000002</v>
      </c>
      <c r="N545">
        <v>287.19799999999998</v>
      </c>
      <c r="O5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5" s="9" t="str">
        <f ca="1">IF(OR(ISNUMBER(Table13[[#This Row],[Order_Date]])=FALSE,Table13[[#This Row],[Order_Date]]&lt;DATE(2000,1,1),Table13[[#This Row],[Order_Date]]&gt;TODAY()),"YES","NO")</f>
        <v>NO</v>
      </c>
      <c r="Q545" s="9">
        <f>IF(Table13[[#This Row],[Order_Status]] = "Cancelled",0,IF(Table13[[#This Row],[Order_Status]] = "Returned",Table13[[#This Row],[Net_Sales]] * -1,Table13[[#This Row],[Net_Sales]]))</f>
        <v>287.19799999999998</v>
      </c>
      <c r="R545" s="9" t="str">
        <f>IF(Table13[[#This Row],[Gross_Sales]]&gt;=500, "YES","NO")</f>
        <v>NO</v>
      </c>
    </row>
    <row r="546" spans="1:18" x14ac:dyDescent="0.3">
      <c r="A546">
        <v>100541</v>
      </c>
      <c r="B546" s="8">
        <v>45314.5</v>
      </c>
      <c r="C546" t="s">
        <v>14</v>
      </c>
      <c r="D546" t="s">
        <v>65</v>
      </c>
      <c r="E546" t="s">
        <v>70</v>
      </c>
      <c r="F546" t="s">
        <v>71</v>
      </c>
      <c r="G546">
        <v>2</v>
      </c>
      <c r="H546">
        <v>36.24</v>
      </c>
      <c r="I546">
        <v>5</v>
      </c>
      <c r="J546" t="s">
        <v>76</v>
      </c>
      <c r="K546" t="s">
        <v>78</v>
      </c>
      <c r="L546">
        <v>72.48</v>
      </c>
      <c r="M546">
        <v>3.624000000000001</v>
      </c>
      <c r="N546">
        <v>68.856000000000009</v>
      </c>
      <c r="O5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46" s="9" t="str">
        <f ca="1">IF(OR(ISNUMBER(Table13[[#This Row],[Order_Date]])=FALSE,Table13[[#This Row],[Order_Date]]&lt;DATE(2000,1,1),Table13[[#This Row],[Order_Date]]&gt;TODAY()),"YES","NO")</f>
        <v>NO</v>
      </c>
      <c r="Q546" s="9">
        <f>IF(Table13[[#This Row],[Order_Status]] = "Cancelled",0,IF(Table13[[#This Row],[Order_Status]] = "Returned",Table13[[#This Row],[Net_Sales]] * -1,Table13[[#This Row],[Net_Sales]]))</f>
        <v>-68.856000000000009</v>
      </c>
      <c r="R546" s="9" t="str">
        <f>IF(Table13[[#This Row],[Gross_Sales]]&gt;=500, "YES","NO")</f>
        <v>NO</v>
      </c>
    </row>
    <row r="547" spans="1:18" x14ac:dyDescent="0.3">
      <c r="A547">
        <v>100542</v>
      </c>
      <c r="B547" s="8">
        <v>45314.541666666657</v>
      </c>
      <c r="C547" t="s">
        <v>15</v>
      </c>
      <c r="D547" t="s">
        <v>36</v>
      </c>
      <c r="E547" t="s">
        <v>67</v>
      </c>
      <c r="F547" t="s">
        <v>72</v>
      </c>
      <c r="G547">
        <v>3</v>
      </c>
      <c r="H547">
        <v>26.92</v>
      </c>
      <c r="I547">
        <v>15</v>
      </c>
      <c r="J547" t="s">
        <v>75</v>
      </c>
      <c r="K547" t="s">
        <v>77</v>
      </c>
      <c r="L547">
        <v>80.760000000000005</v>
      </c>
      <c r="M547">
        <v>12.114000000000001</v>
      </c>
      <c r="N547">
        <v>68.646000000000001</v>
      </c>
      <c r="O5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7" s="9" t="str">
        <f ca="1">IF(OR(ISNUMBER(Table13[[#This Row],[Order_Date]])=FALSE,Table13[[#This Row],[Order_Date]]&lt;DATE(2000,1,1),Table13[[#This Row],[Order_Date]]&gt;TODAY()),"YES","NO")</f>
        <v>NO</v>
      </c>
      <c r="Q547" s="9">
        <f>IF(Table13[[#This Row],[Order_Status]] = "Cancelled",0,IF(Table13[[#This Row],[Order_Status]] = "Returned",Table13[[#This Row],[Net_Sales]] * -1,Table13[[#This Row],[Net_Sales]]))</f>
        <v>68.646000000000001</v>
      </c>
      <c r="R547" s="9" t="str">
        <f>IF(Table13[[#This Row],[Gross_Sales]]&gt;=500, "YES","NO")</f>
        <v>NO</v>
      </c>
    </row>
    <row r="548" spans="1:18" x14ac:dyDescent="0.3">
      <c r="A548">
        <v>100543</v>
      </c>
      <c r="B548" s="8">
        <v>45314.583333333343</v>
      </c>
      <c r="C548" t="s">
        <v>14</v>
      </c>
      <c r="D548" t="s">
        <v>37</v>
      </c>
      <c r="E548" t="s">
        <v>70</v>
      </c>
      <c r="F548" t="s">
        <v>71</v>
      </c>
      <c r="G548">
        <v>3</v>
      </c>
      <c r="H548">
        <v>26.23</v>
      </c>
      <c r="I548">
        <v>10</v>
      </c>
      <c r="J548" t="s">
        <v>76</v>
      </c>
      <c r="K548" t="s">
        <v>77</v>
      </c>
      <c r="L548">
        <v>78.69</v>
      </c>
      <c r="M548">
        <v>7.8689999999999998</v>
      </c>
      <c r="N548">
        <v>70.820999999999998</v>
      </c>
      <c r="O5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8" s="9" t="str">
        <f ca="1">IF(OR(ISNUMBER(Table13[[#This Row],[Order_Date]])=FALSE,Table13[[#This Row],[Order_Date]]&lt;DATE(2000,1,1),Table13[[#This Row],[Order_Date]]&gt;TODAY()),"YES","NO")</f>
        <v>NO</v>
      </c>
      <c r="Q548" s="9">
        <f>IF(Table13[[#This Row],[Order_Status]] = "Cancelled",0,IF(Table13[[#This Row],[Order_Status]] = "Returned",Table13[[#This Row],[Net_Sales]] * -1,Table13[[#This Row],[Net_Sales]]))</f>
        <v>70.820999999999998</v>
      </c>
      <c r="R548" s="9" t="str">
        <f>IF(Table13[[#This Row],[Gross_Sales]]&gt;=500, "YES","NO")</f>
        <v>NO</v>
      </c>
    </row>
    <row r="549" spans="1:18" x14ac:dyDescent="0.3">
      <c r="A549">
        <v>100544</v>
      </c>
      <c r="B549" s="8">
        <v>45314.625</v>
      </c>
      <c r="C549" t="s">
        <v>15</v>
      </c>
      <c r="D549" t="s">
        <v>20</v>
      </c>
      <c r="E549" t="s">
        <v>66</v>
      </c>
      <c r="F549" t="s">
        <v>71</v>
      </c>
      <c r="G549">
        <v>1</v>
      </c>
      <c r="H549">
        <v>44.34</v>
      </c>
      <c r="I549">
        <v>10</v>
      </c>
      <c r="J549" t="s">
        <v>76</v>
      </c>
      <c r="K549" t="s">
        <v>77</v>
      </c>
      <c r="L549">
        <v>44.34</v>
      </c>
      <c r="M549">
        <v>4.4340000000000002</v>
      </c>
      <c r="N549">
        <v>39.906000000000013</v>
      </c>
      <c r="O5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49" s="9" t="str">
        <f ca="1">IF(OR(ISNUMBER(Table13[[#This Row],[Order_Date]])=FALSE,Table13[[#This Row],[Order_Date]]&lt;DATE(2000,1,1),Table13[[#This Row],[Order_Date]]&gt;TODAY()),"YES","NO")</f>
        <v>NO</v>
      </c>
      <c r="Q549" s="9">
        <f>IF(Table13[[#This Row],[Order_Status]] = "Cancelled",0,IF(Table13[[#This Row],[Order_Status]] = "Returned",Table13[[#This Row],[Net_Sales]] * -1,Table13[[#This Row],[Net_Sales]]))</f>
        <v>39.906000000000013</v>
      </c>
      <c r="R549" s="9" t="str">
        <f>IF(Table13[[#This Row],[Gross_Sales]]&gt;=500, "YES","NO")</f>
        <v>NO</v>
      </c>
    </row>
    <row r="550" spans="1:18" x14ac:dyDescent="0.3">
      <c r="A550">
        <v>100545</v>
      </c>
      <c r="B550" s="8">
        <v>45314.666666666657</v>
      </c>
      <c r="C550" t="s">
        <v>14</v>
      </c>
      <c r="D550" t="s">
        <v>33</v>
      </c>
      <c r="E550" t="s">
        <v>67</v>
      </c>
      <c r="F550" t="s">
        <v>72</v>
      </c>
      <c r="G550">
        <v>1</v>
      </c>
      <c r="H550">
        <v>54.45</v>
      </c>
      <c r="I550">
        <v>15</v>
      </c>
      <c r="J550" t="s">
        <v>74</v>
      </c>
      <c r="K550" t="s">
        <v>77</v>
      </c>
      <c r="L550">
        <v>54.45</v>
      </c>
      <c r="M550">
        <v>8.1675000000000004</v>
      </c>
      <c r="N550">
        <v>46.282499999999999</v>
      </c>
      <c r="O5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0" s="9" t="str">
        <f ca="1">IF(OR(ISNUMBER(Table13[[#This Row],[Order_Date]])=FALSE,Table13[[#This Row],[Order_Date]]&lt;DATE(2000,1,1),Table13[[#This Row],[Order_Date]]&gt;TODAY()),"YES","NO")</f>
        <v>NO</v>
      </c>
      <c r="Q550" s="9">
        <f>IF(Table13[[#This Row],[Order_Status]] = "Cancelled",0,IF(Table13[[#This Row],[Order_Status]] = "Returned",Table13[[#This Row],[Net_Sales]] * -1,Table13[[#This Row],[Net_Sales]]))</f>
        <v>46.282499999999999</v>
      </c>
      <c r="R550" s="9" t="str">
        <f>IF(Table13[[#This Row],[Gross_Sales]]&gt;=500, "YES","NO")</f>
        <v>NO</v>
      </c>
    </row>
    <row r="551" spans="1:18" x14ac:dyDescent="0.3">
      <c r="A551">
        <v>100546</v>
      </c>
      <c r="B551" s="8">
        <v>45314.708333333343</v>
      </c>
      <c r="C551" t="s">
        <v>15</v>
      </c>
      <c r="D551" t="s">
        <v>49</v>
      </c>
      <c r="E551" t="s">
        <v>68</v>
      </c>
      <c r="F551" t="s">
        <v>71</v>
      </c>
      <c r="G551">
        <v>5</v>
      </c>
      <c r="H551">
        <v>100.56</v>
      </c>
      <c r="I551">
        <v>10</v>
      </c>
      <c r="J551" t="s">
        <v>75</v>
      </c>
      <c r="K551" t="s">
        <v>77</v>
      </c>
      <c r="L551">
        <v>502.8</v>
      </c>
      <c r="M551">
        <v>50.28</v>
      </c>
      <c r="N551">
        <v>452.52</v>
      </c>
      <c r="O5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1" s="9" t="str">
        <f ca="1">IF(OR(ISNUMBER(Table13[[#This Row],[Order_Date]])=FALSE,Table13[[#This Row],[Order_Date]]&lt;DATE(2000,1,1),Table13[[#This Row],[Order_Date]]&gt;TODAY()),"YES","NO")</f>
        <v>NO</v>
      </c>
      <c r="Q551" s="9">
        <f>IF(Table13[[#This Row],[Order_Status]] = "Cancelled",0,IF(Table13[[#This Row],[Order_Status]] = "Returned",Table13[[#This Row],[Net_Sales]] * -1,Table13[[#This Row],[Net_Sales]]))</f>
        <v>452.52</v>
      </c>
      <c r="R551" s="9" t="str">
        <f>IF(Table13[[#This Row],[Gross_Sales]]&gt;=500, "YES","NO")</f>
        <v>YES</v>
      </c>
    </row>
    <row r="552" spans="1:18" x14ac:dyDescent="0.3">
      <c r="A552">
        <v>100547</v>
      </c>
      <c r="B552" s="8">
        <v>45314.75</v>
      </c>
      <c r="C552" t="s">
        <v>14</v>
      </c>
      <c r="D552" t="s">
        <v>51</v>
      </c>
      <c r="E552" t="s">
        <v>69</v>
      </c>
      <c r="F552" t="s">
        <v>71</v>
      </c>
      <c r="G552">
        <v>2</v>
      </c>
      <c r="H552">
        <v>18.79</v>
      </c>
      <c r="I552">
        <v>5</v>
      </c>
      <c r="J552" t="s">
        <v>74</v>
      </c>
      <c r="K552" t="s">
        <v>77</v>
      </c>
      <c r="L552">
        <v>37.58</v>
      </c>
      <c r="M552">
        <v>1.879</v>
      </c>
      <c r="N552">
        <v>35.701000000000001</v>
      </c>
      <c r="O5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2" s="9" t="str">
        <f ca="1">IF(OR(ISNUMBER(Table13[[#This Row],[Order_Date]])=FALSE,Table13[[#This Row],[Order_Date]]&lt;DATE(2000,1,1),Table13[[#This Row],[Order_Date]]&gt;TODAY()),"YES","NO")</f>
        <v>NO</v>
      </c>
      <c r="Q552" s="9">
        <f>IF(Table13[[#This Row],[Order_Status]] = "Cancelled",0,IF(Table13[[#This Row],[Order_Status]] = "Returned",Table13[[#This Row],[Net_Sales]] * -1,Table13[[#This Row],[Net_Sales]]))</f>
        <v>35.701000000000001</v>
      </c>
      <c r="R552" s="9" t="str">
        <f>IF(Table13[[#This Row],[Gross_Sales]]&gt;=500, "YES","NO")</f>
        <v>NO</v>
      </c>
    </row>
    <row r="553" spans="1:18" x14ac:dyDescent="0.3">
      <c r="A553">
        <v>100548</v>
      </c>
      <c r="B553" s="8">
        <v>45314.791666666657</v>
      </c>
      <c r="C553" t="s">
        <v>15</v>
      </c>
      <c r="D553" t="s">
        <v>37</v>
      </c>
      <c r="E553" t="s">
        <v>70</v>
      </c>
      <c r="F553" t="s">
        <v>72</v>
      </c>
      <c r="G553">
        <v>1</v>
      </c>
      <c r="H553">
        <v>89.52</v>
      </c>
      <c r="I553">
        <v>10</v>
      </c>
      <c r="J553" t="s">
        <v>74</v>
      </c>
      <c r="K553" t="s">
        <v>78</v>
      </c>
      <c r="L553">
        <v>89.52</v>
      </c>
      <c r="M553">
        <v>8.952</v>
      </c>
      <c r="N553">
        <v>80.567999999999998</v>
      </c>
      <c r="O5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53" s="9" t="str">
        <f ca="1">IF(OR(ISNUMBER(Table13[[#This Row],[Order_Date]])=FALSE,Table13[[#This Row],[Order_Date]]&lt;DATE(2000,1,1),Table13[[#This Row],[Order_Date]]&gt;TODAY()),"YES","NO")</f>
        <v>NO</v>
      </c>
      <c r="Q553" s="9">
        <f>IF(Table13[[#This Row],[Order_Status]] = "Cancelled",0,IF(Table13[[#This Row],[Order_Status]] = "Returned",Table13[[#This Row],[Net_Sales]] * -1,Table13[[#This Row],[Net_Sales]]))</f>
        <v>-80.567999999999998</v>
      </c>
      <c r="R553" s="9" t="str">
        <f>IF(Table13[[#This Row],[Gross_Sales]]&gt;=500, "YES","NO")</f>
        <v>NO</v>
      </c>
    </row>
    <row r="554" spans="1:18" x14ac:dyDescent="0.3">
      <c r="A554">
        <v>100549</v>
      </c>
      <c r="B554" s="8">
        <v>45314.833333333343</v>
      </c>
      <c r="C554" t="s">
        <v>15</v>
      </c>
      <c r="D554" t="s">
        <v>33</v>
      </c>
      <c r="E554" t="s">
        <v>67</v>
      </c>
      <c r="F554" t="s">
        <v>72</v>
      </c>
      <c r="G554">
        <v>1</v>
      </c>
      <c r="H554">
        <v>66.12</v>
      </c>
      <c r="I554">
        <v>5</v>
      </c>
      <c r="J554" t="s">
        <v>76</v>
      </c>
      <c r="K554" t="s">
        <v>78</v>
      </c>
      <c r="L554">
        <v>66.12</v>
      </c>
      <c r="M554">
        <v>3.306</v>
      </c>
      <c r="N554">
        <v>62.814000000000007</v>
      </c>
      <c r="O5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54" s="9" t="str">
        <f ca="1">IF(OR(ISNUMBER(Table13[[#This Row],[Order_Date]])=FALSE,Table13[[#This Row],[Order_Date]]&lt;DATE(2000,1,1),Table13[[#This Row],[Order_Date]]&gt;TODAY()),"YES","NO")</f>
        <v>NO</v>
      </c>
      <c r="Q554" s="9">
        <f>IF(Table13[[#This Row],[Order_Status]] = "Cancelled",0,IF(Table13[[#This Row],[Order_Status]] = "Returned",Table13[[#This Row],[Net_Sales]] * -1,Table13[[#This Row],[Net_Sales]]))</f>
        <v>-62.814000000000007</v>
      </c>
      <c r="R554" s="9" t="str">
        <f>IF(Table13[[#This Row],[Gross_Sales]]&gt;=500, "YES","NO")</f>
        <v>NO</v>
      </c>
    </row>
    <row r="555" spans="1:18" x14ac:dyDescent="0.3">
      <c r="A555">
        <v>100550</v>
      </c>
      <c r="B555" s="8">
        <v>45314.875</v>
      </c>
      <c r="C555" t="s">
        <v>14</v>
      </c>
      <c r="D555" t="s">
        <v>23</v>
      </c>
      <c r="E555" t="s">
        <v>66</v>
      </c>
      <c r="F555" t="s">
        <v>71</v>
      </c>
      <c r="G555">
        <v>2</v>
      </c>
      <c r="H555">
        <v>38.11</v>
      </c>
      <c r="I555">
        <v>15</v>
      </c>
      <c r="J555" t="s">
        <v>76</v>
      </c>
      <c r="K555" t="s">
        <v>77</v>
      </c>
      <c r="L555">
        <v>76.22</v>
      </c>
      <c r="M555">
        <v>11.433</v>
      </c>
      <c r="N555">
        <v>64.787000000000006</v>
      </c>
      <c r="O5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5" s="9" t="str">
        <f ca="1">IF(OR(ISNUMBER(Table13[[#This Row],[Order_Date]])=FALSE,Table13[[#This Row],[Order_Date]]&lt;DATE(2000,1,1),Table13[[#This Row],[Order_Date]]&gt;TODAY()),"YES","NO")</f>
        <v>NO</v>
      </c>
      <c r="Q555" s="9">
        <f>IF(Table13[[#This Row],[Order_Status]] = "Cancelled",0,IF(Table13[[#This Row],[Order_Status]] = "Returned",Table13[[#This Row],[Net_Sales]] * -1,Table13[[#This Row],[Net_Sales]]))</f>
        <v>64.787000000000006</v>
      </c>
      <c r="R555" s="9" t="str">
        <f>IF(Table13[[#This Row],[Gross_Sales]]&gt;=500, "YES","NO")</f>
        <v>NO</v>
      </c>
    </row>
    <row r="556" spans="1:18" x14ac:dyDescent="0.3">
      <c r="A556">
        <v>100551</v>
      </c>
      <c r="B556" s="8">
        <v>45314.916666666657</v>
      </c>
      <c r="C556" t="s">
        <v>14</v>
      </c>
      <c r="D556" t="s">
        <v>38</v>
      </c>
      <c r="E556" t="s">
        <v>67</v>
      </c>
      <c r="F556" t="s">
        <v>71</v>
      </c>
      <c r="G556">
        <v>5</v>
      </c>
      <c r="H556">
        <v>61.67</v>
      </c>
      <c r="I556">
        <v>15</v>
      </c>
      <c r="J556" t="s">
        <v>75</v>
      </c>
      <c r="K556" t="s">
        <v>78</v>
      </c>
      <c r="L556">
        <v>308.35000000000002</v>
      </c>
      <c r="M556">
        <v>46.252499999999998</v>
      </c>
      <c r="N556">
        <v>262.09750000000003</v>
      </c>
      <c r="O5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56" s="9" t="str">
        <f ca="1">IF(OR(ISNUMBER(Table13[[#This Row],[Order_Date]])=FALSE,Table13[[#This Row],[Order_Date]]&lt;DATE(2000,1,1),Table13[[#This Row],[Order_Date]]&gt;TODAY()),"YES","NO")</f>
        <v>NO</v>
      </c>
      <c r="Q556" s="9">
        <f>IF(Table13[[#This Row],[Order_Status]] = "Cancelled",0,IF(Table13[[#This Row],[Order_Status]] = "Returned",Table13[[#This Row],[Net_Sales]] * -1,Table13[[#This Row],[Net_Sales]]))</f>
        <v>-262.09750000000003</v>
      </c>
      <c r="R556" s="9" t="str">
        <f>IF(Table13[[#This Row],[Gross_Sales]]&gt;=500, "YES","NO")</f>
        <v>NO</v>
      </c>
    </row>
    <row r="557" spans="1:18" x14ac:dyDescent="0.3">
      <c r="A557">
        <v>100552</v>
      </c>
      <c r="B557" s="8">
        <v>45314.958333333343</v>
      </c>
      <c r="C557" t="s">
        <v>15</v>
      </c>
      <c r="D557" t="s">
        <v>35</v>
      </c>
      <c r="E557" t="s">
        <v>66</v>
      </c>
      <c r="F557" t="s">
        <v>72</v>
      </c>
      <c r="G557">
        <v>1</v>
      </c>
      <c r="H557">
        <v>39.49</v>
      </c>
      <c r="I557">
        <v>10</v>
      </c>
      <c r="J557" t="s">
        <v>76</v>
      </c>
      <c r="K557" t="s">
        <v>77</v>
      </c>
      <c r="L557">
        <v>39.49</v>
      </c>
      <c r="M557">
        <v>3.9489999999999998</v>
      </c>
      <c r="N557">
        <v>35.540999999999997</v>
      </c>
      <c r="O5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7" s="9" t="str">
        <f ca="1">IF(OR(ISNUMBER(Table13[[#This Row],[Order_Date]])=FALSE,Table13[[#This Row],[Order_Date]]&lt;DATE(2000,1,1),Table13[[#This Row],[Order_Date]]&gt;TODAY()),"YES","NO")</f>
        <v>NO</v>
      </c>
      <c r="Q557" s="9">
        <f>IF(Table13[[#This Row],[Order_Status]] = "Cancelled",0,IF(Table13[[#This Row],[Order_Status]] = "Returned",Table13[[#This Row],[Net_Sales]] * -1,Table13[[#This Row],[Net_Sales]]))</f>
        <v>35.540999999999997</v>
      </c>
      <c r="R557" s="9" t="str">
        <f>IF(Table13[[#This Row],[Gross_Sales]]&gt;=500, "YES","NO")</f>
        <v>NO</v>
      </c>
    </row>
    <row r="558" spans="1:18" x14ac:dyDescent="0.3">
      <c r="A558">
        <v>100553</v>
      </c>
      <c r="B558" s="8">
        <v>45315</v>
      </c>
      <c r="C558" t="s">
        <v>14</v>
      </c>
      <c r="D558" t="s">
        <v>23</v>
      </c>
      <c r="E558" t="s">
        <v>68</v>
      </c>
      <c r="F558" t="s">
        <v>71</v>
      </c>
      <c r="G558">
        <v>5</v>
      </c>
      <c r="H558">
        <v>73.55</v>
      </c>
      <c r="I558">
        <v>5</v>
      </c>
      <c r="J558" t="s">
        <v>76</v>
      </c>
      <c r="K558" t="s">
        <v>77</v>
      </c>
      <c r="L558">
        <v>367.75</v>
      </c>
      <c r="M558">
        <v>18.387499999999999</v>
      </c>
      <c r="N558">
        <v>349.36250000000001</v>
      </c>
      <c r="O5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8" s="9" t="str">
        <f ca="1">IF(OR(ISNUMBER(Table13[[#This Row],[Order_Date]])=FALSE,Table13[[#This Row],[Order_Date]]&lt;DATE(2000,1,1),Table13[[#This Row],[Order_Date]]&gt;TODAY()),"YES","NO")</f>
        <v>NO</v>
      </c>
      <c r="Q558" s="9">
        <f>IF(Table13[[#This Row],[Order_Status]] = "Cancelled",0,IF(Table13[[#This Row],[Order_Status]] = "Returned",Table13[[#This Row],[Net_Sales]] * -1,Table13[[#This Row],[Net_Sales]]))</f>
        <v>349.36250000000001</v>
      </c>
      <c r="R558" s="9" t="str">
        <f>IF(Table13[[#This Row],[Gross_Sales]]&gt;=500, "YES","NO")</f>
        <v>NO</v>
      </c>
    </row>
    <row r="559" spans="1:18" x14ac:dyDescent="0.3">
      <c r="A559">
        <v>100554</v>
      </c>
      <c r="B559" s="8">
        <v>45315.041666666657</v>
      </c>
      <c r="C559" t="s">
        <v>15</v>
      </c>
      <c r="D559" t="s">
        <v>33</v>
      </c>
      <c r="E559" t="s">
        <v>69</v>
      </c>
      <c r="F559" t="s">
        <v>71</v>
      </c>
      <c r="G559">
        <v>4</v>
      </c>
      <c r="H559">
        <v>54.89</v>
      </c>
      <c r="I559">
        <v>10</v>
      </c>
      <c r="J559" t="s">
        <v>75</v>
      </c>
      <c r="K559" t="s">
        <v>77</v>
      </c>
      <c r="L559">
        <v>219.56</v>
      </c>
      <c r="M559">
        <v>21.956</v>
      </c>
      <c r="N559">
        <v>197.60400000000001</v>
      </c>
      <c r="O5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59" s="9" t="str">
        <f ca="1">IF(OR(ISNUMBER(Table13[[#This Row],[Order_Date]])=FALSE,Table13[[#This Row],[Order_Date]]&lt;DATE(2000,1,1),Table13[[#This Row],[Order_Date]]&gt;TODAY()),"YES","NO")</f>
        <v>NO</v>
      </c>
      <c r="Q559" s="9">
        <f>IF(Table13[[#This Row],[Order_Status]] = "Cancelled",0,IF(Table13[[#This Row],[Order_Status]] = "Returned",Table13[[#This Row],[Net_Sales]] * -1,Table13[[#This Row],[Net_Sales]]))</f>
        <v>197.60400000000001</v>
      </c>
      <c r="R559" s="9" t="str">
        <f>IF(Table13[[#This Row],[Gross_Sales]]&gt;=500, "YES","NO")</f>
        <v>NO</v>
      </c>
    </row>
    <row r="560" spans="1:18" x14ac:dyDescent="0.3">
      <c r="A560">
        <v>100555</v>
      </c>
      <c r="B560" s="8">
        <v>45315.083333333343</v>
      </c>
      <c r="C560" t="s">
        <v>14</v>
      </c>
      <c r="D560" t="s">
        <v>63</v>
      </c>
      <c r="E560" t="s">
        <v>68</v>
      </c>
      <c r="F560" t="s">
        <v>71</v>
      </c>
      <c r="G560">
        <v>5</v>
      </c>
      <c r="H560">
        <v>23.91</v>
      </c>
      <c r="I560">
        <v>0</v>
      </c>
      <c r="J560" t="s">
        <v>76</v>
      </c>
      <c r="K560" t="s">
        <v>77</v>
      </c>
      <c r="L560">
        <v>119.55</v>
      </c>
      <c r="M560">
        <v>0</v>
      </c>
      <c r="N560">
        <v>119.55</v>
      </c>
      <c r="O5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0" s="9" t="str">
        <f ca="1">IF(OR(ISNUMBER(Table13[[#This Row],[Order_Date]])=FALSE,Table13[[#This Row],[Order_Date]]&lt;DATE(2000,1,1),Table13[[#This Row],[Order_Date]]&gt;TODAY()),"YES","NO")</f>
        <v>NO</v>
      </c>
      <c r="Q560" s="9">
        <f>IF(Table13[[#This Row],[Order_Status]] = "Cancelled",0,IF(Table13[[#This Row],[Order_Status]] = "Returned",Table13[[#This Row],[Net_Sales]] * -1,Table13[[#This Row],[Net_Sales]]))</f>
        <v>119.55</v>
      </c>
      <c r="R560" s="9" t="str">
        <f>IF(Table13[[#This Row],[Gross_Sales]]&gt;=500, "YES","NO")</f>
        <v>NO</v>
      </c>
    </row>
    <row r="561" spans="1:18" x14ac:dyDescent="0.3">
      <c r="A561">
        <v>100556</v>
      </c>
      <c r="B561" s="8">
        <v>45315.125</v>
      </c>
      <c r="C561" t="s">
        <v>15</v>
      </c>
      <c r="D561" t="s">
        <v>54</v>
      </c>
      <c r="E561" t="s">
        <v>70</v>
      </c>
      <c r="F561" t="s">
        <v>72</v>
      </c>
      <c r="G561">
        <v>3</v>
      </c>
      <c r="H561">
        <v>18.41</v>
      </c>
      <c r="I561">
        <v>0</v>
      </c>
      <c r="J561" t="s">
        <v>74</v>
      </c>
      <c r="K561" t="s">
        <v>78</v>
      </c>
      <c r="L561">
        <v>55.23</v>
      </c>
      <c r="M561">
        <v>0</v>
      </c>
      <c r="N561">
        <v>55.23</v>
      </c>
      <c r="O5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61" s="9" t="str">
        <f ca="1">IF(OR(ISNUMBER(Table13[[#This Row],[Order_Date]])=FALSE,Table13[[#This Row],[Order_Date]]&lt;DATE(2000,1,1),Table13[[#This Row],[Order_Date]]&gt;TODAY()),"YES","NO")</f>
        <v>NO</v>
      </c>
      <c r="Q561" s="9">
        <f>IF(Table13[[#This Row],[Order_Status]] = "Cancelled",0,IF(Table13[[#This Row],[Order_Status]] = "Returned",Table13[[#This Row],[Net_Sales]] * -1,Table13[[#This Row],[Net_Sales]]))</f>
        <v>-55.23</v>
      </c>
      <c r="R561" s="9" t="str">
        <f>IF(Table13[[#This Row],[Gross_Sales]]&gt;=500, "YES","NO")</f>
        <v>NO</v>
      </c>
    </row>
    <row r="562" spans="1:18" x14ac:dyDescent="0.3">
      <c r="A562">
        <v>100557</v>
      </c>
      <c r="B562" s="8">
        <v>45315.166666666657</v>
      </c>
      <c r="C562" t="s">
        <v>15</v>
      </c>
      <c r="D562" t="s">
        <v>51</v>
      </c>
      <c r="E562" t="s">
        <v>67</v>
      </c>
      <c r="F562" t="s">
        <v>71</v>
      </c>
      <c r="G562">
        <v>3</v>
      </c>
      <c r="H562">
        <v>67.87</v>
      </c>
      <c r="I562">
        <v>0</v>
      </c>
      <c r="J562" t="s">
        <v>75</v>
      </c>
      <c r="K562" t="s">
        <v>77</v>
      </c>
      <c r="L562">
        <v>203.61</v>
      </c>
      <c r="M562">
        <v>0</v>
      </c>
      <c r="N562">
        <v>203.61</v>
      </c>
      <c r="O5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2" s="9" t="str">
        <f ca="1">IF(OR(ISNUMBER(Table13[[#This Row],[Order_Date]])=FALSE,Table13[[#This Row],[Order_Date]]&lt;DATE(2000,1,1),Table13[[#This Row],[Order_Date]]&gt;TODAY()),"YES","NO")</f>
        <v>NO</v>
      </c>
      <c r="Q562" s="9">
        <f>IF(Table13[[#This Row],[Order_Status]] = "Cancelled",0,IF(Table13[[#This Row],[Order_Status]] = "Returned",Table13[[#This Row],[Net_Sales]] * -1,Table13[[#This Row],[Net_Sales]]))</f>
        <v>203.61</v>
      </c>
      <c r="R562" s="9" t="str">
        <f>IF(Table13[[#This Row],[Gross_Sales]]&gt;=500, "YES","NO")</f>
        <v>NO</v>
      </c>
    </row>
    <row r="563" spans="1:18" x14ac:dyDescent="0.3">
      <c r="A563">
        <v>100558</v>
      </c>
      <c r="B563" s="8">
        <v>45315.208333333343</v>
      </c>
      <c r="C563" t="s">
        <v>15</v>
      </c>
      <c r="D563" t="s">
        <v>27</v>
      </c>
      <c r="E563" t="s">
        <v>66</v>
      </c>
      <c r="F563" t="s">
        <v>71</v>
      </c>
      <c r="G563">
        <v>5</v>
      </c>
      <c r="H563">
        <v>108.78</v>
      </c>
      <c r="I563">
        <v>0</v>
      </c>
      <c r="J563" t="s">
        <v>76</v>
      </c>
      <c r="K563" t="s">
        <v>77</v>
      </c>
      <c r="L563">
        <v>543.9</v>
      </c>
      <c r="M563">
        <v>0</v>
      </c>
      <c r="N563">
        <v>543.9</v>
      </c>
      <c r="O5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3" s="9" t="str">
        <f ca="1">IF(OR(ISNUMBER(Table13[[#This Row],[Order_Date]])=FALSE,Table13[[#This Row],[Order_Date]]&lt;DATE(2000,1,1),Table13[[#This Row],[Order_Date]]&gt;TODAY()),"YES","NO")</f>
        <v>NO</v>
      </c>
      <c r="Q563" s="9">
        <f>IF(Table13[[#This Row],[Order_Status]] = "Cancelled",0,IF(Table13[[#This Row],[Order_Status]] = "Returned",Table13[[#This Row],[Net_Sales]] * -1,Table13[[#This Row],[Net_Sales]]))</f>
        <v>543.9</v>
      </c>
      <c r="R563" s="9" t="str">
        <f>IF(Table13[[#This Row],[Gross_Sales]]&gt;=500, "YES","NO")</f>
        <v>YES</v>
      </c>
    </row>
    <row r="564" spans="1:18" x14ac:dyDescent="0.3">
      <c r="A564">
        <v>100559</v>
      </c>
      <c r="B564" s="8">
        <v>45315.25</v>
      </c>
      <c r="C564" t="s">
        <v>15</v>
      </c>
      <c r="D564" t="s">
        <v>36</v>
      </c>
      <c r="E564" t="s">
        <v>66</v>
      </c>
      <c r="F564" t="s">
        <v>72</v>
      </c>
      <c r="G564">
        <v>3</v>
      </c>
      <c r="H564">
        <v>44.56</v>
      </c>
      <c r="I564">
        <v>10</v>
      </c>
      <c r="J564" t="s">
        <v>73</v>
      </c>
      <c r="K564" t="s">
        <v>77</v>
      </c>
      <c r="L564">
        <v>133.68</v>
      </c>
      <c r="M564">
        <v>13.368</v>
      </c>
      <c r="N564">
        <v>120.312</v>
      </c>
      <c r="O5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4" s="9" t="str">
        <f ca="1">IF(OR(ISNUMBER(Table13[[#This Row],[Order_Date]])=FALSE,Table13[[#This Row],[Order_Date]]&lt;DATE(2000,1,1),Table13[[#This Row],[Order_Date]]&gt;TODAY()),"YES","NO")</f>
        <v>NO</v>
      </c>
      <c r="Q564" s="9">
        <f>IF(Table13[[#This Row],[Order_Status]] = "Cancelled",0,IF(Table13[[#This Row],[Order_Status]] = "Returned",Table13[[#This Row],[Net_Sales]] * -1,Table13[[#This Row],[Net_Sales]]))</f>
        <v>120.312</v>
      </c>
      <c r="R564" s="9" t="str">
        <f>IF(Table13[[#This Row],[Gross_Sales]]&gt;=500, "YES","NO")</f>
        <v>NO</v>
      </c>
    </row>
    <row r="565" spans="1:18" x14ac:dyDescent="0.3">
      <c r="A565">
        <v>100560</v>
      </c>
      <c r="B565" s="8">
        <v>45315.291666666657</v>
      </c>
      <c r="C565" t="s">
        <v>15</v>
      </c>
      <c r="D565" t="s">
        <v>52</v>
      </c>
      <c r="E565" t="s">
        <v>67</v>
      </c>
      <c r="F565" t="s">
        <v>71</v>
      </c>
      <c r="G565">
        <v>4</v>
      </c>
      <c r="H565">
        <v>89.3</v>
      </c>
      <c r="I565">
        <v>0</v>
      </c>
      <c r="J565" t="s">
        <v>75</v>
      </c>
      <c r="K565" t="s">
        <v>77</v>
      </c>
      <c r="L565">
        <v>357.2</v>
      </c>
      <c r="M565">
        <v>0</v>
      </c>
      <c r="N565">
        <v>357.2</v>
      </c>
      <c r="O5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5" s="9" t="str">
        <f ca="1">IF(OR(ISNUMBER(Table13[[#This Row],[Order_Date]])=FALSE,Table13[[#This Row],[Order_Date]]&lt;DATE(2000,1,1),Table13[[#This Row],[Order_Date]]&gt;TODAY()),"YES","NO")</f>
        <v>NO</v>
      </c>
      <c r="Q565" s="9">
        <f>IF(Table13[[#This Row],[Order_Status]] = "Cancelled",0,IF(Table13[[#This Row],[Order_Status]] = "Returned",Table13[[#This Row],[Net_Sales]] * -1,Table13[[#This Row],[Net_Sales]]))</f>
        <v>357.2</v>
      </c>
      <c r="R565" s="9" t="str">
        <f>IF(Table13[[#This Row],[Gross_Sales]]&gt;=500, "YES","NO")</f>
        <v>NO</v>
      </c>
    </row>
    <row r="566" spans="1:18" x14ac:dyDescent="0.3">
      <c r="A566">
        <v>100561</v>
      </c>
      <c r="B566" s="8">
        <v>45315.333333333343</v>
      </c>
      <c r="C566" t="s">
        <v>15</v>
      </c>
      <c r="D566" t="s">
        <v>29</v>
      </c>
      <c r="E566" t="s">
        <v>67</v>
      </c>
      <c r="F566" t="s">
        <v>71</v>
      </c>
      <c r="G566">
        <v>2</v>
      </c>
      <c r="H566">
        <v>80.75</v>
      </c>
      <c r="I566">
        <v>5</v>
      </c>
      <c r="J566" t="s">
        <v>75</v>
      </c>
      <c r="K566" t="s">
        <v>77</v>
      </c>
      <c r="L566">
        <v>161.5</v>
      </c>
      <c r="M566">
        <v>8.0750000000000011</v>
      </c>
      <c r="N566">
        <v>153.42500000000001</v>
      </c>
      <c r="O5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6" s="9" t="str">
        <f ca="1">IF(OR(ISNUMBER(Table13[[#This Row],[Order_Date]])=FALSE,Table13[[#This Row],[Order_Date]]&lt;DATE(2000,1,1),Table13[[#This Row],[Order_Date]]&gt;TODAY()),"YES","NO")</f>
        <v>NO</v>
      </c>
      <c r="Q566" s="9">
        <f>IF(Table13[[#This Row],[Order_Status]] = "Cancelled",0,IF(Table13[[#This Row],[Order_Status]] = "Returned",Table13[[#This Row],[Net_Sales]] * -1,Table13[[#This Row],[Net_Sales]]))</f>
        <v>153.42500000000001</v>
      </c>
      <c r="R566" s="9" t="str">
        <f>IF(Table13[[#This Row],[Gross_Sales]]&gt;=500, "YES","NO")</f>
        <v>NO</v>
      </c>
    </row>
    <row r="567" spans="1:18" x14ac:dyDescent="0.3">
      <c r="A567">
        <v>100562</v>
      </c>
      <c r="B567" s="8">
        <v>45315.375</v>
      </c>
      <c r="C567" t="s">
        <v>14</v>
      </c>
      <c r="D567" t="s">
        <v>34</v>
      </c>
      <c r="E567" t="s">
        <v>70</v>
      </c>
      <c r="F567" t="s">
        <v>72</v>
      </c>
      <c r="G567">
        <v>3</v>
      </c>
      <c r="H567">
        <v>112.13</v>
      </c>
      <c r="I567">
        <v>15</v>
      </c>
      <c r="J567" t="s">
        <v>73</v>
      </c>
      <c r="K567" t="s">
        <v>77</v>
      </c>
      <c r="L567">
        <v>336.39</v>
      </c>
      <c r="M567">
        <v>50.458499999999987</v>
      </c>
      <c r="N567">
        <v>285.93150000000003</v>
      </c>
      <c r="O5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7" s="9" t="str">
        <f ca="1">IF(OR(ISNUMBER(Table13[[#This Row],[Order_Date]])=FALSE,Table13[[#This Row],[Order_Date]]&lt;DATE(2000,1,1),Table13[[#This Row],[Order_Date]]&gt;TODAY()),"YES","NO")</f>
        <v>NO</v>
      </c>
      <c r="Q567" s="9">
        <f>IF(Table13[[#This Row],[Order_Status]] = "Cancelled",0,IF(Table13[[#This Row],[Order_Status]] = "Returned",Table13[[#This Row],[Net_Sales]] * -1,Table13[[#This Row],[Net_Sales]]))</f>
        <v>285.93150000000003</v>
      </c>
      <c r="R567" s="9" t="str">
        <f>IF(Table13[[#This Row],[Gross_Sales]]&gt;=500, "YES","NO")</f>
        <v>NO</v>
      </c>
    </row>
    <row r="568" spans="1:18" x14ac:dyDescent="0.3">
      <c r="A568">
        <v>100563</v>
      </c>
      <c r="B568" s="8">
        <v>45315.416666666657</v>
      </c>
      <c r="C568" t="s">
        <v>14</v>
      </c>
      <c r="D568" t="s">
        <v>31</v>
      </c>
      <c r="E568" t="s">
        <v>68</v>
      </c>
      <c r="F568" t="s">
        <v>72</v>
      </c>
      <c r="G568">
        <v>3</v>
      </c>
      <c r="H568">
        <v>99.41</v>
      </c>
      <c r="I568">
        <v>15</v>
      </c>
      <c r="J568" t="s">
        <v>76</v>
      </c>
      <c r="K568" t="s">
        <v>77</v>
      </c>
      <c r="L568">
        <v>298.23</v>
      </c>
      <c r="M568">
        <v>44.734499999999997</v>
      </c>
      <c r="N568">
        <v>253.49549999999999</v>
      </c>
      <c r="O5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8" s="9" t="str">
        <f ca="1">IF(OR(ISNUMBER(Table13[[#This Row],[Order_Date]])=FALSE,Table13[[#This Row],[Order_Date]]&lt;DATE(2000,1,1),Table13[[#This Row],[Order_Date]]&gt;TODAY()),"YES","NO")</f>
        <v>NO</v>
      </c>
      <c r="Q568" s="9">
        <f>IF(Table13[[#This Row],[Order_Status]] = "Cancelled",0,IF(Table13[[#This Row],[Order_Status]] = "Returned",Table13[[#This Row],[Net_Sales]] * -1,Table13[[#This Row],[Net_Sales]]))</f>
        <v>253.49549999999999</v>
      </c>
      <c r="R568" s="9" t="str">
        <f>IF(Table13[[#This Row],[Gross_Sales]]&gt;=500, "YES","NO")</f>
        <v>NO</v>
      </c>
    </row>
    <row r="569" spans="1:18" x14ac:dyDescent="0.3">
      <c r="A569">
        <v>100564</v>
      </c>
      <c r="B569" s="8">
        <v>45315.458333333343</v>
      </c>
      <c r="C569" t="s">
        <v>14</v>
      </c>
      <c r="D569" t="s">
        <v>21</v>
      </c>
      <c r="E569" t="s">
        <v>66</v>
      </c>
      <c r="F569" t="s">
        <v>72</v>
      </c>
      <c r="G569">
        <v>5</v>
      </c>
      <c r="H569">
        <v>70.16</v>
      </c>
      <c r="I569">
        <v>0</v>
      </c>
      <c r="J569" t="s">
        <v>76</v>
      </c>
      <c r="K569" t="s">
        <v>77</v>
      </c>
      <c r="L569">
        <v>350.8</v>
      </c>
      <c r="M569">
        <v>0</v>
      </c>
      <c r="N569">
        <v>350.8</v>
      </c>
      <c r="O5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69" s="9" t="str">
        <f ca="1">IF(OR(ISNUMBER(Table13[[#This Row],[Order_Date]])=FALSE,Table13[[#This Row],[Order_Date]]&lt;DATE(2000,1,1),Table13[[#This Row],[Order_Date]]&gt;TODAY()),"YES","NO")</f>
        <v>NO</v>
      </c>
      <c r="Q569" s="9">
        <f>IF(Table13[[#This Row],[Order_Status]] = "Cancelled",0,IF(Table13[[#This Row],[Order_Status]] = "Returned",Table13[[#This Row],[Net_Sales]] * -1,Table13[[#This Row],[Net_Sales]]))</f>
        <v>350.8</v>
      </c>
      <c r="R569" s="9" t="str">
        <f>IF(Table13[[#This Row],[Gross_Sales]]&gt;=500, "YES","NO")</f>
        <v>NO</v>
      </c>
    </row>
    <row r="570" spans="1:18" x14ac:dyDescent="0.3">
      <c r="A570">
        <v>100565</v>
      </c>
      <c r="B570" s="8">
        <v>45315.5</v>
      </c>
      <c r="C570" t="s">
        <v>15</v>
      </c>
      <c r="D570" t="s">
        <v>38</v>
      </c>
      <c r="E570" t="s">
        <v>70</v>
      </c>
      <c r="F570" t="s">
        <v>72</v>
      </c>
      <c r="G570">
        <v>4</v>
      </c>
      <c r="H570">
        <v>80.56</v>
      </c>
      <c r="I570">
        <v>0</v>
      </c>
      <c r="J570" t="s">
        <v>75</v>
      </c>
      <c r="K570" t="s">
        <v>77</v>
      </c>
      <c r="L570">
        <v>322.24</v>
      </c>
      <c r="M570">
        <v>0</v>
      </c>
      <c r="N570">
        <v>322.24</v>
      </c>
      <c r="O5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0" s="9" t="str">
        <f ca="1">IF(OR(ISNUMBER(Table13[[#This Row],[Order_Date]])=FALSE,Table13[[#This Row],[Order_Date]]&lt;DATE(2000,1,1),Table13[[#This Row],[Order_Date]]&gt;TODAY()),"YES","NO")</f>
        <v>NO</v>
      </c>
      <c r="Q570" s="9">
        <f>IF(Table13[[#This Row],[Order_Status]] = "Cancelled",0,IF(Table13[[#This Row],[Order_Status]] = "Returned",Table13[[#This Row],[Net_Sales]] * -1,Table13[[#This Row],[Net_Sales]]))</f>
        <v>322.24</v>
      </c>
      <c r="R570" s="9" t="str">
        <f>IF(Table13[[#This Row],[Gross_Sales]]&gt;=500, "YES","NO")</f>
        <v>NO</v>
      </c>
    </row>
    <row r="571" spans="1:18" x14ac:dyDescent="0.3">
      <c r="A571">
        <v>100566</v>
      </c>
      <c r="B571" s="8">
        <v>45315.541666666657</v>
      </c>
      <c r="C571" t="s">
        <v>15</v>
      </c>
      <c r="D571" t="s">
        <v>34</v>
      </c>
      <c r="E571" t="s">
        <v>68</v>
      </c>
      <c r="F571" t="s">
        <v>71</v>
      </c>
      <c r="G571">
        <v>2</v>
      </c>
      <c r="H571">
        <v>108.31</v>
      </c>
      <c r="I571">
        <v>0</v>
      </c>
      <c r="J571" t="s">
        <v>75</v>
      </c>
      <c r="K571" t="s">
        <v>77</v>
      </c>
      <c r="L571">
        <v>216.62</v>
      </c>
      <c r="M571">
        <v>0</v>
      </c>
      <c r="N571">
        <v>216.62</v>
      </c>
      <c r="O5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1" s="9" t="str">
        <f ca="1">IF(OR(ISNUMBER(Table13[[#This Row],[Order_Date]])=FALSE,Table13[[#This Row],[Order_Date]]&lt;DATE(2000,1,1),Table13[[#This Row],[Order_Date]]&gt;TODAY()),"YES","NO")</f>
        <v>NO</v>
      </c>
      <c r="Q571" s="9">
        <f>IF(Table13[[#This Row],[Order_Status]] = "Cancelled",0,IF(Table13[[#This Row],[Order_Status]] = "Returned",Table13[[#This Row],[Net_Sales]] * -1,Table13[[#This Row],[Net_Sales]]))</f>
        <v>216.62</v>
      </c>
      <c r="R571" s="9" t="str">
        <f>IF(Table13[[#This Row],[Gross_Sales]]&gt;=500, "YES","NO")</f>
        <v>NO</v>
      </c>
    </row>
    <row r="572" spans="1:18" x14ac:dyDescent="0.3">
      <c r="A572">
        <v>100567</v>
      </c>
      <c r="B572" s="8">
        <v>45315.583333333343</v>
      </c>
      <c r="C572" t="s">
        <v>15</v>
      </c>
      <c r="D572" t="s">
        <v>33</v>
      </c>
      <c r="E572" t="s">
        <v>70</v>
      </c>
      <c r="F572" t="s">
        <v>71</v>
      </c>
      <c r="G572">
        <v>5</v>
      </c>
      <c r="H572">
        <v>50.94</v>
      </c>
      <c r="I572">
        <v>10</v>
      </c>
      <c r="J572" t="s">
        <v>76</v>
      </c>
      <c r="K572" t="s">
        <v>77</v>
      </c>
      <c r="L572">
        <v>254.7</v>
      </c>
      <c r="M572">
        <v>25.47</v>
      </c>
      <c r="N572">
        <v>229.23</v>
      </c>
      <c r="O5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2" s="9" t="str">
        <f ca="1">IF(OR(ISNUMBER(Table13[[#This Row],[Order_Date]])=FALSE,Table13[[#This Row],[Order_Date]]&lt;DATE(2000,1,1),Table13[[#This Row],[Order_Date]]&gt;TODAY()),"YES","NO")</f>
        <v>NO</v>
      </c>
      <c r="Q572" s="9">
        <f>IF(Table13[[#This Row],[Order_Status]] = "Cancelled",0,IF(Table13[[#This Row],[Order_Status]] = "Returned",Table13[[#This Row],[Net_Sales]] * -1,Table13[[#This Row],[Net_Sales]]))</f>
        <v>229.23</v>
      </c>
      <c r="R572" s="9" t="str">
        <f>IF(Table13[[#This Row],[Gross_Sales]]&gt;=500, "YES","NO")</f>
        <v>NO</v>
      </c>
    </row>
    <row r="573" spans="1:18" x14ac:dyDescent="0.3">
      <c r="A573">
        <v>100568</v>
      </c>
      <c r="B573" s="8">
        <v>45315.625</v>
      </c>
      <c r="C573" t="s">
        <v>15</v>
      </c>
      <c r="D573" t="s">
        <v>47</v>
      </c>
      <c r="E573" t="s">
        <v>66</v>
      </c>
      <c r="F573" t="s">
        <v>72</v>
      </c>
      <c r="G573">
        <v>5</v>
      </c>
      <c r="H573">
        <v>42.58</v>
      </c>
      <c r="I573">
        <v>15</v>
      </c>
      <c r="J573" t="s">
        <v>76</v>
      </c>
      <c r="K573" t="s">
        <v>77</v>
      </c>
      <c r="L573">
        <v>212.9</v>
      </c>
      <c r="M573">
        <v>31.934999999999999</v>
      </c>
      <c r="N573">
        <v>180.965</v>
      </c>
      <c r="O5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3" s="9" t="str">
        <f ca="1">IF(OR(ISNUMBER(Table13[[#This Row],[Order_Date]])=FALSE,Table13[[#This Row],[Order_Date]]&lt;DATE(2000,1,1),Table13[[#This Row],[Order_Date]]&gt;TODAY()),"YES","NO")</f>
        <v>NO</v>
      </c>
      <c r="Q573" s="9">
        <f>IF(Table13[[#This Row],[Order_Status]] = "Cancelled",0,IF(Table13[[#This Row],[Order_Status]] = "Returned",Table13[[#This Row],[Net_Sales]] * -1,Table13[[#This Row],[Net_Sales]]))</f>
        <v>180.965</v>
      </c>
      <c r="R573" s="9" t="str">
        <f>IF(Table13[[#This Row],[Gross_Sales]]&gt;=500, "YES","NO")</f>
        <v>NO</v>
      </c>
    </row>
    <row r="574" spans="1:18" x14ac:dyDescent="0.3">
      <c r="A574">
        <v>100569</v>
      </c>
      <c r="B574" s="8">
        <v>45315.666666666657</v>
      </c>
      <c r="C574" t="s">
        <v>14</v>
      </c>
      <c r="D574" t="s">
        <v>53</v>
      </c>
      <c r="E574" t="s">
        <v>67</v>
      </c>
      <c r="F574" t="s">
        <v>72</v>
      </c>
      <c r="G574">
        <v>4</v>
      </c>
      <c r="H574">
        <v>6.24</v>
      </c>
      <c r="I574">
        <v>0</v>
      </c>
      <c r="J574" t="s">
        <v>74</v>
      </c>
      <c r="K574" t="s">
        <v>77</v>
      </c>
      <c r="L574">
        <v>24.96</v>
      </c>
      <c r="M574">
        <v>0</v>
      </c>
      <c r="N574">
        <v>24.96</v>
      </c>
      <c r="O5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4" s="9" t="str">
        <f ca="1">IF(OR(ISNUMBER(Table13[[#This Row],[Order_Date]])=FALSE,Table13[[#This Row],[Order_Date]]&lt;DATE(2000,1,1),Table13[[#This Row],[Order_Date]]&gt;TODAY()),"YES","NO")</f>
        <v>NO</v>
      </c>
      <c r="Q574" s="9">
        <f>IF(Table13[[#This Row],[Order_Status]] = "Cancelled",0,IF(Table13[[#This Row],[Order_Status]] = "Returned",Table13[[#This Row],[Net_Sales]] * -1,Table13[[#This Row],[Net_Sales]]))</f>
        <v>24.96</v>
      </c>
      <c r="R574" s="9" t="str">
        <f>IF(Table13[[#This Row],[Gross_Sales]]&gt;=500, "YES","NO")</f>
        <v>NO</v>
      </c>
    </row>
    <row r="575" spans="1:18" x14ac:dyDescent="0.3">
      <c r="A575">
        <v>100570</v>
      </c>
      <c r="B575" s="8">
        <v>45315.708333333343</v>
      </c>
      <c r="C575" t="s">
        <v>14</v>
      </c>
      <c r="D575" t="s">
        <v>36</v>
      </c>
      <c r="E575" t="s">
        <v>67</v>
      </c>
      <c r="F575" t="s">
        <v>71</v>
      </c>
      <c r="G575">
        <v>2</v>
      </c>
      <c r="H575">
        <v>100.05</v>
      </c>
      <c r="I575">
        <v>5</v>
      </c>
      <c r="J575" t="s">
        <v>75</v>
      </c>
      <c r="K575" t="s">
        <v>77</v>
      </c>
      <c r="L575">
        <v>200.1</v>
      </c>
      <c r="M575">
        <v>10.005000000000001</v>
      </c>
      <c r="N575">
        <v>190.095</v>
      </c>
      <c r="O5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5" s="9" t="str">
        <f ca="1">IF(OR(ISNUMBER(Table13[[#This Row],[Order_Date]])=FALSE,Table13[[#This Row],[Order_Date]]&lt;DATE(2000,1,1),Table13[[#This Row],[Order_Date]]&gt;TODAY()),"YES","NO")</f>
        <v>NO</v>
      </c>
      <c r="Q575" s="9">
        <f>IF(Table13[[#This Row],[Order_Status]] = "Cancelled",0,IF(Table13[[#This Row],[Order_Status]] = "Returned",Table13[[#This Row],[Net_Sales]] * -1,Table13[[#This Row],[Net_Sales]]))</f>
        <v>190.095</v>
      </c>
      <c r="R575" s="9" t="str">
        <f>IF(Table13[[#This Row],[Gross_Sales]]&gt;=500, "YES","NO")</f>
        <v>NO</v>
      </c>
    </row>
    <row r="576" spans="1:18" x14ac:dyDescent="0.3">
      <c r="A576">
        <v>100571</v>
      </c>
      <c r="B576" s="8">
        <v>45315.75</v>
      </c>
      <c r="C576" t="s">
        <v>15</v>
      </c>
      <c r="D576" t="s">
        <v>55</v>
      </c>
      <c r="E576" t="s">
        <v>68</v>
      </c>
      <c r="F576" t="s">
        <v>72</v>
      </c>
      <c r="G576">
        <v>4</v>
      </c>
      <c r="H576">
        <v>97.11</v>
      </c>
      <c r="I576">
        <v>0</v>
      </c>
      <c r="J576" t="s">
        <v>75</v>
      </c>
      <c r="K576" t="s">
        <v>77</v>
      </c>
      <c r="L576">
        <v>388.44</v>
      </c>
      <c r="M576">
        <v>0</v>
      </c>
      <c r="N576">
        <v>388.44</v>
      </c>
      <c r="O5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6" s="9" t="str">
        <f ca="1">IF(OR(ISNUMBER(Table13[[#This Row],[Order_Date]])=FALSE,Table13[[#This Row],[Order_Date]]&lt;DATE(2000,1,1),Table13[[#This Row],[Order_Date]]&gt;TODAY()),"YES","NO")</f>
        <v>NO</v>
      </c>
      <c r="Q576" s="9">
        <f>IF(Table13[[#This Row],[Order_Status]] = "Cancelled",0,IF(Table13[[#This Row],[Order_Status]] = "Returned",Table13[[#This Row],[Net_Sales]] * -1,Table13[[#This Row],[Net_Sales]]))</f>
        <v>388.44</v>
      </c>
      <c r="R576" s="9" t="str">
        <f>IF(Table13[[#This Row],[Gross_Sales]]&gt;=500, "YES","NO")</f>
        <v>NO</v>
      </c>
    </row>
    <row r="577" spans="1:18" x14ac:dyDescent="0.3">
      <c r="A577">
        <v>100572</v>
      </c>
      <c r="B577" s="8">
        <v>45315.791666666657</v>
      </c>
      <c r="C577" t="s">
        <v>14</v>
      </c>
      <c r="D577" t="s">
        <v>23</v>
      </c>
      <c r="E577" t="s">
        <v>69</v>
      </c>
      <c r="F577" t="s">
        <v>71</v>
      </c>
      <c r="G577">
        <v>2</v>
      </c>
      <c r="H577">
        <v>17.010000000000002</v>
      </c>
      <c r="I577">
        <v>15</v>
      </c>
      <c r="J577" t="s">
        <v>73</v>
      </c>
      <c r="K577" t="s">
        <v>78</v>
      </c>
      <c r="L577">
        <v>34.020000000000003</v>
      </c>
      <c r="M577">
        <v>5.1030000000000006</v>
      </c>
      <c r="N577">
        <v>28.917000000000002</v>
      </c>
      <c r="O5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77" s="9" t="str">
        <f ca="1">IF(OR(ISNUMBER(Table13[[#This Row],[Order_Date]])=FALSE,Table13[[#This Row],[Order_Date]]&lt;DATE(2000,1,1),Table13[[#This Row],[Order_Date]]&gt;TODAY()),"YES","NO")</f>
        <v>NO</v>
      </c>
      <c r="Q577" s="9">
        <f>IF(Table13[[#This Row],[Order_Status]] = "Cancelled",0,IF(Table13[[#This Row],[Order_Status]] = "Returned",Table13[[#This Row],[Net_Sales]] * -1,Table13[[#This Row],[Net_Sales]]))</f>
        <v>-28.917000000000002</v>
      </c>
      <c r="R577" s="9" t="str">
        <f>IF(Table13[[#This Row],[Gross_Sales]]&gt;=500, "YES","NO")</f>
        <v>NO</v>
      </c>
    </row>
    <row r="578" spans="1:18" x14ac:dyDescent="0.3">
      <c r="A578">
        <v>100573</v>
      </c>
      <c r="B578" s="8">
        <v>45315.833333333343</v>
      </c>
      <c r="C578" t="s">
        <v>14</v>
      </c>
      <c r="D578" t="s">
        <v>56</v>
      </c>
      <c r="E578" t="s">
        <v>68</v>
      </c>
      <c r="F578" t="s">
        <v>72</v>
      </c>
      <c r="G578">
        <v>4</v>
      </c>
      <c r="H578">
        <v>71.34</v>
      </c>
      <c r="I578">
        <v>0</v>
      </c>
      <c r="J578" t="s">
        <v>74</v>
      </c>
      <c r="K578" t="s">
        <v>77</v>
      </c>
      <c r="L578">
        <v>285.36</v>
      </c>
      <c r="M578">
        <v>0</v>
      </c>
      <c r="N578">
        <v>285.36</v>
      </c>
      <c r="O5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8" s="9" t="str">
        <f ca="1">IF(OR(ISNUMBER(Table13[[#This Row],[Order_Date]])=FALSE,Table13[[#This Row],[Order_Date]]&lt;DATE(2000,1,1),Table13[[#This Row],[Order_Date]]&gt;TODAY()),"YES","NO")</f>
        <v>NO</v>
      </c>
      <c r="Q578" s="9">
        <f>IF(Table13[[#This Row],[Order_Status]] = "Cancelled",0,IF(Table13[[#This Row],[Order_Status]] = "Returned",Table13[[#This Row],[Net_Sales]] * -1,Table13[[#This Row],[Net_Sales]]))</f>
        <v>285.36</v>
      </c>
      <c r="R578" s="9" t="str">
        <f>IF(Table13[[#This Row],[Gross_Sales]]&gt;=500, "YES","NO")</f>
        <v>NO</v>
      </c>
    </row>
    <row r="579" spans="1:18" x14ac:dyDescent="0.3">
      <c r="A579">
        <v>100574</v>
      </c>
      <c r="B579" s="8">
        <v>45315.875</v>
      </c>
      <c r="C579" t="s">
        <v>15</v>
      </c>
      <c r="D579" t="s">
        <v>48</v>
      </c>
      <c r="E579" t="s">
        <v>69</v>
      </c>
      <c r="F579" t="s">
        <v>71</v>
      </c>
      <c r="G579">
        <v>5</v>
      </c>
      <c r="H579">
        <v>58.36</v>
      </c>
      <c r="I579">
        <v>15</v>
      </c>
      <c r="J579" t="s">
        <v>76</v>
      </c>
      <c r="K579" t="s">
        <v>77</v>
      </c>
      <c r="L579">
        <v>291.8</v>
      </c>
      <c r="M579">
        <v>43.77</v>
      </c>
      <c r="N579">
        <v>248.03</v>
      </c>
      <c r="O5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79" s="9" t="str">
        <f ca="1">IF(OR(ISNUMBER(Table13[[#This Row],[Order_Date]])=FALSE,Table13[[#This Row],[Order_Date]]&lt;DATE(2000,1,1),Table13[[#This Row],[Order_Date]]&gt;TODAY()),"YES","NO")</f>
        <v>NO</v>
      </c>
      <c r="Q579" s="9">
        <f>IF(Table13[[#This Row],[Order_Status]] = "Cancelled",0,IF(Table13[[#This Row],[Order_Status]] = "Returned",Table13[[#This Row],[Net_Sales]] * -1,Table13[[#This Row],[Net_Sales]]))</f>
        <v>248.03</v>
      </c>
      <c r="R579" s="9" t="str">
        <f>IF(Table13[[#This Row],[Gross_Sales]]&gt;=500, "YES","NO")</f>
        <v>NO</v>
      </c>
    </row>
    <row r="580" spans="1:18" x14ac:dyDescent="0.3">
      <c r="A580">
        <v>100575</v>
      </c>
      <c r="B580" s="8">
        <v>45315.916666666657</v>
      </c>
      <c r="C580" t="s">
        <v>14</v>
      </c>
      <c r="D580" t="s">
        <v>37</v>
      </c>
      <c r="E580" t="s">
        <v>70</v>
      </c>
      <c r="F580" t="s">
        <v>72</v>
      </c>
      <c r="G580">
        <v>5</v>
      </c>
      <c r="H580">
        <v>18.649999999999999</v>
      </c>
      <c r="I580">
        <v>0</v>
      </c>
      <c r="J580" t="s">
        <v>74</v>
      </c>
      <c r="K580" t="s">
        <v>79</v>
      </c>
      <c r="L580">
        <v>93.25</v>
      </c>
      <c r="M580">
        <v>0</v>
      </c>
      <c r="N580">
        <v>93.25</v>
      </c>
      <c r="O5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80" s="9" t="str">
        <f ca="1">IF(OR(ISNUMBER(Table13[[#This Row],[Order_Date]])=FALSE,Table13[[#This Row],[Order_Date]]&lt;DATE(2000,1,1),Table13[[#This Row],[Order_Date]]&gt;TODAY()),"YES","NO")</f>
        <v>NO</v>
      </c>
      <c r="Q580" s="9">
        <f>IF(Table13[[#This Row],[Order_Status]] = "Cancelled",0,IF(Table13[[#This Row],[Order_Status]] = "Returned",Table13[[#This Row],[Net_Sales]] * -1,Table13[[#This Row],[Net_Sales]]))</f>
        <v>0</v>
      </c>
      <c r="R580" s="9" t="str">
        <f>IF(Table13[[#This Row],[Gross_Sales]]&gt;=500, "YES","NO")</f>
        <v>NO</v>
      </c>
    </row>
    <row r="581" spans="1:18" x14ac:dyDescent="0.3">
      <c r="A581">
        <v>100576</v>
      </c>
      <c r="B581" s="8">
        <v>45315.958333333343</v>
      </c>
      <c r="C581" t="s">
        <v>15</v>
      </c>
      <c r="D581" t="s">
        <v>32</v>
      </c>
      <c r="E581" t="s">
        <v>70</v>
      </c>
      <c r="F581" t="s">
        <v>72</v>
      </c>
      <c r="G581">
        <v>1</v>
      </c>
      <c r="H581">
        <v>117.77</v>
      </c>
      <c r="I581">
        <v>5</v>
      </c>
      <c r="J581" t="s">
        <v>76</v>
      </c>
      <c r="K581" t="s">
        <v>77</v>
      </c>
      <c r="L581">
        <v>117.77</v>
      </c>
      <c r="M581">
        <v>5.8885000000000014</v>
      </c>
      <c r="N581">
        <v>111.8815</v>
      </c>
      <c r="O5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1" s="9" t="str">
        <f ca="1">IF(OR(ISNUMBER(Table13[[#This Row],[Order_Date]])=FALSE,Table13[[#This Row],[Order_Date]]&lt;DATE(2000,1,1),Table13[[#This Row],[Order_Date]]&gt;TODAY()),"YES","NO")</f>
        <v>NO</v>
      </c>
      <c r="Q581" s="9">
        <f>IF(Table13[[#This Row],[Order_Status]] = "Cancelled",0,IF(Table13[[#This Row],[Order_Status]] = "Returned",Table13[[#This Row],[Net_Sales]] * -1,Table13[[#This Row],[Net_Sales]]))</f>
        <v>111.8815</v>
      </c>
      <c r="R581" s="9" t="str">
        <f>IF(Table13[[#This Row],[Gross_Sales]]&gt;=500, "YES","NO")</f>
        <v>NO</v>
      </c>
    </row>
    <row r="582" spans="1:18" x14ac:dyDescent="0.3">
      <c r="A582">
        <v>100577</v>
      </c>
      <c r="B582" s="8">
        <v>45316</v>
      </c>
      <c r="C582" t="s">
        <v>14</v>
      </c>
      <c r="D582" t="s">
        <v>32</v>
      </c>
      <c r="E582" t="s">
        <v>66</v>
      </c>
      <c r="F582" t="s">
        <v>71</v>
      </c>
      <c r="G582">
        <v>3</v>
      </c>
      <c r="H582">
        <v>29.69</v>
      </c>
      <c r="I582">
        <v>0</v>
      </c>
      <c r="J582" t="s">
        <v>76</v>
      </c>
      <c r="K582" t="s">
        <v>77</v>
      </c>
      <c r="L582">
        <v>89.070000000000007</v>
      </c>
      <c r="M582">
        <v>0</v>
      </c>
      <c r="N582">
        <v>89.070000000000007</v>
      </c>
      <c r="O5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2" s="9" t="str">
        <f ca="1">IF(OR(ISNUMBER(Table13[[#This Row],[Order_Date]])=FALSE,Table13[[#This Row],[Order_Date]]&lt;DATE(2000,1,1),Table13[[#This Row],[Order_Date]]&gt;TODAY()),"YES","NO")</f>
        <v>NO</v>
      </c>
      <c r="Q582" s="9">
        <f>IF(Table13[[#This Row],[Order_Status]] = "Cancelled",0,IF(Table13[[#This Row],[Order_Status]] = "Returned",Table13[[#This Row],[Net_Sales]] * -1,Table13[[#This Row],[Net_Sales]]))</f>
        <v>89.070000000000007</v>
      </c>
      <c r="R582" s="9" t="str">
        <f>IF(Table13[[#This Row],[Gross_Sales]]&gt;=500, "YES","NO")</f>
        <v>NO</v>
      </c>
    </row>
    <row r="583" spans="1:18" x14ac:dyDescent="0.3">
      <c r="A583">
        <v>100578</v>
      </c>
      <c r="B583" s="8">
        <v>45316.041666666657</v>
      </c>
      <c r="C583" t="s">
        <v>15</v>
      </c>
      <c r="D583" t="s">
        <v>51</v>
      </c>
      <c r="E583" t="s">
        <v>69</v>
      </c>
      <c r="F583" t="s">
        <v>72</v>
      </c>
      <c r="G583">
        <v>4</v>
      </c>
      <c r="H583">
        <v>12.73</v>
      </c>
      <c r="I583">
        <v>5</v>
      </c>
      <c r="J583" t="s">
        <v>74</v>
      </c>
      <c r="K583" t="s">
        <v>77</v>
      </c>
      <c r="L583">
        <v>50.92</v>
      </c>
      <c r="M583">
        <v>2.5459999999999998</v>
      </c>
      <c r="N583">
        <v>48.374000000000002</v>
      </c>
      <c r="O5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3" s="9" t="str">
        <f ca="1">IF(OR(ISNUMBER(Table13[[#This Row],[Order_Date]])=FALSE,Table13[[#This Row],[Order_Date]]&lt;DATE(2000,1,1),Table13[[#This Row],[Order_Date]]&gt;TODAY()),"YES","NO")</f>
        <v>NO</v>
      </c>
      <c r="Q583" s="9">
        <f>IF(Table13[[#This Row],[Order_Status]] = "Cancelled",0,IF(Table13[[#This Row],[Order_Status]] = "Returned",Table13[[#This Row],[Net_Sales]] * -1,Table13[[#This Row],[Net_Sales]]))</f>
        <v>48.374000000000002</v>
      </c>
      <c r="R583" s="9" t="str">
        <f>IF(Table13[[#This Row],[Gross_Sales]]&gt;=500, "YES","NO")</f>
        <v>NO</v>
      </c>
    </row>
    <row r="584" spans="1:18" x14ac:dyDescent="0.3">
      <c r="A584">
        <v>100579</v>
      </c>
      <c r="B584" s="8">
        <v>45316.083333333343</v>
      </c>
      <c r="C584" t="s">
        <v>15</v>
      </c>
      <c r="D584" t="s">
        <v>24</v>
      </c>
      <c r="E584" t="s">
        <v>66</v>
      </c>
      <c r="F584" t="s">
        <v>71</v>
      </c>
      <c r="G584">
        <v>1</v>
      </c>
      <c r="H584">
        <v>73.41</v>
      </c>
      <c r="I584">
        <v>5</v>
      </c>
      <c r="J584" t="s">
        <v>75</v>
      </c>
      <c r="K584" t="s">
        <v>79</v>
      </c>
      <c r="L584">
        <v>73.41</v>
      </c>
      <c r="M584">
        <v>3.6705000000000001</v>
      </c>
      <c r="N584">
        <v>69.739499999999992</v>
      </c>
      <c r="O5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84" s="9" t="str">
        <f ca="1">IF(OR(ISNUMBER(Table13[[#This Row],[Order_Date]])=FALSE,Table13[[#This Row],[Order_Date]]&lt;DATE(2000,1,1),Table13[[#This Row],[Order_Date]]&gt;TODAY()),"YES","NO")</f>
        <v>NO</v>
      </c>
      <c r="Q584" s="9">
        <f>IF(Table13[[#This Row],[Order_Status]] = "Cancelled",0,IF(Table13[[#This Row],[Order_Status]] = "Returned",Table13[[#This Row],[Net_Sales]] * -1,Table13[[#This Row],[Net_Sales]]))</f>
        <v>0</v>
      </c>
      <c r="R584" s="9" t="str">
        <f>IF(Table13[[#This Row],[Gross_Sales]]&gt;=500, "YES","NO")</f>
        <v>NO</v>
      </c>
    </row>
    <row r="585" spans="1:18" x14ac:dyDescent="0.3">
      <c r="A585">
        <v>100580</v>
      </c>
      <c r="B585" s="8">
        <v>45316.125</v>
      </c>
      <c r="C585" t="s">
        <v>15</v>
      </c>
      <c r="D585" t="s">
        <v>44</v>
      </c>
      <c r="E585" t="s">
        <v>67</v>
      </c>
      <c r="F585" t="s">
        <v>71</v>
      </c>
      <c r="G585">
        <v>3</v>
      </c>
      <c r="H585">
        <v>89.97</v>
      </c>
      <c r="I585">
        <v>0</v>
      </c>
      <c r="J585" t="s">
        <v>76</v>
      </c>
      <c r="K585" t="s">
        <v>78</v>
      </c>
      <c r="L585">
        <v>269.91000000000003</v>
      </c>
      <c r="M585">
        <v>0</v>
      </c>
      <c r="N585">
        <v>269.91000000000003</v>
      </c>
      <c r="O5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85" s="9" t="str">
        <f ca="1">IF(OR(ISNUMBER(Table13[[#This Row],[Order_Date]])=FALSE,Table13[[#This Row],[Order_Date]]&lt;DATE(2000,1,1),Table13[[#This Row],[Order_Date]]&gt;TODAY()),"YES","NO")</f>
        <v>NO</v>
      </c>
      <c r="Q585" s="9">
        <f>IF(Table13[[#This Row],[Order_Status]] = "Cancelled",0,IF(Table13[[#This Row],[Order_Status]] = "Returned",Table13[[#This Row],[Net_Sales]] * -1,Table13[[#This Row],[Net_Sales]]))</f>
        <v>-269.91000000000003</v>
      </c>
      <c r="R585" s="9" t="str">
        <f>IF(Table13[[#This Row],[Gross_Sales]]&gt;=500, "YES","NO")</f>
        <v>NO</v>
      </c>
    </row>
    <row r="586" spans="1:18" x14ac:dyDescent="0.3">
      <c r="A586">
        <v>100581</v>
      </c>
      <c r="B586" s="8">
        <v>45316.166666666657</v>
      </c>
      <c r="C586" t="s">
        <v>15</v>
      </c>
      <c r="D586" t="s">
        <v>18</v>
      </c>
      <c r="E586" t="s">
        <v>69</v>
      </c>
      <c r="F586" t="s">
        <v>71</v>
      </c>
      <c r="G586">
        <v>4</v>
      </c>
      <c r="H586">
        <v>8.73</v>
      </c>
      <c r="I586">
        <v>5</v>
      </c>
      <c r="J586" t="s">
        <v>74</v>
      </c>
      <c r="K586" t="s">
        <v>77</v>
      </c>
      <c r="L586">
        <v>34.92</v>
      </c>
      <c r="M586">
        <v>1.746</v>
      </c>
      <c r="N586">
        <v>33.173999999999999</v>
      </c>
      <c r="O5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6" s="9" t="str">
        <f ca="1">IF(OR(ISNUMBER(Table13[[#This Row],[Order_Date]])=FALSE,Table13[[#This Row],[Order_Date]]&lt;DATE(2000,1,1),Table13[[#This Row],[Order_Date]]&gt;TODAY()),"YES","NO")</f>
        <v>NO</v>
      </c>
      <c r="Q586" s="9">
        <f>IF(Table13[[#This Row],[Order_Status]] = "Cancelled",0,IF(Table13[[#This Row],[Order_Status]] = "Returned",Table13[[#This Row],[Net_Sales]] * -1,Table13[[#This Row],[Net_Sales]]))</f>
        <v>33.173999999999999</v>
      </c>
      <c r="R586" s="9" t="str">
        <f>IF(Table13[[#This Row],[Gross_Sales]]&gt;=500, "YES","NO")</f>
        <v>NO</v>
      </c>
    </row>
    <row r="587" spans="1:18" x14ac:dyDescent="0.3">
      <c r="A587">
        <v>100582</v>
      </c>
      <c r="B587" s="8">
        <v>45316.208333333343</v>
      </c>
      <c r="C587" t="s">
        <v>14</v>
      </c>
      <c r="D587" t="s">
        <v>49</v>
      </c>
      <c r="E587" t="s">
        <v>68</v>
      </c>
      <c r="F587" t="s">
        <v>71</v>
      </c>
      <c r="G587">
        <v>2</v>
      </c>
      <c r="H587">
        <v>80.75</v>
      </c>
      <c r="I587">
        <v>10</v>
      </c>
      <c r="J587" t="s">
        <v>73</v>
      </c>
      <c r="K587" t="s">
        <v>77</v>
      </c>
      <c r="L587">
        <v>161.5</v>
      </c>
      <c r="M587">
        <v>16.149999999999999</v>
      </c>
      <c r="N587">
        <v>145.35</v>
      </c>
      <c r="O5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7" s="9" t="str">
        <f ca="1">IF(OR(ISNUMBER(Table13[[#This Row],[Order_Date]])=FALSE,Table13[[#This Row],[Order_Date]]&lt;DATE(2000,1,1),Table13[[#This Row],[Order_Date]]&gt;TODAY()),"YES","NO")</f>
        <v>NO</v>
      </c>
      <c r="Q587" s="9">
        <f>IF(Table13[[#This Row],[Order_Status]] = "Cancelled",0,IF(Table13[[#This Row],[Order_Status]] = "Returned",Table13[[#This Row],[Net_Sales]] * -1,Table13[[#This Row],[Net_Sales]]))</f>
        <v>145.35</v>
      </c>
      <c r="R587" s="9" t="str">
        <f>IF(Table13[[#This Row],[Gross_Sales]]&gt;=500, "YES","NO")</f>
        <v>NO</v>
      </c>
    </row>
    <row r="588" spans="1:18" x14ac:dyDescent="0.3">
      <c r="A588">
        <v>100583</v>
      </c>
      <c r="B588" s="8">
        <v>45316.25</v>
      </c>
      <c r="C588" t="s">
        <v>15</v>
      </c>
      <c r="D588" t="s">
        <v>21</v>
      </c>
      <c r="E588" t="s">
        <v>67</v>
      </c>
      <c r="F588" t="s">
        <v>71</v>
      </c>
      <c r="G588">
        <v>3</v>
      </c>
      <c r="H588">
        <v>66.209999999999994</v>
      </c>
      <c r="I588">
        <v>0</v>
      </c>
      <c r="J588" t="s">
        <v>74</v>
      </c>
      <c r="K588" t="s">
        <v>77</v>
      </c>
      <c r="L588">
        <v>198.63</v>
      </c>
      <c r="M588">
        <v>0</v>
      </c>
      <c r="N588">
        <v>198.63</v>
      </c>
      <c r="O5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88" s="9" t="str">
        <f ca="1">IF(OR(ISNUMBER(Table13[[#This Row],[Order_Date]])=FALSE,Table13[[#This Row],[Order_Date]]&lt;DATE(2000,1,1),Table13[[#This Row],[Order_Date]]&gt;TODAY()),"YES","NO")</f>
        <v>NO</v>
      </c>
      <c r="Q588" s="9">
        <f>IF(Table13[[#This Row],[Order_Status]] = "Cancelled",0,IF(Table13[[#This Row],[Order_Status]] = "Returned",Table13[[#This Row],[Net_Sales]] * -1,Table13[[#This Row],[Net_Sales]]))</f>
        <v>198.63</v>
      </c>
      <c r="R588" s="9" t="str">
        <f>IF(Table13[[#This Row],[Gross_Sales]]&gt;=500, "YES","NO")</f>
        <v>NO</v>
      </c>
    </row>
    <row r="589" spans="1:18" x14ac:dyDescent="0.3">
      <c r="A589">
        <v>100584</v>
      </c>
      <c r="B589" s="8">
        <v>45316.291666666657</v>
      </c>
      <c r="C589" t="s">
        <v>15</v>
      </c>
      <c r="D589" t="s">
        <v>37</v>
      </c>
      <c r="E589" t="s">
        <v>67</v>
      </c>
      <c r="F589" t="s">
        <v>72</v>
      </c>
      <c r="G589">
        <v>5</v>
      </c>
      <c r="H589">
        <v>16.88</v>
      </c>
      <c r="I589">
        <v>0</v>
      </c>
      <c r="J589" t="s">
        <v>73</v>
      </c>
      <c r="K589" t="s">
        <v>79</v>
      </c>
      <c r="L589">
        <v>84.399999999999991</v>
      </c>
      <c r="M589">
        <v>0</v>
      </c>
      <c r="N589">
        <v>84.399999999999991</v>
      </c>
      <c r="O5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89" s="9" t="str">
        <f ca="1">IF(OR(ISNUMBER(Table13[[#This Row],[Order_Date]])=FALSE,Table13[[#This Row],[Order_Date]]&lt;DATE(2000,1,1),Table13[[#This Row],[Order_Date]]&gt;TODAY()),"YES","NO")</f>
        <v>NO</v>
      </c>
      <c r="Q589" s="9">
        <f>IF(Table13[[#This Row],[Order_Status]] = "Cancelled",0,IF(Table13[[#This Row],[Order_Status]] = "Returned",Table13[[#This Row],[Net_Sales]] * -1,Table13[[#This Row],[Net_Sales]]))</f>
        <v>0</v>
      </c>
      <c r="R589" s="9" t="str">
        <f>IF(Table13[[#This Row],[Gross_Sales]]&gt;=500, "YES","NO")</f>
        <v>NO</v>
      </c>
    </row>
    <row r="590" spans="1:18" x14ac:dyDescent="0.3">
      <c r="A590">
        <v>100585</v>
      </c>
      <c r="B590" s="8">
        <v>45316.333333333343</v>
      </c>
      <c r="C590" t="s">
        <v>15</v>
      </c>
      <c r="D590" t="s">
        <v>34</v>
      </c>
      <c r="E590" t="s">
        <v>68</v>
      </c>
      <c r="F590" t="s">
        <v>72</v>
      </c>
      <c r="G590">
        <v>1</v>
      </c>
      <c r="H590">
        <v>24.84</v>
      </c>
      <c r="I590">
        <v>5</v>
      </c>
      <c r="J590" t="s">
        <v>76</v>
      </c>
      <c r="K590" t="s">
        <v>79</v>
      </c>
      <c r="L590">
        <v>24.84</v>
      </c>
      <c r="M590">
        <v>1.242</v>
      </c>
      <c r="N590">
        <v>23.597999999999999</v>
      </c>
      <c r="O5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90" s="9" t="str">
        <f ca="1">IF(OR(ISNUMBER(Table13[[#This Row],[Order_Date]])=FALSE,Table13[[#This Row],[Order_Date]]&lt;DATE(2000,1,1),Table13[[#This Row],[Order_Date]]&gt;TODAY()),"YES","NO")</f>
        <v>NO</v>
      </c>
      <c r="Q590" s="9">
        <f>IF(Table13[[#This Row],[Order_Status]] = "Cancelled",0,IF(Table13[[#This Row],[Order_Status]] = "Returned",Table13[[#This Row],[Net_Sales]] * -1,Table13[[#This Row],[Net_Sales]]))</f>
        <v>0</v>
      </c>
      <c r="R590" s="9" t="str">
        <f>IF(Table13[[#This Row],[Gross_Sales]]&gt;=500, "YES","NO")</f>
        <v>NO</v>
      </c>
    </row>
    <row r="591" spans="1:18" x14ac:dyDescent="0.3">
      <c r="A591">
        <v>100586</v>
      </c>
      <c r="B591" s="8">
        <v>45316.375</v>
      </c>
      <c r="C591" t="s">
        <v>14</v>
      </c>
      <c r="D591" t="s">
        <v>65</v>
      </c>
      <c r="E591" t="s">
        <v>67</v>
      </c>
      <c r="F591" t="s">
        <v>71</v>
      </c>
      <c r="G591">
        <v>3</v>
      </c>
      <c r="H591">
        <v>70.319999999999993</v>
      </c>
      <c r="I591">
        <v>5</v>
      </c>
      <c r="J591" t="s">
        <v>74</v>
      </c>
      <c r="K591" t="s">
        <v>77</v>
      </c>
      <c r="L591">
        <v>210.96</v>
      </c>
      <c r="M591">
        <v>10.548</v>
      </c>
      <c r="N591">
        <v>200.41200000000001</v>
      </c>
      <c r="O5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1" s="9" t="str">
        <f ca="1">IF(OR(ISNUMBER(Table13[[#This Row],[Order_Date]])=FALSE,Table13[[#This Row],[Order_Date]]&lt;DATE(2000,1,1),Table13[[#This Row],[Order_Date]]&gt;TODAY()),"YES","NO")</f>
        <v>NO</v>
      </c>
      <c r="Q591" s="9">
        <f>IF(Table13[[#This Row],[Order_Status]] = "Cancelled",0,IF(Table13[[#This Row],[Order_Status]] = "Returned",Table13[[#This Row],[Net_Sales]] * -1,Table13[[#This Row],[Net_Sales]]))</f>
        <v>200.41200000000001</v>
      </c>
      <c r="R591" s="9" t="str">
        <f>IF(Table13[[#This Row],[Gross_Sales]]&gt;=500, "YES","NO")</f>
        <v>NO</v>
      </c>
    </row>
    <row r="592" spans="1:18" x14ac:dyDescent="0.3">
      <c r="A592">
        <v>100587</v>
      </c>
      <c r="B592" s="8">
        <v>45316.416666666657</v>
      </c>
      <c r="C592" t="s">
        <v>15</v>
      </c>
      <c r="D592" t="s">
        <v>23</v>
      </c>
      <c r="E592" t="s">
        <v>69</v>
      </c>
      <c r="F592" t="s">
        <v>72</v>
      </c>
      <c r="G592">
        <v>3</v>
      </c>
      <c r="H592">
        <v>39.08</v>
      </c>
      <c r="I592">
        <v>0</v>
      </c>
      <c r="J592" t="s">
        <v>74</v>
      </c>
      <c r="K592" t="s">
        <v>77</v>
      </c>
      <c r="L592">
        <v>117.24</v>
      </c>
      <c r="M592">
        <v>0</v>
      </c>
      <c r="N592">
        <v>117.24</v>
      </c>
      <c r="O5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2" s="9" t="str">
        <f ca="1">IF(OR(ISNUMBER(Table13[[#This Row],[Order_Date]])=FALSE,Table13[[#This Row],[Order_Date]]&lt;DATE(2000,1,1),Table13[[#This Row],[Order_Date]]&gt;TODAY()),"YES","NO")</f>
        <v>NO</v>
      </c>
      <c r="Q592" s="9">
        <f>IF(Table13[[#This Row],[Order_Status]] = "Cancelled",0,IF(Table13[[#This Row],[Order_Status]] = "Returned",Table13[[#This Row],[Net_Sales]] * -1,Table13[[#This Row],[Net_Sales]]))</f>
        <v>117.24</v>
      </c>
      <c r="R592" s="9" t="str">
        <f>IF(Table13[[#This Row],[Gross_Sales]]&gt;=500, "YES","NO")</f>
        <v>NO</v>
      </c>
    </row>
    <row r="593" spans="1:18" x14ac:dyDescent="0.3">
      <c r="A593">
        <v>100588</v>
      </c>
      <c r="B593" s="8">
        <v>45316.458333333343</v>
      </c>
      <c r="C593" t="s">
        <v>14</v>
      </c>
      <c r="D593" t="s">
        <v>55</v>
      </c>
      <c r="E593" t="s">
        <v>66</v>
      </c>
      <c r="F593" t="s">
        <v>71</v>
      </c>
      <c r="G593">
        <v>5</v>
      </c>
      <c r="H593">
        <v>112.91</v>
      </c>
      <c r="I593">
        <v>10</v>
      </c>
      <c r="J593" t="s">
        <v>73</v>
      </c>
      <c r="K593" t="s">
        <v>77</v>
      </c>
      <c r="L593">
        <v>564.54999999999995</v>
      </c>
      <c r="M593">
        <v>56.454999999999998</v>
      </c>
      <c r="N593">
        <v>508.09500000000003</v>
      </c>
      <c r="O5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3" s="9" t="str">
        <f ca="1">IF(OR(ISNUMBER(Table13[[#This Row],[Order_Date]])=FALSE,Table13[[#This Row],[Order_Date]]&lt;DATE(2000,1,1),Table13[[#This Row],[Order_Date]]&gt;TODAY()),"YES","NO")</f>
        <v>NO</v>
      </c>
      <c r="Q593" s="9">
        <f>IF(Table13[[#This Row],[Order_Status]] = "Cancelled",0,IF(Table13[[#This Row],[Order_Status]] = "Returned",Table13[[#This Row],[Net_Sales]] * -1,Table13[[#This Row],[Net_Sales]]))</f>
        <v>508.09500000000003</v>
      </c>
      <c r="R593" s="9" t="str">
        <f>IF(Table13[[#This Row],[Gross_Sales]]&gt;=500, "YES","NO")</f>
        <v>YES</v>
      </c>
    </row>
    <row r="594" spans="1:18" x14ac:dyDescent="0.3">
      <c r="A594">
        <v>100589</v>
      </c>
      <c r="B594" s="8">
        <v>45316.5</v>
      </c>
      <c r="C594" t="s">
        <v>15</v>
      </c>
      <c r="D594" t="s">
        <v>36</v>
      </c>
      <c r="E594" t="s">
        <v>67</v>
      </c>
      <c r="F594" t="s">
        <v>72</v>
      </c>
      <c r="G594">
        <v>4</v>
      </c>
      <c r="H594">
        <v>99.16</v>
      </c>
      <c r="I594">
        <v>5</v>
      </c>
      <c r="J594" t="s">
        <v>74</v>
      </c>
      <c r="K594" t="s">
        <v>77</v>
      </c>
      <c r="L594">
        <v>396.64</v>
      </c>
      <c r="M594">
        <v>19.832000000000001</v>
      </c>
      <c r="N594">
        <v>376.80799999999999</v>
      </c>
      <c r="O5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4" s="9" t="str">
        <f ca="1">IF(OR(ISNUMBER(Table13[[#This Row],[Order_Date]])=FALSE,Table13[[#This Row],[Order_Date]]&lt;DATE(2000,1,1),Table13[[#This Row],[Order_Date]]&gt;TODAY()),"YES","NO")</f>
        <v>NO</v>
      </c>
      <c r="Q594" s="9">
        <f>IF(Table13[[#This Row],[Order_Status]] = "Cancelled",0,IF(Table13[[#This Row],[Order_Status]] = "Returned",Table13[[#This Row],[Net_Sales]] * -1,Table13[[#This Row],[Net_Sales]]))</f>
        <v>376.80799999999999</v>
      </c>
      <c r="R594" s="9" t="str">
        <f>IF(Table13[[#This Row],[Gross_Sales]]&gt;=500, "YES","NO")</f>
        <v>NO</v>
      </c>
    </row>
    <row r="595" spans="1:18" x14ac:dyDescent="0.3">
      <c r="A595">
        <v>100590</v>
      </c>
      <c r="B595" s="8">
        <v>45316.541666666657</v>
      </c>
      <c r="C595" t="s">
        <v>14</v>
      </c>
      <c r="D595" t="s">
        <v>48</v>
      </c>
      <c r="E595" t="s">
        <v>69</v>
      </c>
      <c r="F595" t="s">
        <v>72</v>
      </c>
      <c r="G595">
        <v>2</v>
      </c>
      <c r="H595">
        <v>118.11</v>
      </c>
      <c r="I595">
        <v>5</v>
      </c>
      <c r="J595" t="s">
        <v>74</v>
      </c>
      <c r="K595" t="s">
        <v>77</v>
      </c>
      <c r="L595">
        <v>236.22</v>
      </c>
      <c r="M595">
        <v>11.811</v>
      </c>
      <c r="N595">
        <v>224.40899999999999</v>
      </c>
      <c r="O5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5" s="9" t="str">
        <f ca="1">IF(OR(ISNUMBER(Table13[[#This Row],[Order_Date]])=FALSE,Table13[[#This Row],[Order_Date]]&lt;DATE(2000,1,1),Table13[[#This Row],[Order_Date]]&gt;TODAY()),"YES","NO")</f>
        <v>NO</v>
      </c>
      <c r="Q595" s="9">
        <f>IF(Table13[[#This Row],[Order_Status]] = "Cancelled",0,IF(Table13[[#This Row],[Order_Status]] = "Returned",Table13[[#This Row],[Net_Sales]] * -1,Table13[[#This Row],[Net_Sales]]))</f>
        <v>224.40899999999999</v>
      </c>
      <c r="R595" s="9" t="str">
        <f>IF(Table13[[#This Row],[Gross_Sales]]&gt;=500, "YES","NO")</f>
        <v>NO</v>
      </c>
    </row>
    <row r="596" spans="1:18" x14ac:dyDescent="0.3">
      <c r="A596">
        <v>100591</v>
      </c>
      <c r="B596" s="8">
        <v>45316.583333333343</v>
      </c>
      <c r="C596" t="s">
        <v>14</v>
      </c>
      <c r="D596" t="s">
        <v>60</v>
      </c>
      <c r="E596" t="s">
        <v>70</v>
      </c>
      <c r="F596" t="s">
        <v>72</v>
      </c>
      <c r="G596">
        <v>5</v>
      </c>
      <c r="H596">
        <v>34.86</v>
      </c>
      <c r="I596">
        <v>15</v>
      </c>
      <c r="J596" t="s">
        <v>76</v>
      </c>
      <c r="K596" t="s">
        <v>77</v>
      </c>
      <c r="L596">
        <v>174.3</v>
      </c>
      <c r="M596">
        <v>26.145</v>
      </c>
      <c r="N596">
        <v>148.155</v>
      </c>
      <c r="O5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6" s="9" t="str">
        <f ca="1">IF(OR(ISNUMBER(Table13[[#This Row],[Order_Date]])=FALSE,Table13[[#This Row],[Order_Date]]&lt;DATE(2000,1,1),Table13[[#This Row],[Order_Date]]&gt;TODAY()),"YES","NO")</f>
        <v>NO</v>
      </c>
      <c r="Q596" s="9">
        <f>IF(Table13[[#This Row],[Order_Status]] = "Cancelled",0,IF(Table13[[#This Row],[Order_Status]] = "Returned",Table13[[#This Row],[Net_Sales]] * -1,Table13[[#This Row],[Net_Sales]]))</f>
        <v>148.155</v>
      </c>
      <c r="R596" s="9" t="str">
        <f>IF(Table13[[#This Row],[Gross_Sales]]&gt;=500, "YES","NO")</f>
        <v>NO</v>
      </c>
    </row>
    <row r="597" spans="1:18" x14ac:dyDescent="0.3">
      <c r="A597">
        <v>100592</v>
      </c>
      <c r="B597" s="8">
        <v>45316.625</v>
      </c>
      <c r="C597" t="s">
        <v>15</v>
      </c>
      <c r="D597" t="s">
        <v>49</v>
      </c>
      <c r="E597" t="s">
        <v>69</v>
      </c>
      <c r="F597" t="s">
        <v>72</v>
      </c>
      <c r="G597">
        <v>2</v>
      </c>
      <c r="H597">
        <v>116.52</v>
      </c>
      <c r="I597">
        <v>10</v>
      </c>
      <c r="J597" t="s">
        <v>74</v>
      </c>
      <c r="K597" t="s">
        <v>77</v>
      </c>
      <c r="L597">
        <v>233.04</v>
      </c>
      <c r="M597">
        <v>23.303999999999998</v>
      </c>
      <c r="N597">
        <v>209.73599999999999</v>
      </c>
      <c r="O5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7" s="9" t="str">
        <f ca="1">IF(OR(ISNUMBER(Table13[[#This Row],[Order_Date]])=FALSE,Table13[[#This Row],[Order_Date]]&lt;DATE(2000,1,1),Table13[[#This Row],[Order_Date]]&gt;TODAY()),"YES","NO")</f>
        <v>NO</v>
      </c>
      <c r="Q597" s="9">
        <f>IF(Table13[[#This Row],[Order_Status]] = "Cancelled",0,IF(Table13[[#This Row],[Order_Status]] = "Returned",Table13[[#This Row],[Net_Sales]] * -1,Table13[[#This Row],[Net_Sales]]))</f>
        <v>209.73599999999999</v>
      </c>
      <c r="R597" s="9" t="str">
        <f>IF(Table13[[#This Row],[Gross_Sales]]&gt;=500, "YES","NO")</f>
        <v>NO</v>
      </c>
    </row>
    <row r="598" spans="1:18" x14ac:dyDescent="0.3">
      <c r="A598">
        <v>100593</v>
      </c>
      <c r="B598" s="8">
        <v>45316.666666666657</v>
      </c>
      <c r="C598" t="s">
        <v>14</v>
      </c>
      <c r="D598" t="s">
        <v>55</v>
      </c>
      <c r="E598" t="s">
        <v>66</v>
      </c>
      <c r="F598" t="s">
        <v>71</v>
      </c>
      <c r="G598">
        <v>4</v>
      </c>
      <c r="H598">
        <v>54.59</v>
      </c>
      <c r="I598">
        <v>10</v>
      </c>
      <c r="J598" t="s">
        <v>75</v>
      </c>
      <c r="K598" t="s">
        <v>77</v>
      </c>
      <c r="L598">
        <v>218.36</v>
      </c>
      <c r="M598">
        <v>21.835999999999999</v>
      </c>
      <c r="N598">
        <v>196.524</v>
      </c>
      <c r="O5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598" s="9" t="str">
        <f ca="1">IF(OR(ISNUMBER(Table13[[#This Row],[Order_Date]])=FALSE,Table13[[#This Row],[Order_Date]]&lt;DATE(2000,1,1),Table13[[#This Row],[Order_Date]]&gt;TODAY()),"YES","NO")</f>
        <v>NO</v>
      </c>
      <c r="Q598" s="9">
        <f>IF(Table13[[#This Row],[Order_Status]] = "Cancelled",0,IF(Table13[[#This Row],[Order_Status]] = "Returned",Table13[[#This Row],[Net_Sales]] * -1,Table13[[#This Row],[Net_Sales]]))</f>
        <v>196.524</v>
      </c>
      <c r="R598" s="9" t="str">
        <f>IF(Table13[[#This Row],[Gross_Sales]]&gt;=500, "YES","NO")</f>
        <v>NO</v>
      </c>
    </row>
    <row r="599" spans="1:18" x14ac:dyDescent="0.3">
      <c r="A599">
        <v>100594</v>
      </c>
      <c r="B599" s="8">
        <v>45316.708333333343</v>
      </c>
      <c r="C599" t="s">
        <v>15</v>
      </c>
      <c r="D599" t="s">
        <v>29</v>
      </c>
      <c r="E599" t="s">
        <v>69</v>
      </c>
      <c r="F599" t="s">
        <v>71</v>
      </c>
      <c r="G599">
        <v>3</v>
      </c>
      <c r="H599">
        <v>44.96</v>
      </c>
      <c r="I599">
        <v>0</v>
      </c>
      <c r="J599" t="s">
        <v>73</v>
      </c>
      <c r="K599" t="s">
        <v>79</v>
      </c>
      <c r="L599">
        <v>134.88</v>
      </c>
      <c r="M599">
        <v>0</v>
      </c>
      <c r="N599">
        <v>134.88</v>
      </c>
      <c r="O5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599" s="9" t="str">
        <f ca="1">IF(OR(ISNUMBER(Table13[[#This Row],[Order_Date]])=FALSE,Table13[[#This Row],[Order_Date]]&lt;DATE(2000,1,1),Table13[[#This Row],[Order_Date]]&gt;TODAY()),"YES","NO")</f>
        <v>NO</v>
      </c>
      <c r="Q599" s="9">
        <f>IF(Table13[[#This Row],[Order_Status]] = "Cancelled",0,IF(Table13[[#This Row],[Order_Status]] = "Returned",Table13[[#This Row],[Net_Sales]] * -1,Table13[[#This Row],[Net_Sales]]))</f>
        <v>0</v>
      </c>
      <c r="R599" s="9" t="str">
        <f>IF(Table13[[#This Row],[Gross_Sales]]&gt;=500, "YES","NO")</f>
        <v>NO</v>
      </c>
    </row>
    <row r="600" spans="1:18" x14ac:dyDescent="0.3">
      <c r="A600">
        <v>100595</v>
      </c>
      <c r="B600" s="8">
        <v>45316.75</v>
      </c>
      <c r="C600" t="s">
        <v>15</v>
      </c>
      <c r="D600" t="s">
        <v>50</v>
      </c>
      <c r="E600" t="s">
        <v>68</v>
      </c>
      <c r="F600" t="s">
        <v>72</v>
      </c>
      <c r="G600">
        <v>2</v>
      </c>
      <c r="H600">
        <v>10.79</v>
      </c>
      <c r="I600">
        <v>10</v>
      </c>
      <c r="J600" t="s">
        <v>74</v>
      </c>
      <c r="K600" t="s">
        <v>77</v>
      </c>
      <c r="L600">
        <v>21.58</v>
      </c>
      <c r="M600">
        <v>2.1579999999999999</v>
      </c>
      <c r="N600">
        <v>19.422000000000001</v>
      </c>
      <c r="O6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0" s="9" t="str">
        <f ca="1">IF(OR(ISNUMBER(Table13[[#This Row],[Order_Date]])=FALSE,Table13[[#This Row],[Order_Date]]&lt;DATE(2000,1,1),Table13[[#This Row],[Order_Date]]&gt;TODAY()),"YES","NO")</f>
        <v>NO</v>
      </c>
      <c r="Q600" s="9">
        <f>IF(Table13[[#This Row],[Order_Status]] = "Cancelled",0,IF(Table13[[#This Row],[Order_Status]] = "Returned",Table13[[#This Row],[Net_Sales]] * -1,Table13[[#This Row],[Net_Sales]]))</f>
        <v>19.422000000000001</v>
      </c>
      <c r="R600" s="9" t="str">
        <f>IF(Table13[[#This Row],[Gross_Sales]]&gt;=500, "YES","NO")</f>
        <v>NO</v>
      </c>
    </row>
    <row r="601" spans="1:18" x14ac:dyDescent="0.3">
      <c r="A601">
        <v>100596</v>
      </c>
      <c r="B601" s="8">
        <v>45316.791666666657</v>
      </c>
      <c r="C601" t="s">
        <v>15</v>
      </c>
      <c r="D601" t="s">
        <v>48</v>
      </c>
      <c r="E601" t="s">
        <v>66</v>
      </c>
      <c r="F601" t="s">
        <v>72</v>
      </c>
      <c r="G601">
        <v>1</v>
      </c>
      <c r="H601">
        <v>11.07</v>
      </c>
      <c r="I601">
        <v>0</v>
      </c>
      <c r="J601" t="s">
        <v>73</v>
      </c>
      <c r="K601" t="s">
        <v>77</v>
      </c>
      <c r="L601">
        <v>11.07</v>
      </c>
      <c r="M601">
        <v>0</v>
      </c>
      <c r="N601">
        <v>11.07</v>
      </c>
      <c r="O6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1" s="9" t="str">
        <f ca="1">IF(OR(ISNUMBER(Table13[[#This Row],[Order_Date]])=FALSE,Table13[[#This Row],[Order_Date]]&lt;DATE(2000,1,1),Table13[[#This Row],[Order_Date]]&gt;TODAY()),"YES","NO")</f>
        <v>NO</v>
      </c>
      <c r="Q601" s="9">
        <f>IF(Table13[[#This Row],[Order_Status]] = "Cancelled",0,IF(Table13[[#This Row],[Order_Status]] = "Returned",Table13[[#This Row],[Net_Sales]] * -1,Table13[[#This Row],[Net_Sales]]))</f>
        <v>11.07</v>
      </c>
      <c r="R601" s="9" t="str">
        <f>IF(Table13[[#This Row],[Gross_Sales]]&gt;=500, "YES","NO")</f>
        <v>NO</v>
      </c>
    </row>
    <row r="602" spans="1:18" x14ac:dyDescent="0.3">
      <c r="A602">
        <v>100597</v>
      </c>
      <c r="B602" s="8">
        <v>45316.833333333343</v>
      </c>
      <c r="C602" t="s">
        <v>14</v>
      </c>
      <c r="D602" t="s">
        <v>18</v>
      </c>
      <c r="E602" t="s">
        <v>70</v>
      </c>
      <c r="F602" t="s">
        <v>71</v>
      </c>
      <c r="G602">
        <v>1</v>
      </c>
      <c r="H602">
        <v>84.58</v>
      </c>
      <c r="I602">
        <v>15</v>
      </c>
      <c r="J602" t="s">
        <v>73</v>
      </c>
      <c r="K602" t="s">
        <v>77</v>
      </c>
      <c r="L602">
        <v>84.58</v>
      </c>
      <c r="M602">
        <v>12.686999999999999</v>
      </c>
      <c r="N602">
        <v>71.893000000000001</v>
      </c>
      <c r="O6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2" s="9" t="str">
        <f ca="1">IF(OR(ISNUMBER(Table13[[#This Row],[Order_Date]])=FALSE,Table13[[#This Row],[Order_Date]]&lt;DATE(2000,1,1),Table13[[#This Row],[Order_Date]]&gt;TODAY()),"YES","NO")</f>
        <v>NO</v>
      </c>
      <c r="Q602" s="9">
        <f>IF(Table13[[#This Row],[Order_Status]] = "Cancelled",0,IF(Table13[[#This Row],[Order_Status]] = "Returned",Table13[[#This Row],[Net_Sales]] * -1,Table13[[#This Row],[Net_Sales]]))</f>
        <v>71.893000000000001</v>
      </c>
      <c r="R602" s="9" t="str">
        <f>IF(Table13[[#This Row],[Gross_Sales]]&gt;=500, "YES","NO")</f>
        <v>NO</v>
      </c>
    </row>
    <row r="603" spans="1:18" x14ac:dyDescent="0.3">
      <c r="A603">
        <v>100598</v>
      </c>
      <c r="B603" s="8">
        <v>45316.875</v>
      </c>
      <c r="C603" t="s">
        <v>14</v>
      </c>
      <c r="D603" t="s">
        <v>21</v>
      </c>
      <c r="E603" t="s">
        <v>68</v>
      </c>
      <c r="F603" t="s">
        <v>72</v>
      </c>
      <c r="G603">
        <v>5</v>
      </c>
      <c r="H603">
        <v>57.66</v>
      </c>
      <c r="I603">
        <v>10</v>
      </c>
      <c r="J603" t="s">
        <v>73</v>
      </c>
      <c r="K603" t="s">
        <v>79</v>
      </c>
      <c r="L603">
        <v>288.3</v>
      </c>
      <c r="M603">
        <v>28.83</v>
      </c>
      <c r="N603">
        <v>259.47000000000003</v>
      </c>
      <c r="O6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03" s="9" t="str">
        <f ca="1">IF(OR(ISNUMBER(Table13[[#This Row],[Order_Date]])=FALSE,Table13[[#This Row],[Order_Date]]&lt;DATE(2000,1,1),Table13[[#This Row],[Order_Date]]&gt;TODAY()),"YES","NO")</f>
        <v>NO</v>
      </c>
      <c r="Q603" s="9">
        <f>IF(Table13[[#This Row],[Order_Status]] = "Cancelled",0,IF(Table13[[#This Row],[Order_Status]] = "Returned",Table13[[#This Row],[Net_Sales]] * -1,Table13[[#This Row],[Net_Sales]]))</f>
        <v>0</v>
      </c>
      <c r="R603" s="9" t="str">
        <f>IF(Table13[[#This Row],[Gross_Sales]]&gt;=500, "YES","NO")</f>
        <v>NO</v>
      </c>
    </row>
    <row r="604" spans="1:18" x14ac:dyDescent="0.3">
      <c r="A604">
        <v>100599</v>
      </c>
      <c r="B604" s="8">
        <v>45316.916666666657</v>
      </c>
      <c r="C604" t="s">
        <v>15</v>
      </c>
      <c r="D604" t="s">
        <v>29</v>
      </c>
      <c r="E604" t="s">
        <v>69</v>
      </c>
      <c r="F604" t="s">
        <v>71</v>
      </c>
      <c r="G604">
        <v>4</v>
      </c>
      <c r="H604">
        <v>31.05</v>
      </c>
      <c r="I604">
        <v>5</v>
      </c>
      <c r="J604" t="s">
        <v>74</v>
      </c>
      <c r="K604" t="s">
        <v>77</v>
      </c>
      <c r="L604">
        <v>124.2</v>
      </c>
      <c r="M604">
        <v>6.2100000000000009</v>
      </c>
      <c r="N604">
        <v>117.99</v>
      </c>
      <c r="O6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4" s="9" t="str">
        <f ca="1">IF(OR(ISNUMBER(Table13[[#This Row],[Order_Date]])=FALSE,Table13[[#This Row],[Order_Date]]&lt;DATE(2000,1,1),Table13[[#This Row],[Order_Date]]&gt;TODAY()),"YES","NO")</f>
        <v>NO</v>
      </c>
      <c r="Q604" s="9">
        <f>IF(Table13[[#This Row],[Order_Status]] = "Cancelled",0,IF(Table13[[#This Row],[Order_Status]] = "Returned",Table13[[#This Row],[Net_Sales]] * -1,Table13[[#This Row],[Net_Sales]]))</f>
        <v>117.99</v>
      </c>
      <c r="R604" s="9" t="str">
        <f>IF(Table13[[#This Row],[Gross_Sales]]&gt;=500, "YES","NO")</f>
        <v>NO</v>
      </c>
    </row>
    <row r="605" spans="1:18" x14ac:dyDescent="0.3">
      <c r="A605">
        <v>100600</v>
      </c>
      <c r="B605" s="8">
        <v>45316.958333333343</v>
      </c>
      <c r="C605" t="s">
        <v>15</v>
      </c>
      <c r="D605" t="s">
        <v>55</v>
      </c>
      <c r="E605" t="s">
        <v>66</v>
      </c>
      <c r="F605" t="s">
        <v>71</v>
      </c>
      <c r="G605">
        <v>5</v>
      </c>
      <c r="H605">
        <v>75.61</v>
      </c>
      <c r="I605">
        <v>15</v>
      </c>
      <c r="J605" t="s">
        <v>74</v>
      </c>
      <c r="K605" t="s">
        <v>77</v>
      </c>
      <c r="L605">
        <v>378.05</v>
      </c>
      <c r="M605">
        <v>56.707500000000003</v>
      </c>
      <c r="N605">
        <v>321.34249999999997</v>
      </c>
      <c r="O6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5" s="9" t="str">
        <f ca="1">IF(OR(ISNUMBER(Table13[[#This Row],[Order_Date]])=FALSE,Table13[[#This Row],[Order_Date]]&lt;DATE(2000,1,1),Table13[[#This Row],[Order_Date]]&gt;TODAY()),"YES","NO")</f>
        <v>NO</v>
      </c>
      <c r="Q605" s="9">
        <f>IF(Table13[[#This Row],[Order_Status]] = "Cancelled",0,IF(Table13[[#This Row],[Order_Status]] = "Returned",Table13[[#This Row],[Net_Sales]] * -1,Table13[[#This Row],[Net_Sales]]))</f>
        <v>321.34249999999997</v>
      </c>
      <c r="R605" s="9" t="str">
        <f>IF(Table13[[#This Row],[Gross_Sales]]&gt;=500, "YES","NO")</f>
        <v>NO</v>
      </c>
    </row>
    <row r="606" spans="1:18" x14ac:dyDescent="0.3">
      <c r="A606">
        <v>100601</v>
      </c>
      <c r="B606" s="8">
        <v>45317</v>
      </c>
      <c r="C606" t="s">
        <v>14</v>
      </c>
      <c r="D606" t="s">
        <v>44</v>
      </c>
      <c r="E606" t="s">
        <v>70</v>
      </c>
      <c r="F606" t="s">
        <v>71</v>
      </c>
      <c r="G606">
        <v>5</v>
      </c>
      <c r="H606">
        <v>34.08</v>
      </c>
      <c r="I606">
        <v>0</v>
      </c>
      <c r="J606" t="s">
        <v>73</v>
      </c>
      <c r="K606" t="s">
        <v>77</v>
      </c>
      <c r="L606">
        <v>170.4</v>
      </c>
      <c r="M606">
        <v>0</v>
      </c>
      <c r="N606">
        <v>170.4</v>
      </c>
      <c r="O6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6" s="9" t="str">
        <f ca="1">IF(OR(ISNUMBER(Table13[[#This Row],[Order_Date]])=FALSE,Table13[[#This Row],[Order_Date]]&lt;DATE(2000,1,1),Table13[[#This Row],[Order_Date]]&gt;TODAY()),"YES","NO")</f>
        <v>NO</v>
      </c>
      <c r="Q606" s="9">
        <f>IF(Table13[[#This Row],[Order_Status]] = "Cancelled",0,IF(Table13[[#This Row],[Order_Status]] = "Returned",Table13[[#This Row],[Net_Sales]] * -1,Table13[[#This Row],[Net_Sales]]))</f>
        <v>170.4</v>
      </c>
      <c r="R606" s="9" t="str">
        <f>IF(Table13[[#This Row],[Gross_Sales]]&gt;=500, "YES","NO")</f>
        <v>NO</v>
      </c>
    </row>
    <row r="607" spans="1:18" x14ac:dyDescent="0.3">
      <c r="A607">
        <v>100602</v>
      </c>
      <c r="B607" s="8">
        <v>45317.041666666657</v>
      </c>
      <c r="C607" t="s">
        <v>15</v>
      </c>
      <c r="D607" t="s">
        <v>25</v>
      </c>
      <c r="E607" t="s">
        <v>68</v>
      </c>
      <c r="F607" t="s">
        <v>72</v>
      </c>
      <c r="G607">
        <v>5</v>
      </c>
      <c r="H607">
        <v>71.430000000000007</v>
      </c>
      <c r="I607">
        <v>15</v>
      </c>
      <c r="J607" t="s">
        <v>75</v>
      </c>
      <c r="K607" t="s">
        <v>77</v>
      </c>
      <c r="L607">
        <v>357.15</v>
      </c>
      <c r="M607">
        <v>53.572500000000012</v>
      </c>
      <c r="N607">
        <v>303.57749999999999</v>
      </c>
      <c r="O6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7" s="9" t="str">
        <f ca="1">IF(OR(ISNUMBER(Table13[[#This Row],[Order_Date]])=FALSE,Table13[[#This Row],[Order_Date]]&lt;DATE(2000,1,1),Table13[[#This Row],[Order_Date]]&gt;TODAY()),"YES","NO")</f>
        <v>NO</v>
      </c>
      <c r="Q607" s="9">
        <f>IF(Table13[[#This Row],[Order_Status]] = "Cancelled",0,IF(Table13[[#This Row],[Order_Status]] = "Returned",Table13[[#This Row],[Net_Sales]] * -1,Table13[[#This Row],[Net_Sales]]))</f>
        <v>303.57749999999999</v>
      </c>
      <c r="R607" s="9" t="str">
        <f>IF(Table13[[#This Row],[Gross_Sales]]&gt;=500, "YES","NO")</f>
        <v>NO</v>
      </c>
    </row>
    <row r="608" spans="1:18" x14ac:dyDescent="0.3">
      <c r="A608">
        <v>100603</v>
      </c>
      <c r="B608" s="8">
        <v>45317.083333333343</v>
      </c>
      <c r="C608" t="s">
        <v>15</v>
      </c>
      <c r="D608" t="s">
        <v>37</v>
      </c>
      <c r="E608" t="s">
        <v>70</v>
      </c>
      <c r="F608" t="s">
        <v>71</v>
      </c>
      <c r="G608">
        <v>1</v>
      </c>
      <c r="H608">
        <v>46.31</v>
      </c>
      <c r="I608">
        <v>0</v>
      </c>
      <c r="J608" t="s">
        <v>73</v>
      </c>
      <c r="K608" t="s">
        <v>77</v>
      </c>
      <c r="L608">
        <v>46.31</v>
      </c>
      <c r="M608">
        <v>0</v>
      </c>
      <c r="N608">
        <v>46.31</v>
      </c>
      <c r="O6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8" s="9" t="str">
        <f ca="1">IF(OR(ISNUMBER(Table13[[#This Row],[Order_Date]])=FALSE,Table13[[#This Row],[Order_Date]]&lt;DATE(2000,1,1),Table13[[#This Row],[Order_Date]]&gt;TODAY()),"YES","NO")</f>
        <v>NO</v>
      </c>
      <c r="Q608" s="9">
        <f>IF(Table13[[#This Row],[Order_Status]] = "Cancelled",0,IF(Table13[[#This Row],[Order_Status]] = "Returned",Table13[[#This Row],[Net_Sales]] * -1,Table13[[#This Row],[Net_Sales]]))</f>
        <v>46.31</v>
      </c>
      <c r="R608" s="9" t="str">
        <f>IF(Table13[[#This Row],[Gross_Sales]]&gt;=500, "YES","NO")</f>
        <v>NO</v>
      </c>
    </row>
    <row r="609" spans="1:18" x14ac:dyDescent="0.3">
      <c r="A609">
        <v>100604</v>
      </c>
      <c r="B609" s="8">
        <v>45317.125</v>
      </c>
      <c r="C609" t="s">
        <v>15</v>
      </c>
      <c r="D609" t="s">
        <v>60</v>
      </c>
      <c r="E609" t="s">
        <v>69</v>
      </c>
      <c r="F609" t="s">
        <v>72</v>
      </c>
      <c r="G609">
        <v>1</v>
      </c>
      <c r="H609">
        <v>99.71</v>
      </c>
      <c r="I609">
        <v>15</v>
      </c>
      <c r="J609" t="s">
        <v>75</v>
      </c>
      <c r="K609" t="s">
        <v>77</v>
      </c>
      <c r="L609">
        <v>99.71</v>
      </c>
      <c r="M609">
        <v>14.9565</v>
      </c>
      <c r="N609">
        <v>84.753500000000003</v>
      </c>
      <c r="O6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09" s="9" t="str">
        <f ca="1">IF(OR(ISNUMBER(Table13[[#This Row],[Order_Date]])=FALSE,Table13[[#This Row],[Order_Date]]&lt;DATE(2000,1,1),Table13[[#This Row],[Order_Date]]&gt;TODAY()),"YES","NO")</f>
        <v>NO</v>
      </c>
      <c r="Q609" s="9">
        <f>IF(Table13[[#This Row],[Order_Status]] = "Cancelled",0,IF(Table13[[#This Row],[Order_Status]] = "Returned",Table13[[#This Row],[Net_Sales]] * -1,Table13[[#This Row],[Net_Sales]]))</f>
        <v>84.753500000000003</v>
      </c>
      <c r="R609" s="9" t="str">
        <f>IF(Table13[[#This Row],[Gross_Sales]]&gt;=500, "YES","NO")</f>
        <v>NO</v>
      </c>
    </row>
    <row r="610" spans="1:18" x14ac:dyDescent="0.3">
      <c r="A610">
        <v>100605</v>
      </c>
      <c r="B610" s="8">
        <v>45317.166666666657</v>
      </c>
      <c r="C610" t="s">
        <v>14</v>
      </c>
      <c r="D610" t="s">
        <v>52</v>
      </c>
      <c r="E610" t="s">
        <v>70</v>
      </c>
      <c r="F610" t="s">
        <v>71</v>
      </c>
      <c r="G610">
        <v>5</v>
      </c>
      <c r="H610">
        <v>99.38</v>
      </c>
      <c r="I610">
        <v>0</v>
      </c>
      <c r="J610" t="s">
        <v>73</v>
      </c>
      <c r="K610" t="s">
        <v>78</v>
      </c>
      <c r="L610">
        <v>496.9</v>
      </c>
      <c r="M610">
        <v>0</v>
      </c>
      <c r="N610">
        <v>496.9</v>
      </c>
      <c r="O6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10" s="9" t="str">
        <f ca="1">IF(OR(ISNUMBER(Table13[[#This Row],[Order_Date]])=FALSE,Table13[[#This Row],[Order_Date]]&lt;DATE(2000,1,1),Table13[[#This Row],[Order_Date]]&gt;TODAY()),"YES","NO")</f>
        <v>NO</v>
      </c>
      <c r="Q610" s="9">
        <f>IF(Table13[[#This Row],[Order_Status]] = "Cancelled",0,IF(Table13[[#This Row],[Order_Status]] = "Returned",Table13[[#This Row],[Net_Sales]] * -1,Table13[[#This Row],[Net_Sales]]))</f>
        <v>-496.9</v>
      </c>
      <c r="R610" s="9" t="str">
        <f>IF(Table13[[#This Row],[Gross_Sales]]&gt;=500, "YES","NO")</f>
        <v>NO</v>
      </c>
    </row>
    <row r="611" spans="1:18" x14ac:dyDescent="0.3">
      <c r="A611">
        <v>100606</v>
      </c>
      <c r="B611" s="8">
        <v>45317.208333333343</v>
      </c>
      <c r="C611" t="s">
        <v>14</v>
      </c>
      <c r="D611" t="s">
        <v>37</v>
      </c>
      <c r="E611" t="s">
        <v>67</v>
      </c>
      <c r="F611" t="s">
        <v>72</v>
      </c>
      <c r="G611">
        <v>1</v>
      </c>
      <c r="H611">
        <v>59.9</v>
      </c>
      <c r="I611">
        <v>10</v>
      </c>
      <c r="J611" t="s">
        <v>76</v>
      </c>
      <c r="K611" t="s">
        <v>77</v>
      </c>
      <c r="L611">
        <v>59.9</v>
      </c>
      <c r="M611">
        <v>5.99</v>
      </c>
      <c r="N611">
        <v>53.91</v>
      </c>
      <c r="O6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1" s="9" t="str">
        <f ca="1">IF(OR(ISNUMBER(Table13[[#This Row],[Order_Date]])=FALSE,Table13[[#This Row],[Order_Date]]&lt;DATE(2000,1,1),Table13[[#This Row],[Order_Date]]&gt;TODAY()),"YES","NO")</f>
        <v>NO</v>
      </c>
      <c r="Q611" s="9">
        <f>IF(Table13[[#This Row],[Order_Status]] = "Cancelled",0,IF(Table13[[#This Row],[Order_Status]] = "Returned",Table13[[#This Row],[Net_Sales]] * -1,Table13[[#This Row],[Net_Sales]]))</f>
        <v>53.91</v>
      </c>
      <c r="R611" s="9" t="str">
        <f>IF(Table13[[#This Row],[Gross_Sales]]&gt;=500, "YES","NO")</f>
        <v>NO</v>
      </c>
    </row>
    <row r="612" spans="1:18" x14ac:dyDescent="0.3">
      <c r="A612">
        <v>100607</v>
      </c>
      <c r="B612" s="8">
        <v>45317.25</v>
      </c>
      <c r="C612" t="s">
        <v>14</v>
      </c>
      <c r="D612" t="s">
        <v>24</v>
      </c>
      <c r="E612" t="s">
        <v>68</v>
      </c>
      <c r="F612" t="s">
        <v>72</v>
      </c>
      <c r="G612">
        <v>4</v>
      </c>
      <c r="H612">
        <v>45.34</v>
      </c>
      <c r="I612">
        <v>5</v>
      </c>
      <c r="J612" t="s">
        <v>73</v>
      </c>
      <c r="K612" t="s">
        <v>77</v>
      </c>
      <c r="L612">
        <v>181.36</v>
      </c>
      <c r="M612">
        <v>9.0680000000000014</v>
      </c>
      <c r="N612">
        <v>172.292</v>
      </c>
      <c r="O6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2" s="9" t="str">
        <f ca="1">IF(OR(ISNUMBER(Table13[[#This Row],[Order_Date]])=FALSE,Table13[[#This Row],[Order_Date]]&lt;DATE(2000,1,1),Table13[[#This Row],[Order_Date]]&gt;TODAY()),"YES","NO")</f>
        <v>NO</v>
      </c>
      <c r="Q612" s="9">
        <f>IF(Table13[[#This Row],[Order_Status]] = "Cancelled",0,IF(Table13[[#This Row],[Order_Status]] = "Returned",Table13[[#This Row],[Net_Sales]] * -1,Table13[[#This Row],[Net_Sales]]))</f>
        <v>172.292</v>
      </c>
      <c r="R612" s="9" t="str">
        <f>IF(Table13[[#This Row],[Gross_Sales]]&gt;=500, "YES","NO")</f>
        <v>NO</v>
      </c>
    </row>
    <row r="613" spans="1:18" x14ac:dyDescent="0.3">
      <c r="A613">
        <v>100608</v>
      </c>
      <c r="B613" s="8">
        <v>45317.291666666657</v>
      </c>
      <c r="C613" t="s">
        <v>15</v>
      </c>
      <c r="D613" t="s">
        <v>62</v>
      </c>
      <c r="E613" t="s">
        <v>70</v>
      </c>
      <c r="F613" t="s">
        <v>72</v>
      </c>
      <c r="G613">
        <v>5</v>
      </c>
      <c r="H613">
        <v>46.69</v>
      </c>
      <c r="I613">
        <v>0</v>
      </c>
      <c r="J613" t="s">
        <v>73</v>
      </c>
      <c r="K613" t="s">
        <v>77</v>
      </c>
      <c r="L613">
        <v>233.45</v>
      </c>
      <c r="M613">
        <v>0</v>
      </c>
      <c r="N613">
        <v>233.45</v>
      </c>
      <c r="O6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3" s="9" t="str">
        <f ca="1">IF(OR(ISNUMBER(Table13[[#This Row],[Order_Date]])=FALSE,Table13[[#This Row],[Order_Date]]&lt;DATE(2000,1,1),Table13[[#This Row],[Order_Date]]&gt;TODAY()),"YES","NO")</f>
        <v>NO</v>
      </c>
      <c r="Q613" s="9">
        <f>IF(Table13[[#This Row],[Order_Status]] = "Cancelled",0,IF(Table13[[#This Row],[Order_Status]] = "Returned",Table13[[#This Row],[Net_Sales]] * -1,Table13[[#This Row],[Net_Sales]]))</f>
        <v>233.45</v>
      </c>
      <c r="R613" s="9" t="str">
        <f>IF(Table13[[#This Row],[Gross_Sales]]&gt;=500, "YES","NO")</f>
        <v>NO</v>
      </c>
    </row>
    <row r="614" spans="1:18" x14ac:dyDescent="0.3">
      <c r="A614">
        <v>100609</v>
      </c>
      <c r="B614" s="8">
        <v>45317.333333333343</v>
      </c>
      <c r="C614" t="s">
        <v>15</v>
      </c>
      <c r="D614" t="s">
        <v>63</v>
      </c>
      <c r="E614" t="s">
        <v>69</v>
      </c>
      <c r="F614" t="s">
        <v>71</v>
      </c>
      <c r="G614">
        <v>1</v>
      </c>
      <c r="H614">
        <v>97.66</v>
      </c>
      <c r="I614">
        <v>15</v>
      </c>
      <c r="J614" t="s">
        <v>74</v>
      </c>
      <c r="K614" t="s">
        <v>77</v>
      </c>
      <c r="L614">
        <v>97.66</v>
      </c>
      <c r="M614">
        <v>14.648999999999999</v>
      </c>
      <c r="N614">
        <v>83.010999999999996</v>
      </c>
      <c r="O6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4" s="9" t="str">
        <f ca="1">IF(OR(ISNUMBER(Table13[[#This Row],[Order_Date]])=FALSE,Table13[[#This Row],[Order_Date]]&lt;DATE(2000,1,1),Table13[[#This Row],[Order_Date]]&gt;TODAY()),"YES","NO")</f>
        <v>NO</v>
      </c>
      <c r="Q614" s="9">
        <f>IF(Table13[[#This Row],[Order_Status]] = "Cancelled",0,IF(Table13[[#This Row],[Order_Status]] = "Returned",Table13[[#This Row],[Net_Sales]] * -1,Table13[[#This Row],[Net_Sales]]))</f>
        <v>83.010999999999996</v>
      </c>
      <c r="R614" s="9" t="str">
        <f>IF(Table13[[#This Row],[Gross_Sales]]&gt;=500, "YES","NO")</f>
        <v>NO</v>
      </c>
    </row>
    <row r="615" spans="1:18" x14ac:dyDescent="0.3">
      <c r="A615">
        <v>100610</v>
      </c>
      <c r="B615" s="8">
        <v>45317.375</v>
      </c>
      <c r="C615" t="s">
        <v>15</v>
      </c>
      <c r="D615" t="s">
        <v>53</v>
      </c>
      <c r="E615" t="s">
        <v>69</v>
      </c>
      <c r="F615" t="s">
        <v>71</v>
      </c>
      <c r="G615">
        <v>2</v>
      </c>
      <c r="H615">
        <v>42.74</v>
      </c>
      <c r="I615">
        <v>0</v>
      </c>
      <c r="J615" t="s">
        <v>75</v>
      </c>
      <c r="K615" t="s">
        <v>77</v>
      </c>
      <c r="L615">
        <v>85.48</v>
      </c>
      <c r="M615">
        <v>0</v>
      </c>
      <c r="N615">
        <v>85.48</v>
      </c>
      <c r="O6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5" s="9" t="str">
        <f ca="1">IF(OR(ISNUMBER(Table13[[#This Row],[Order_Date]])=FALSE,Table13[[#This Row],[Order_Date]]&lt;DATE(2000,1,1),Table13[[#This Row],[Order_Date]]&gt;TODAY()),"YES","NO")</f>
        <v>NO</v>
      </c>
      <c r="Q615" s="9">
        <f>IF(Table13[[#This Row],[Order_Status]] = "Cancelled",0,IF(Table13[[#This Row],[Order_Status]] = "Returned",Table13[[#This Row],[Net_Sales]] * -1,Table13[[#This Row],[Net_Sales]]))</f>
        <v>85.48</v>
      </c>
      <c r="R615" s="9" t="str">
        <f>IF(Table13[[#This Row],[Gross_Sales]]&gt;=500, "YES","NO")</f>
        <v>NO</v>
      </c>
    </row>
    <row r="616" spans="1:18" x14ac:dyDescent="0.3">
      <c r="A616">
        <v>100611</v>
      </c>
      <c r="B616" s="8">
        <v>45317.416666666657</v>
      </c>
      <c r="C616" t="s">
        <v>14</v>
      </c>
      <c r="D616" t="s">
        <v>50</v>
      </c>
      <c r="E616" t="s">
        <v>70</v>
      </c>
      <c r="F616" t="s">
        <v>72</v>
      </c>
      <c r="G616">
        <v>5</v>
      </c>
      <c r="H616">
        <v>29.04</v>
      </c>
      <c r="I616">
        <v>0</v>
      </c>
      <c r="J616" t="s">
        <v>76</v>
      </c>
      <c r="K616" t="s">
        <v>77</v>
      </c>
      <c r="L616">
        <v>145.19999999999999</v>
      </c>
      <c r="M616">
        <v>0</v>
      </c>
      <c r="N616">
        <v>145.19999999999999</v>
      </c>
      <c r="O6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6" s="9" t="str">
        <f ca="1">IF(OR(ISNUMBER(Table13[[#This Row],[Order_Date]])=FALSE,Table13[[#This Row],[Order_Date]]&lt;DATE(2000,1,1),Table13[[#This Row],[Order_Date]]&gt;TODAY()),"YES","NO")</f>
        <v>NO</v>
      </c>
      <c r="Q616" s="9">
        <f>IF(Table13[[#This Row],[Order_Status]] = "Cancelled",0,IF(Table13[[#This Row],[Order_Status]] = "Returned",Table13[[#This Row],[Net_Sales]] * -1,Table13[[#This Row],[Net_Sales]]))</f>
        <v>145.19999999999999</v>
      </c>
      <c r="R616" s="9" t="str">
        <f>IF(Table13[[#This Row],[Gross_Sales]]&gt;=500, "YES","NO")</f>
        <v>NO</v>
      </c>
    </row>
    <row r="617" spans="1:18" x14ac:dyDescent="0.3">
      <c r="A617">
        <v>100612</v>
      </c>
      <c r="B617" s="8">
        <v>45317.458333333343</v>
      </c>
      <c r="C617" t="s">
        <v>15</v>
      </c>
      <c r="D617" t="s">
        <v>40</v>
      </c>
      <c r="E617" t="s">
        <v>69</v>
      </c>
      <c r="F617" t="s">
        <v>72</v>
      </c>
      <c r="G617">
        <v>5</v>
      </c>
      <c r="H617">
        <v>14.74</v>
      </c>
      <c r="I617">
        <v>0</v>
      </c>
      <c r="J617" t="s">
        <v>75</v>
      </c>
      <c r="K617" t="s">
        <v>77</v>
      </c>
      <c r="L617">
        <v>73.7</v>
      </c>
      <c r="M617">
        <v>0</v>
      </c>
      <c r="N617">
        <v>73.7</v>
      </c>
      <c r="O6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7" s="9" t="str">
        <f ca="1">IF(OR(ISNUMBER(Table13[[#This Row],[Order_Date]])=FALSE,Table13[[#This Row],[Order_Date]]&lt;DATE(2000,1,1),Table13[[#This Row],[Order_Date]]&gt;TODAY()),"YES","NO")</f>
        <v>NO</v>
      </c>
      <c r="Q617" s="9">
        <f>IF(Table13[[#This Row],[Order_Status]] = "Cancelled",0,IF(Table13[[#This Row],[Order_Status]] = "Returned",Table13[[#This Row],[Net_Sales]] * -1,Table13[[#This Row],[Net_Sales]]))</f>
        <v>73.7</v>
      </c>
      <c r="R617" s="9" t="str">
        <f>IF(Table13[[#This Row],[Gross_Sales]]&gt;=500, "YES","NO")</f>
        <v>NO</v>
      </c>
    </row>
    <row r="618" spans="1:18" x14ac:dyDescent="0.3">
      <c r="A618">
        <v>100613</v>
      </c>
      <c r="B618" s="8">
        <v>45317.5</v>
      </c>
      <c r="C618" t="s">
        <v>15</v>
      </c>
      <c r="D618" t="s">
        <v>52</v>
      </c>
      <c r="E618" t="s">
        <v>66</v>
      </c>
      <c r="F618" t="s">
        <v>72</v>
      </c>
      <c r="G618">
        <v>4</v>
      </c>
      <c r="H618">
        <v>58.67</v>
      </c>
      <c r="I618">
        <v>15</v>
      </c>
      <c r="J618" t="s">
        <v>76</v>
      </c>
      <c r="K618" t="s">
        <v>77</v>
      </c>
      <c r="L618">
        <v>234.68</v>
      </c>
      <c r="M618">
        <v>35.201999999999998</v>
      </c>
      <c r="N618">
        <v>199.47800000000001</v>
      </c>
      <c r="O6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8" s="9" t="str">
        <f ca="1">IF(OR(ISNUMBER(Table13[[#This Row],[Order_Date]])=FALSE,Table13[[#This Row],[Order_Date]]&lt;DATE(2000,1,1),Table13[[#This Row],[Order_Date]]&gt;TODAY()),"YES","NO")</f>
        <v>NO</v>
      </c>
      <c r="Q618" s="9">
        <f>IF(Table13[[#This Row],[Order_Status]] = "Cancelled",0,IF(Table13[[#This Row],[Order_Status]] = "Returned",Table13[[#This Row],[Net_Sales]] * -1,Table13[[#This Row],[Net_Sales]]))</f>
        <v>199.47800000000001</v>
      </c>
      <c r="R618" s="9" t="str">
        <f>IF(Table13[[#This Row],[Gross_Sales]]&gt;=500, "YES","NO")</f>
        <v>NO</v>
      </c>
    </row>
    <row r="619" spans="1:18" x14ac:dyDescent="0.3">
      <c r="A619">
        <v>100614</v>
      </c>
      <c r="B619" s="8">
        <v>45317.541666666657</v>
      </c>
      <c r="C619" t="s">
        <v>15</v>
      </c>
      <c r="D619" t="s">
        <v>46</v>
      </c>
      <c r="E619" t="s">
        <v>66</v>
      </c>
      <c r="F619" t="s">
        <v>71</v>
      </c>
      <c r="G619">
        <v>3</v>
      </c>
      <c r="H619">
        <v>60.45</v>
      </c>
      <c r="I619">
        <v>5</v>
      </c>
      <c r="J619" t="s">
        <v>73</v>
      </c>
      <c r="K619" t="s">
        <v>77</v>
      </c>
      <c r="L619">
        <v>181.35</v>
      </c>
      <c r="M619">
        <v>9.0675000000000008</v>
      </c>
      <c r="N619">
        <v>172.2825</v>
      </c>
      <c r="O6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19" s="9" t="str">
        <f ca="1">IF(OR(ISNUMBER(Table13[[#This Row],[Order_Date]])=FALSE,Table13[[#This Row],[Order_Date]]&lt;DATE(2000,1,1),Table13[[#This Row],[Order_Date]]&gt;TODAY()),"YES","NO")</f>
        <v>NO</v>
      </c>
      <c r="Q619" s="9">
        <f>IF(Table13[[#This Row],[Order_Status]] = "Cancelled",0,IF(Table13[[#This Row],[Order_Status]] = "Returned",Table13[[#This Row],[Net_Sales]] * -1,Table13[[#This Row],[Net_Sales]]))</f>
        <v>172.2825</v>
      </c>
      <c r="R619" s="9" t="str">
        <f>IF(Table13[[#This Row],[Gross_Sales]]&gt;=500, "YES","NO")</f>
        <v>NO</v>
      </c>
    </row>
    <row r="620" spans="1:18" x14ac:dyDescent="0.3">
      <c r="A620">
        <v>100615</v>
      </c>
      <c r="B620" s="8">
        <v>45317.583333333343</v>
      </c>
      <c r="C620" t="s">
        <v>15</v>
      </c>
      <c r="D620" t="s">
        <v>22</v>
      </c>
      <c r="E620" t="s">
        <v>66</v>
      </c>
      <c r="F620" t="s">
        <v>71</v>
      </c>
      <c r="G620">
        <v>3</v>
      </c>
      <c r="H620">
        <v>101.7</v>
      </c>
      <c r="I620">
        <v>10</v>
      </c>
      <c r="J620" t="s">
        <v>74</v>
      </c>
      <c r="K620" t="s">
        <v>77</v>
      </c>
      <c r="L620">
        <v>305.10000000000002</v>
      </c>
      <c r="M620">
        <v>30.510000000000009</v>
      </c>
      <c r="N620">
        <v>274.58999999999997</v>
      </c>
      <c r="O6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0" s="9" t="str">
        <f ca="1">IF(OR(ISNUMBER(Table13[[#This Row],[Order_Date]])=FALSE,Table13[[#This Row],[Order_Date]]&lt;DATE(2000,1,1),Table13[[#This Row],[Order_Date]]&gt;TODAY()),"YES","NO")</f>
        <v>NO</v>
      </c>
      <c r="Q620" s="9">
        <f>IF(Table13[[#This Row],[Order_Status]] = "Cancelled",0,IF(Table13[[#This Row],[Order_Status]] = "Returned",Table13[[#This Row],[Net_Sales]] * -1,Table13[[#This Row],[Net_Sales]]))</f>
        <v>274.58999999999997</v>
      </c>
      <c r="R620" s="9" t="str">
        <f>IF(Table13[[#This Row],[Gross_Sales]]&gt;=500, "YES","NO")</f>
        <v>NO</v>
      </c>
    </row>
    <row r="621" spans="1:18" x14ac:dyDescent="0.3">
      <c r="A621">
        <v>100616</v>
      </c>
      <c r="B621" s="8">
        <v>45317.625</v>
      </c>
      <c r="C621" t="s">
        <v>14</v>
      </c>
      <c r="D621" t="s">
        <v>27</v>
      </c>
      <c r="E621" t="s">
        <v>67</v>
      </c>
      <c r="F621" t="s">
        <v>71</v>
      </c>
      <c r="G621">
        <v>4</v>
      </c>
      <c r="H621">
        <v>30.44</v>
      </c>
      <c r="I621">
        <v>5</v>
      </c>
      <c r="J621" t="s">
        <v>74</v>
      </c>
      <c r="K621" t="s">
        <v>77</v>
      </c>
      <c r="L621">
        <v>121.76</v>
      </c>
      <c r="M621">
        <v>6.088000000000001</v>
      </c>
      <c r="N621">
        <v>115.672</v>
      </c>
      <c r="O6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1" s="9" t="str">
        <f ca="1">IF(OR(ISNUMBER(Table13[[#This Row],[Order_Date]])=FALSE,Table13[[#This Row],[Order_Date]]&lt;DATE(2000,1,1),Table13[[#This Row],[Order_Date]]&gt;TODAY()),"YES","NO")</f>
        <v>NO</v>
      </c>
      <c r="Q621" s="9">
        <f>IF(Table13[[#This Row],[Order_Status]] = "Cancelled",0,IF(Table13[[#This Row],[Order_Status]] = "Returned",Table13[[#This Row],[Net_Sales]] * -1,Table13[[#This Row],[Net_Sales]]))</f>
        <v>115.672</v>
      </c>
      <c r="R621" s="9" t="str">
        <f>IF(Table13[[#This Row],[Gross_Sales]]&gt;=500, "YES","NO")</f>
        <v>NO</v>
      </c>
    </row>
    <row r="622" spans="1:18" x14ac:dyDescent="0.3">
      <c r="A622">
        <v>100617</v>
      </c>
      <c r="B622" s="8">
        <v>45317.666666666657</v>
      </c>
      <c r="C622" t="s">
        <v>14</v>
      </c>
      <c r="D622" t="s">
        <v>65</v>
      </c>
      <c r="E622" t="s">
        <v>70</v>
      </c>
      <c r="F622" t="s">
        <v>71</v>
      </c>
      <c r="G622">
        <v>4</v>
      </c>
      <c r="H622">
        <v>48.81</v>
      </c>
      <c r="I622">
        <v>0</v>
      </c>
      <c r="J622" t="s">
        <v>75</v>
      </c>
      <c r="K622" t="s">
        <v>79</v>
      </c>
      <c r="L622">
        <v>195.24</v>
      </c>
      <c r="M622">
        <v>0</v>
      </c>
      <c r="N622">
        <v>195.24</v>
      </c>
      <c r="O6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22" s="9" t="str">
        <f ca="1">IF(OR(ISNUMBER(Table13[[#This Row],[Order_Date]])=FALSE,Table13[[#This Row],[Order_Date]]&lt;DATE(2000,1,1),Table13[[#This Row],[Order_Date]]&gt;TODAY()),"YES","NO")</f>
        <v>NO</v>
      </c>
      <c r="Q622" s="9">
        <f>IF(Table13[[#This Row],[Order_Status]] = "Cancelled",0,IF(Table13[[#This Row],[Order_Status]] = "Returned",Table13[[#This Row],[Net_Sales]] * -1,Table13[[#This Row],[Net_Sales]]))</f>
        <v>0</v>
      </c>
      <c r="R622" s="9" t="str">
        <f>IF(Table13[[#This Row],[Gross_Sales]]&gt;=500, "YES","NO")</f>
        <v>NO</v>
      </c>
    </row>
    <row r="623" spans="1:18" x14ac:dyDescent="0.3">
      <c r="A623">
        <v>100618</v>
      </c>
      <c r="B623" s="8">
        <v>45317.708333333343</v>
      </c>
      <c r="C623" t="s">
        <v>15</v>
      </c>
      <c r="D623" t="s">
        <v>32</v>
      </c>
      <c r="E623" t="s">
        <v>67</v>
      </c>
      <c r="F623" t="s">
        <v>72</v>
      </c>
      <c r="G623">
        <v>4</v>
      </c>
      <c r="H623">
        <v>97.97</v>
      </c>
      <c r="I623">
        <v>15</v>
      </c>
      <c r="J623" t="s">
        <v>74</v>
      </c>
      <c r="K623" t="s">
        <v>77</v>
      </c>
      <c r="L623">
        <v>391.88</v>
      </c>
      <c r="M623">
        <v>58.781999999999996</v>
      </c>
      <c r="N623">
        <v>333.09800000000001</v>
      </c>
      <c r="O6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3" s="9" t="str">
        <f ca="1">IF(OR(ISNUMBER(Table13[[#This Row],[Order_Date]])=FALSE,Table13[[#This Row],[Order_Date]]&lt;DATE(2000,1,1),Table13[[#This Row],[Order_Date]]&gt;TODAY()),"YES","NO")</f>
        <v>NO</v>
      </c>
      <c r="Q623" s="9">
        <f>IF(Table13[[#This Row],[Order_Status]] = "Cancelled",0,IF(Table13[[#This Row],[Order_Status]] = "Returned",Table13[[#This Row],[Net_Sales]] * -1,Table13[[#This Row],[Net_Sales]]))</f>
        <v>333.09800000000001</v>
      </c>
      <c r="R623" s="9" t="str">
        <f>IF(Table13[[#This Row],[Gross_Sales]]&gt;=500, "YES","NO")</f>
        <v>NO</v>
      </c>
    </row>
    <row r="624" spans="1:18" x14ac:dyDescent="0.3">
      <c r="A624">
        <v>100619</v>
      </c>
      <c r="B624" s="8">
        <v>45317.75</v>
      </c>
      <c r="C624" t="s">
        <v>14</v>
      </c>
      <c r="D624" t="s">
        <v>65</v>
      </c>
      <c r="E624" t="s">
        <v>69</v>
      </c>
      <c r="F624" t="s">
        <v>72</v>
      </c>
      <c r="G624">
        <v>3</v>
      </c>
      <c r="H624">
        <v>99.72</v>
      </c>
      <c r="I624">
        <v>5</v>
      </c>
      <c r="J624" t="s">
        <v>75</v>
      </c>
      <c r="K624" t="s">
        <v>77</v>
      </c>
      <c r="L624">
        <v>299.16000000000003</v>
      </c>
      <c r="M624">
        <v>14.958</v>
      </c>
      <c r="N624">
        <v>284.202</v>
      </c>
      <c r="O6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4" s="9" t="str">
        <f ca="1">IF(OR(ISNUMBER(Table13[[#This Row],[Order_Date]])=FALSE,Table13[[#This Row],[Order_Date]]&lt;DATE(2000,1,1),Table13[[#This Row],[Order_Date]]&gt;TODAY()),"YES","NO")</f>
        <v>NO</v>
      </c>
      <c r="Q624" s="9">
        <f>IF(Table13[[#This Row],[Order_Status]] = "Cancelled",0,IF(Table13[[#This Row],[Order_Status]] = "Returned",Table13[[#This Row],[Net_Sales]] * -1,Table13[[#This Row],[Net_Sales]]))</f>
        <v>284.202</v>
      </c>
      <c r="R624" s="9" t="str">
        <f>IF(Table13[[#This Row],[Gross_Sales]]&gt;=500, "YES","NO")</f>
        <v>NO</v>
      </c>
    </row>
    <row r="625" spans="1:18" x14ac:dyDescent="0.3">
      <c r="A625">
        <v>100620</v>
      </c>
      <c r="B625" s="8">
        <v>45317.791666666657</v>
      </c>
      <c r="C625" t="s">
        <v>14</v>
      </c>
      <c r="D625" t="s">
        <v>18</v>
      </c>
      <c r="E625" t="s">
        <v>67</v>
      </c>
      <c r="F625" t="s">
        <v>71</v>
      </c>
      <c r="G625">
        <v>4</v>
      </c>
      <c r="H625">
        <v>49.23</v>
      </c>
      <c r="I625">
        <v>0</v>
      </c>
      <c r="J625" t="s">
        <v>75</v>
      </c>
      <c r="K625" t="s">
        <v>77</v>
      </c>
      <c r="L625">
        <v>196.92</v>
      </c>
      <c r="M625">
        <v>0</v>
      </c>
      <c r="N625">
        <v>196.92</v>
      </c>
      <c r="O6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5" s="9" t="str">
        <f ca="1">IF(OR(ISNUMBER(Table13[[#This Row],[Order_Date]])=FALSE,Table13[[#This Row],[Order_Date]]&lt;DATE(2000,1,1),Table13[[#This Row],[Order_Date]]&gt;TODAY()),"YES","NO")</f>
        <v>NO</v>
      </c>
      <c r="Q625" s="9">
        <f>IF(Table13[[#This Row],[Order_Status]] = "Cancelled",0,IF(Table13[[#This Row],[Order_Status]] = "Returned",Table13[[#This Row],[Net_Sales]] * -1,Table13[[#This Row],[Net_Sales]]))</f>
        <v>196.92</v>
      </c>
      <c r="R625" s="9" t="str">
        <f>IF(Table13[[#This Row],[Gross_Sales]]&gt;=500, "YES","NO")</f>
        <v>NO</v>
      </c>
    </row>
    <row r="626" spans="1:18" x14ac:dyDescent="0.3">
      <c r="A626">
        <v>100621</v>
      </c>
      <c r="B626" s="8">
        <v>45317.833333333343</v>
      </c>
      <c r="C626" t="s">
        <v>15</v>
      </c>
      <c r="D626" t="s">
        <v>49</v>
      </c>
      <c r="E626" t="s">
        <v>69</v>
      </c>
      <c r="F626" t="s">
        <v>71</v>
      </c>
      <c r="G626">
        <v>1</v>
      </c>
      <c r="H626">
        <v>57.8</v>
      </c>
      <c r="I626">
        <v>10</v>
      </c>
      <c r="J626" t="s">
        <v>76</v>
      </c>
      <c r="K626" t="s">
        <v>77</v>
      </c>
      <c r="L626">
        <v>57.8</v>
      </c>
      <c r="M626">
        <v>5.78</v>
      </c>
      <c r="N626">
        <v>52.02</v>
      </c>
      <c r="O6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6" s="9" t="str">
        <f ca="1">IF(OR(ISNUMBER(Table13[[#This Row],[Order_Date]])=FALSE,Table13[[#This Row],[Order_Date]]&lt;DATE(2000,1,1),Table13[[#This Row],[Order_Date]]&gt;TODAY()),"YES","NO")</f>
        <v>NO</v>
      </c>
      <c r="Q626" s="9">
        <f>IF(Table13[[#This Row],[Order_Status]] = "Cancelled",0,IF(Table13[[#This Row],[Order_Status]] = "Returned",Table13[[#This Row],[Net_Sales]] * -1,Table13[[#This Row],[Net_Sales]]))</f>
        <v>52.02</v>
      </c>
      <c r="R626" s="9" t="str">
        <f>IF(Table13[[#This Row],[Gross_Sales]]&gt;=500, "YES","NO")</f>
        <v>NO</v>
      </c>
    </row>
    <row r="627" spans="1:18" x14ac:dyDescent="0.3">
      <c r="A627">
        <v>100622</v>
      </c>
      <c r="B627" s="8">
        <v>45317.875</v>
      </c>
      <c r="C627" t="s">
        <v>15</v>
      </c>
      <c r="D627" t="s">
        <v>40</v>
      </c>
      <c r="E627" t="s">
        <v>69</v>
      </c>
      <c r="F627" t="s">
        <v>72</v>
      </c>
      <c r="G627">
        <v>5</v>
      </c>
      <c r="H627">
        <v>39.880000000000003</v>
      </c>
      <c r="I627">
        <v>10</v>
      </c>
      <c r="J627" t="s">
        <v>75</v>
      </c>
      <c r="K627" t="s">
        <v>77</v>
      </c>
      <c r="L627">
        <v>199.4</v>
      </c>
      <c r="M627">
        <v>19.940000000000001</v>
      </c>
      <c r="N627">
        <v>179.46</v>
      </c>
      <c r="O6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7" s="9" t="str">
        <f ca="1">IF(OR(ISNUMBER(Table13[[#This Row],[Order_Date]])=FALSE,Table13[[#This Row],[Order_Date]]&lt;DATE(2000,1,1),Table13[[#This Row],[Order_Date]]&gt;TODAY()),"YES","NO")</f>
        <v>NO</v>
      </c>
      <c r="Q627" s="9">
        <f>IF(Table13[[#This Row],[Order_Status]] = "Cancelled",0,IF(Table13[[#This Row],[Order_Status]] = "Returned",Table13[[#This Row],[Net_Sales]] * -1,Table13[[#This Row],[Net_Sales]]))</f>
        <v>179.46</v>
      </c>
      <c r="R627" s="9" t="str">
        <f>IF(Table13[[#This Row],[Gross_Sales]]&gt;=500, "YES","NO")</f>
        <v>NO</v>
      </c>
    </row>
    <row r="628" spans="1:18" x14ac:dyDescent="0.3">
      <c r="A628">
        <v>100623</v>
      </c>
      <c r="B628" s="8">
        <v>45317.916666666657</v>
      </c>
      <c r="C628" t="s">
        <v>14</v>
      </c>
      <c r="D628" t="s">
        <v>51</v>
      </c>
      <c r="E628" t="s">
        <v>68</v>
      </c>
      <c r="F628" t="s">
        <v>71</v>
      </c>
      <c r="G628">
        <v>5</v>
      </c>
      <c r="H628">
        <v>112.24</v>
      </c>
      <c r="I628">
        <v>10</v>
      </c>
      <c r="J628" t="s">
        <v>76</v>
      </c>
      <c r="K628" t="s">
        <v>78</v>
      </c>
      <c r="L628">
        <v>561.19999999999993</v>
      </c>
      <c r="M628">
        <v>56.12</v>
      </c>
      <c r="N628">
        <v>505.07999999999993</v>
      </c>
      <c r="O6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28" s="9" t="str">
        <f ca="1">IF(OR(ISNUMBER(Table13[[#This Row],[Order_Date]])=FALSE,Table13[[#This Row],[Order_Date]]&lt;DATE(2000,1,1),Table13[[#This Row],[Order_Date]]&gt;TODAY()),"YES","NO")</f>
        <v>NO</v>
      </c>
      <c r="Q628" s="9">
        <f>IF(Table13[[#This Row],[Order_Status]] = "Cancelled",0,IF(Table13[[#This Row],[Order_Status]] = "Returned",Table13[[#This Row],[Net_Sales]] * -1,Table13[[#This Row],[Net_Sales]]))</f>
        <v>-505.07999999999993</v>
      </c>
      <c r="R628" s="9" t="str">
        <f>IF(Table13[[#This Row],[Gross_Sales]]&gt;=500, "YES","NO")</f>
        <v>YES</v>
      </c>
    </row>
    <row r="629" spans="1:18" x14ac:dyDescent="0.3">
      <c r="A629">
        <v>100624</v>
      </c>
      <c r="B629" s="8">
        <v>45317.958333333343</v>
      </c>
      <c r="C629" t="s">
        <v>15</v>
      </c>
      <c r="D629" t="s">
        <v>22</v>
      </c>
      <c r="E629" t="s">
        <v>66</v>
      </c>
      <c r="F629" t="s">
        <v>71</v>
      </c>
      <c r="G629">
        <v>2</v>
      </c>
      <c r="H629">
        <v>18.64</v>
      </c>
      <c r="I629">
        <v>0</v>
      </c>
      <c r="J629" t="s">
        <v>74</v>
      </c>
      <c r="K629" t="s">
        <v>77</v>
      </c>
      <c r="L629">
        <v>37.28</v>
      </c>
      <c r="M629">
        <v>0</v>
      </c>
      <c r="N629">
        <v>37.28</v>
      </c>
      <c r="O6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29" s="9" t="str">
        <f ca="1">IF(OR(ISNUMBER(Table13[[#This Row],[Order_Date]])=FALSE,Table13[[#This Row],[Order_Date]]&lt;DATE(2000,1,1),Table13[[#This Row],[Order_Date]]&gt;TODAY()),"YES","NO")</f>
        <v>NO</v>
      </c>
      <c r="Q629" s="9">
        <f>IF(Table13[[#This Row],[Order_Status]] = "Cancelled",0,IF(Table13[[#This Row],[Order_Status]] = "Returned",Table13[[#This Row],[Net_Sales]] * -1,Table13[[#This Row],[Net_Sales]]))</f>
        <v>37.28</v>
      </c>
      <c r="R629" s="9" t="str">
        <f>IF(Table13[[#This Row],[Gross_Sales]]&gt;=500, "YES","NO")</f>
        <v>NO</v>
      </c>
    </row>
    <row r="630" spans="1:18" x14ac:dyDescent="0.3">
      <c r="A630">
        <v>100625</v>
      </c>
      <c r="B630" s="8">
        <v>45318</v>
      </c>
      <c r="C630" t="s">
        <v>14</v>
      </c>
      <c r="D630" t="s">
        <v>51</v>
      </c>
      <c r="E630" t="s">
        <v>69</v>
      </c>
      <c r="F630" t="s">
        <v>71</v>
      </c>
      <c r="G630">
        <v>2</v>
      </c>
      <c r="H630">
        <v>112.38</v>
      </c>
      <c r="I630">
        <v>15</v>
      </c>
      <c r="J630" t="s">
        <v>75</v>
      </c>
      <c r="K630" t="s">
        <v>77</v>
      </c>
      <c r="L630">
        <v>224.76</v>
      </c>
      <c r="M630">
        <v>33.713999999999999</v>
      </c>
      <c r="N630">
        <v>191.04599999999999</v>
      </c>
      <c r="O6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0" s="9" t="str">
        <f ca="1">IF(OR(ISNUMBER(Table13[[#This Row],[Order_Date]])=FALSE,Table13[[#This Row],[Order_Date]]&lt;DATE(2000,1,1),Table13[[#This Row],[Order_Date]]&gt;TODAY()),"YES","NO")</f>
        <v>NO</v>
      </c>
      <c r="Q630" s="9">
        <f>IF(Table13[[#This Row],[Order_Status]] = "Cancelled",0,IF(Table13[[#This Row],[Order_Status]] = "Returned",Table13[[#This Row],[Net_Sales]] * -1,Table13[[#This Row],[Net_Sales]]))</f>
        <v>191.04599999999999</v>
      </c>
      <c r="R630" s="9" t="str">
        <f>IF(Table13[[#This Row],[Gross_Sales]]&gt;=500, "YES","NO")</f>
        <v>NO</v>
      </c>
    </row>
    <row r="631" spans="1:18" x14ac:dyDescent="0.3">
      <c r="A631">
        <v>100626</v>
      </c>
      <c r="B631" s="8">
        <v>45318.041666666657</v>
      </c>
      <c r="C631" t="s">
        <v>15</v>
      </c>
      <c r="D631" t="s">
        <v>64</v>
      </c>
      <c r="E631" t="s">
        <v>68</v>
      </c>
      <c r="F631" t="s">
        <v>71</v>
      </c>
      <c r="G631">
        <v>5</v>
      </c>
      <c r="H631">
        <v>83.64</v>
      </c>
      <c r="I631">
        <v>5</v>
      </c>
      <c r="J631" t="s">
        <v>75</v>
      </c>
      <c r="K631" t="s">
        <v>77</v>
      </c>
      <c r="L631">
        <v>418.2</v>
      </c>
      <c r="M631">
        <v>20.91</v>
      </c>
      <c r="N631">
        <v>397.29</v>
      </c>
      <c r="O6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1" s="9" t="str">
        <f ca="1">IF(OR(ISNUMBER(Table13[[#This Row],[Order_Date]])=FALSE,Table13[[#This Row],[Order_Date]]&lt;DATE(2000,1,1),Table13[[#This Row],[Order_Date]]&gt;TODAY()),"YES","NO")</f>
        <v>NO</v>
      </c>
      <c r="Q631" s="9">
        <f>IF(Table13[[#This Row],[Order_Status]] = "Cancelled",0,IF(Table13[[#This Row],[Order_Status]] = "Returned",Table13[[#This Row],[Net_Sales]] * -1,Table13[[#This Row],[Net_Sales]]))</f>
        <v>397.29</v>
      </c>
      <c r="R631" s="9" t="str">
        <f>IF(Table13[[#This Row],[Gross_Sales]]&gt;=500, "YES","NO")</f>
        <v>NO</v>
      </c>
    </row>
    <row r="632" spans="1:18" x14ac:dyDescent="0.3">
      <c r="A632">
        <v>100627</v>
      </c>
      <c r="B632" s="8">
        <v>45318.083333333343</v>
      </c>
      <c r="C632" t="s">
        <v>14</v>
      </c>
      <c r="D632" t="s">
        <v>23</v>
      </c>
      <c r="E632" t="s">
        <v>66</v>
      </c>
      <c r="F632" t="s">
        <v>71</v>
      </c>
      <c r="G632">
        <v>1</v>
      </c>
      <c r="H632">
        <v>66.13</v>
      </c>
      <c r="I632">
        <v>10</v>
      </c>
      <c r="J632" t="s">
        <v>73</v>
      </c>
      <c r="K632" t="s">
        <v>77</v>
      </c>
      <c r="L632">
        <v>66.13</v>
      </c>
      <c r="M632">
        <v>6.6130000000000004</v>
      </c>
      <c r="N632">
        <v>59.517000000000003</v>
      </c>
      <c r="O6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2" s="9" t="str">
        <f ca="1">IF(OR(ISNUMBER(Table13[[#This Row],[Order_Date]])=FALSE,Table13[[#This Row],[Order_Date]]&lt;DATE(2000,1,1),Table13[[#This Row],[Order_Date]]&gt;TODAY()),"YES","NO")</f>
        <v>NO</v>
      </c>
      <c r="Q632" s="9">
        <f>IF(Table13[[#This Row],[Order_Status]] = "Cancelled",0,IF(Table13[[#This Row],[Order_Status]] = "Returned",Table13[[#This Row],[Net_Sales]] * -1,Table13[[#This Row],[Net_Sales]]))</f>
        <v>59.517000000000003</v>
      </c>
      <c r="R632" s="9" t="str">
        <f>IF(Table13[[#This Row],[Gross_Sales]]&gt;=500, "YES","NO")</f>
        <v>NO</v>
      </c>
    </row>
    <row r="633" spans="1:18" x14ac:dyDescent="0.3">
      <c r="A633">
        <v>100628</v>
      </c>
      <c r="B633" s="8">
        <v>45318.125</v>
      </c>
      <c r="C633" t="s">
        <v>15</v>
      </c>
      <c r="D633" t="s">
        <v>27</v>
      </c>
      <c r="E633" t="s">
        <v>69</v>
      </c>
      <c r="F633" t="s">
        <v>71</v>
      </c>
      <c r="G633">
        <v>3</v>
      </c>
      <c r="H633">
        <v>8.76</v>
      </c>
      <c r="I633">
        <v>0</v>
      </c>
      <c r="J633" t="s">
        <v>75</v>
      </c>
      <c r="K633" t="s">
        <v>77</v>
      </c>
      <c r="L633">
        <v>26.28</v>
      </c>
      <c r="M633">
        <v>0</v>
      </c>
      <c r="N633">
        <v>26.28</v>
      </c>
      <c r="O6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3" s="9" t="str">
        <f ca="1">IF(OR(ISNUMBER(Table13[[#This Row],[Order_Date]])=FALSE,Table13[[#This Row],[Order_Date]]&lt;DATE(2000,1,1),Table13[[#This Row],[Order_Date]]&gt;TODAY()),"YES","NO")</f>
        <v>NO</v>
      </c>
      <c r="Q633" s="9">
        <f>IF(Table13[[#This Row],[Order_Status]] = "Cancelled",0,IF(Table13[[#This Row],[Order_Status]] = "Returned",Table13[[#This Row],[Net_Sales]] * -1,Table13[[#This Row],[Net_Sales]]))</f>
        <v>26.28</v>
      </c>
      <c r="R633" s="9" t="str">
        <f>IF(Table13[[#This Row],[Gross_Sales]]&gt;=500, "YES","NO")</f>
        <v>NO</v>
      </c>
    </row>
    <row r="634" spans="1:18" x14ac:dyDescent="0.3">
      <c r="A634">
        <v>100629</v>
      </c>
      <c r="B634" s="8">
        <v>45318.166666666657</v>
      </c>
      <c r="C634" t="s">
        <v>14</v>
      </c>
      <c r="D634" t="s">
        <v>31</v>
      </c>
      <c r="E634" t="s">
        <v>69</v>
      </c>
      <c r="F634" t="s">
        <v>72</v>
      </c>
      <c r="G634">
        <v>3</v>
      </c>
      <c r="H634">
        <v>59.69</v>
      </c>
      <c r="I634">
        <v>0</v>
      </c>
      <c r="J634" t="s">
        <v>75</v>
      </c>
      <c r="K634" t="s">
        <v>77</v>
      </c>
      <c r="L634">
        <v>179.07</v>
      </c>
      <c r="M634">
        <v>0</v>
      </c>
      <c r="N634">
        <v>179.07</v>
      </c>
      <c r="O6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4" s="9" t="str">
        <f ca="1">IF(OR(ISNUMBER(Table13[[#This Row],[Order_Date]])=FALSE,Table13[[#This Row],[Order_Date]]&lt;DATE(2000,1,1),Table13[[#This Row],[Order_Date]]&gt;TODAY()),"YES","NO")</f>
        <v>NO</v>
      </c>
      <c r="Q634" s="9">
        <f>IF(Table13[[#This Row],[Order_Status]] = "Cancelled",0,IF(Table13[[#This Row],[Order_Status]] = "Returned",Table13[[#This Row],[Net_Sales]] * -1,Table13[[#This Row],[Net_Sales]]))</f>
        <v>179.07</v>
      </c>
      <c r="R634" s="9" t="str">
        <f>IF(Table13[[#This Row],[Gross_Sales]]&gt;=500, "YES","NO")</f>
        <v>NO</v>
      </c>
    </row>
    <row r="635" spans="1:18" x14ac:dyDescent="0.3">
      <c r="A635">
        <v>100630</v>
      </c>
      <c r="B635" s="8">
        <v>45318.208333333343</v>
      </c>
      <c r="C635" t="s">
        <v>14</v>
      </c>
      <c r="D635" t="s">
        <v>36</v>
      </c>
      <c r="E635" t="s">
        <v>67</v>
      </c>
      <c r="F635" t="s">
        <v>71</v>
      </c>
      <c r="G635">
        <v>1</v>
      </c>
      <c r="H635">
        <v>51.89</v>
      </c>
      <c r="I635">
        <v>5</v>
      </c>
      <c r="J635" t="s">
        <v>73</v>
      </c>
      <c r="K635" t="s">
        <v>77</v>
      </c>
      <c r="L635">
        <v>51.89</v>
      </c>
      <c r="M635">
        <v>2.5945</v>
      </c>
      <c r="N635">
        <v>49.295499999999997</v>
      </c>
      <c r="O6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5" s="9" t="str">
        <f ca="1">IF(OR(ISNUMBER(Table13[[#This Row],[Order_Date]])=FALSE,Table13[[#This Row],[Order_Date]]&lt;DATE(2000,1,1),Table13[[#This Row],[Order_Date]]&gt;TODAY()),"YES","NO")</f>
        <v>NO</v>
      </c>
      <c r="Q635" s="9">
        <f>IF(Table13[[#This Row],[Order_Status]] = "Cancelled",0,IF(Table13[[#This Row],[Order_Status]] = "Returned",Table13[[#This Row],[Net_Sales]] * -1,Table13[[#This Row],[Net_Sales]]))</f>
        <v>49.295499999999997</v>
      </c>
      <c r="R635" s="9" t="str">
        <f>IF(Table13[[#This Row],[Gross_Sales]]&gt;=500, "YES","NO")</f>
        <v>NO</v>
      </c>
    </row>
    <row r="636" spans="1:18" x14ac:dyDescent="0.3">
      <c r="A636">
        <v>100631</v>
      </c>
      <c r="B636" s="8">
        <v>45318.25</v>
      </c>
      <c r="C636" t="s">
        <v>14</v>
      </c>
      <c r="D636" t="s">
        <v>29</v>
      </c>
      <c r="E636" t="s">
        <v>67</v>
      </c>
      <c r="F636" t="s">
        <v>71</v>
      </c>
      <c r="G636">
        <v>3</v>
      </c>
      <c r="H636">
        <v>23.54</v>
      </c>
      <c r="I636">
        <v>10</v>
      </c>
      <c r="J636" t="s">
        <v>73</v>
      </c>
      <c r="K636" t="s">
        <v>78</v>
      </c>
      <c r="L636">
        <v>70.62</v>
      </c>
      <c r="M636">
        <v>7.0620000000000012</v>
      </c>
      <c r="N636">
        <v>63.558000000000007</v>
      </c>
      <c r="O6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36" s="9" t="str">
        <f ca="1">IF(OR(ISNUMBER(Table13[[#This Row],[Order_Date]])=FALSE,Table13[[#This Row],[Order_Date]]&lt;DATE(2000,1,1),Table13[[#This Row],[Order_Date]]&gt;TODAY()),"YES","NO")</f>
        <v>NO</v>
      </c>
      <c r="Q636" s="9">
        <f>IF(Table13[[#This Row],[Order_Status]] = "Cancelled",0,IF(Table13[[#This Row],[Order_Status]] = "Returned",Table13[[#This Row],[Net_Sales]] * -1,Table13[[#This Row],[Net_Sales]]))</f>
        <v>-63.558000000000007</v>
      </c>
      <c r="R636" s="9" t="str">
        <f>IF(Table13[[#This Row],[Gross_Sales]]&gt;=500, "YES","NO")</f>
        <v>NO</v>
      </c>
    </row>
    <row r="637" spans="1:18" x14ac:dyDescent="0.3">
      <c r="A637">
        <v>100632</v>
      </c>
      <c r="B637" s="8">
        <v>45318.291666666657</v>
      </c>
      <c r="C637" t="s">
        <v>15</v>
      </c>
      <c r="D637" t="s">
        <v>28</v>
      </c>
      <c r="E637" t="s">
        <v>66</v>
      </c>
      <c r="F637" t="s">
        <v>72</v>
      </c>
      <c r="G637">
        <v>4</v>
      </c>
      <c r="H637">
        <v>80.489999999999995</v>
      </c>
      <c r="I637">
        <v>0</v>
      </c>
      <c r="J637" t="s">
        <v>74</v>
      </c>
      <c r="K637" t="s">
        <v>77</v>
      </c>
      <c r="L637">
        <v>321.95999999999998</v>
      </c>
      <c r="M637">
        <v>0</v>
      </c>
      <c r="N637">
        <v>321.95999999999998</v>
      </c>
      <c r="O6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7" s="9" t="str">
        <f ca="1">IF(OR(ISNUMBER(Table13[[#This Row],[Order_Date]])=FALSE,Table13[[#This Row],[Order_Date]]&lt;DATE(2000,1,1),Table13[[#This Row],[Order_Date]]&gt;TODAY()),"YES","NO")</f>
        <v>NO</v>
      </c>
      <c r="Q637" s="9">
        <f>IF(Table13[[#This Row],[Order_Status]] = "Cancelled",0,IF(Table13[[#This Row],[Order_Status]] = "Returned",Table13[[#This Row],[Net_Sales]] * -1,Table13[[#This Row],[Net_Sales]]))</f>
        <v>321.95999999999998</v>
      </c>
      <c r="R637" s="9" t="str">
        <f>IF(Table13[[#This Row],[Gross_Sales]]&gt;=500, "YES","NO")</f>
        <v>NO</v>
      </c>
    </row>
    <row r="638" spans="1:18" x14ac:dyDescent="0.3">
      <c r="A638">
        <v>100633</v>
      </c>
      <c r="B638" s="8">
        <v>45318.333333333343</v>
      </c>
      <c r="C638" t="s">
        <v>14</v>
      </c>
      <c r="D638" t="s">
        <v>19</v>
      </c>
      <c r="E638" t="s">
        <v>69</v>
      </c>
      <c r="F638" t="s">
        <v>72</v>
      </c>
      <c r="G638">
        <v>5</v>
      </c>
      <c r="H638">
        <v>116.68</v>
      </c>
      <c r="I638">
        <v>5</v>
      </c>
      <c r="J638" t="s">
        <v>75</v>
      </c>
      <c r="K638" t="s">
        <v>77</v>
      </c>
      <c r="L638">
        <v>583.40000000000009</v>
      </c>
      <c r="M638">
        <v>29.170000000000009</v>
      </c>
      <c r="N638">
        <v>554.23000000000013</v>
      </c>
      <c r="O6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8" s="9" t="str">
        <f ca="1">IF(OR(ISNUMBER(Table13[[#This Row],[Order_Date]])=FALSE,Table13[[#This Row],[Order_Date]]&lt;DATE(2000,1,1),Table13[[#This Row],[Order_Date]]&gt;TODAY()),"YES","NO")</f>
        <v>NO</v>
      </c>
      <c r="Q638" s="9">
        <f>IF(Table13[[#This Row],[Order_Status]] = "Cancelled",0,IF(Table13[[#This Row],[Order_Status]] = "Returned",Table13[[#This Row],[Net_Sales]] * -1,Table13[[#This Row],[Net_Sales]]))</f>
        <v>554.23000000000013</v>
      </c>
      <c r="R638" s="9" t="str">
        <f>IF(Table13[[#This Row],[Gross_Sales]]&gt;=500, "YES","NO")</f>
        <v>YES</v>
      </c>
    </row>
    <row r="639" spans="1:18" x14ac:dyDescent="0.3">
      <c r="A639">
        <v>100634</v>
      </c>
      <c r="B639" s="8">
        <v>45318.375</v>
      </c>
      <c r="C639" t="s">
        <v>14</v>
      </c>
      <c r="D639" t="s">
        <v>39</v>
      </c>
      <c r="E639" t="s">
        <v>70</v>
      </c>
      <c r="F639" t="s">
        <v>72</v>
      </c>
      <c r="G639">
        <v>5</v>
      </c>
      <c r="H639">
        <v>69.650000000000006</v>
      </c>
      <c r="I639">
        <v>15</v>
      </c>
      <c r="J639" t="s">
        <v>74</v>
      </c>
      <c r="K639" t="s">
        <v>77</v>
      </c>
      <c r="L639">
        <v>348.25</v>
      </c>
      <c r="M639">
        <v>52.237499999999997</v>
      </c>
      <c r="N639">
        <v>296.01249999999999</v>
      </c>
      <c r="O6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39" s="9" t="str">
        <f ca="1">IF(OR(ISNUMBER(Table13[[#This Row],[Order_Date]])=FALSE,Table13[[#This Row],[Order_Date]]&lt;DATE(2000,1,1),Table13[[#This Row],[Order_Date]]&gt;TODAY()),"YES","NO")</f>
        <v>NO</v>
      </c>
      <c r="Q639" s="9">
        <f>IF(Table13[[#This Row],[Order_Status]] = "Cancelled",0,IF(Table13[[#This Row],[Order_Status]] = "Returned",Table13[[#This Row],[Net_Sales]] * -1,Table13[[#This Row],[Net_Sales]]))</f>
        <v>296.01249999999999</v>
      </c>
      <c r="R639" s="9" t="str">
        <f>IF(Table13[[#This Row],[Gross_Sales]]&gt;=500, "YES","NO")</f>
        <v>NO</v>
      </c>
    </row>
    <row r="640" spans="1:18" x14ac:dyDescent="0.3">
      <c r="A640">
        <v>100635</v>
      </c>
      <c r="B640" s="8">
        <v>45318.416666666657</v>
      </c>
      <c r="C640" t="s">
        <v>15</v>
      </c>
      <c r="D640" t="s">
        <v>61</v>
      </c>
      <c r="E640" t="s">
        <v>67</v>
      </c>
      <c r="F640" t="s">
        <v>71</v>
      </c>
      <c r="G640">
        <v>1</v>
      </c>
      <c r="H640">
        <v>87.2</v>
      </c>
      <c r="I640">
        <v>15</v>
      </c>
      <c r="J640" t="s">
        <v>74</v>
      </c>
      <c r="K640" t="s">
        <v>77</v>
      </c>
      <c r="L640">
        <v>87.2</v>
      </c>
      <c r="M640">
        <v>13.08</v>
      </c>
      <c r="N640">
        <v>74.12</v>
      </c>
      <c r="O6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0" s="9" t="str">
        <f ca="1">IF(OR(ISNUMBER(Table13[[#This Row],[Order_Date]])=FALSE,Table13[[#This Row],[Order_Date]]&lt;DATE(2000,1,1),Table13[[#This Row],[Order_Date]]&gt;TODAY()),"YES","NO")</f>
        <v>NO</v>
      </c>
      <c r="Q640" s="9">
        <f>IF(Table13[[#This Row],[Order_Status]] = "Cancelled",0,IF(Table13[[#This Row],[Order_Status]] = "Returned",Table13[[#This Row],[Net_Sales]] * -1,Table13[[#This Row],[Net_Sales]]))</f>
        <v>74.12</v>
      </c>
      <c r="R640" s="9" t="str">
        <f>IF(Table13[[#This Row],[Gross_Sales]]&gt;=500, "YES","NO")</f>
        <v>NO</v>
      </c>
    </row>
    <row r="641" spans="1:18" x14ac:dyDescent="0.3">
      <c r="A641">
        <v>100636</v>
      </c>
      <c r="B641" s="8">
        <v>45318.458333333343</v>
      </c>
      <c r="C641" t="s">
        <v>15</v>
      </c>
      <c r="D641" t="s">
        <v>31</v>
      </c>
      <c r="E641" t="s">
        <v>66</v>
      </c>
      <c r="F641" t="s">
        <v>72</v>
      </c>
      <c r="G641">
        <v>3</v>
      </c>
      <c r="H641">
        <v>12.87</v>
      </c>
      <c r="I641">
        <v>15</v>
      </c>
      <c r="J641" t="s">
        <v>73</v>
      </c>
      <c r="K641" t="s">
        <v>77</v>
      </c>
      <c r="L641">
        <v>38.61</v>
      </c>
      <c r="M641">
        <v>5.7915000000000001</v>
      </c>
      <c r="N641">
        <v>32.8185</v>
      </c>
      <c r="O6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1" s="9" t="str">
        <f ca="1">IF(OR(ISNUMBER(Table13[[#This Row],[Order_Date]])=FALSE,Table13[[#This Row],[Order_Date]]&lt;DATE(2000,1,1),Table13[[#This Row],[Order_Date]]&gt;TODAY()),"YES","NO")</f>
        <v>NO</v>
      </c>
      <c r="Q641" s="9">
        <f>IF(Table13[[#This Row],[Order_Status]] = "Cancelled",0,IF(Table13[[#This Row],[Order_Status]] = "Returned",Table13[[#This Row],[Net_Sales]] * -1,Table13[[#This Row],[Net_Sales]]))</f>
        <v>32.8185</v>
      </c>
      <c r="R641" s="9" t="str">
        <f>IF(Table13[[#This Row],[Gross_Sales]]&gt;=500, "YES","NO")</f>
        <v>NO</v>
      </c>
    </row>
    <row r="642" spans="1:18" x14ac:dyDescent="0.3">
      <c r="A642">
        <v>100637</v>
      </c>
      <c r="B642" s="8">
        <v>45318.5</v>
      </c>
      <c r="C642" t="s">
        <v>14</v>
      </c>
      <c r="D642" t="s">
        <v>48</v>
      </c>
      <c r="E642" t="s">
        <v>69</v>
      </c>
      <c r="F642" t="s">
        <v>71</v>
      </c>
      <c r="G642">
        <v>2</v>
      </c>
      <c r="H642">
        <v>53.03</v>
      </c>
      <c r="I642">
        <v>10</v>
      </c>
      <c r="J642" t="s">
        <v>76</v>
      </c>
      <c r="K642" t="s">
        <v>77</v>
      </c>
      <c r="L642">
        <v>106.06</v>
      </c>
      <c r="M642">
        <v>10.606</v>
      </c>
      <c r="N642">
        <v>95.454000000000008</v>
      </c>
      <c r="O6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2" s="9" t="str">
        <f ca="1">IF(OR(ISNUMBER(Table13[[#This Row],[Order_Date]])=FALSE,Table13[[#This Row],[Order_Date]]&lt;DATE(2000,1,1),Table13[[#This Row],[Order_Date]]&gt;TODAY()),"YES","NO")</f>
        <v>NO</v>
      </c>
      <c r="Q642" s="9">
        <f>IF(Table13[[#This Row],[Order_Status]] = "Cancelled",0,IF(Table13[[#This Row],[Order_Status]] = "Returned",Table13[[#This Row],[Net_Sales]] * -1,Table13[[#This Row],[Net_Sales]]))</f>
        <v>95.454000000000008</v>
      </c>
      <c r="R642" s="9" t="str">
        <f>IF(Table13[[#This Row],[Gross_Sales]]&gt;=500, "YES","NO")</f>
        <v>NO</v>
      </c>
    </row>
    <row r="643" spans="1:18" x14ac:dyDescent="0.3">
      <c r="A643">
        <v>100638</v>
      </c>
      <c r="B643" s="8">
        <v>45318.541666666657</v>
      </c>
      <c r="C643" t="s">
        <v>14</v>
      </c>
      <c r="D643" t="s">
        <v>49</v>
      </c>
      <c r="E643" t="s">
        <v>69</v>
      </c>
      <c r="F643" t="s">
        <v>71</v>
      </c>
      <c r="G643">
        <v>2</v>
      </c>
      <c r="H643">
        <v>18.38</v>
      </c>
      <c r="I643">
        <v>5</v>
      </c>
      <c r="J643" t="s">
        <v>74</v>
      </c>
      <c r="K643" t="s">
        <v>79</v>
      </c>
      <c r="L643">
        <v>36.76</v>
      </c>
      <c r="M643">
        <v>1.8380000000000001</v>
      </c>
      <c r="N643">
        <v>34.921999999999997</v>
      </c>
      <c r="O6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43" s="9" t="str">
        <f ca="1">IF(OR(ISNUMBER(Table13[[#This Row],[Order_Date]])=FALSE,Table13[[#This Row],[Order_Date]]&lt;DATE(2000,1,1),Table13[[#This Row],[Order_Date]]&gt;TODAY()),"YES","NO")</f>
        <v>NO</v>
      </c>
      <c r="Q643" s="9">
        <f>IF(Table13[[#This Row],[Order_Status]] = "Cancelled",0,IF(Table13[[#This Row],[Order_Status]] = "Returned",Table13[[#This Row],[Net_Sales]] * -1,Table13[[#This Row],[Net_Sales]]))</f>
        <v>0</v>
      </c>
      <c r="R643" s="9" t="str">
        <f>IF(Table13[[#This Row],[Gross_Sales]]&gt;=500, "YES","NO")</f>
        <v>NO</v>
      </c>
    </row>
    <row r="644" spans="1:18" x14ac:dyDescent="0.3">
      <c r="A644">
        <v>100639</v>
      </c>
      <c r="B644" s="8">
        <v>45318.583333333343</v>
      </c>
      <c r="C644" t="s">
        <v>15</v>
      </c>
      <c r="D644" t="s">
        <v>57</v>
      </c>
      <c r="E644" t="s">
        <v>70</v>
      </c>
      <c r="F644" t="s">
        <v>71</v>
      </c>
      <c r="G644">
        <v>3</v>
      </c>
      <c r="H644">
        <v>75.47</v>
      </c>
      <c r="I644">
        <v>5</v>
      </c>
      <c r="J644" t="s">
        <v>76</v>
      </c>
      <c r="K644" t="s">
        <v>78</v>
      </c>
      <c r="L644">
        <v>226.41</v>
      </c>
      <c r="M644">
        <v>11.320499999999999</v>
      </c>
      <c r="N644">
        <v>215.08949999999999</v>
      </c>
      <c r="O6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44" s="9" t="str">
        <f ca="1">IF(OR(ISNUMBER(Table13[[#This Row],[Order_Date]])=FALSE,Table13[[#This Row],[Order_Date]]&lt;DATE(2000,1,1),Table13[[#This Row],[Order_Date]]&gt;TODAY()),"YES","NO")</f>
        <v>NO</v>
      </c>
      <c r="Q644" s="9">
        <f>IF(Table13[[#This Row],[Order_Status]] = "Cancelled",0,IF(Table13[[#This Row],[Order_Status]] = "Returned",Table13[[#This Row],[Net_Sales]] * -1,Table13[[#This Row],[Net_Sales]]))</f>
        <v>-215.08949999999999</v>
      </c>
      <c r="R644" s="9" t="str">
        <f>IF(Table13[[#This Row],[Gross_Sales]]&gt;=500, "YES","NO")</f>
        <v>NO</v>
      </c>
    </row>
    <row r="645" spans="1:18" x14ac:dyDescent="0.3">
      <c r="A645">
        <v>100640</v>
      </c>
      <c r="B645" s="8">
        <v>45318.625</v>
      </c>
      <c r="C645" t="s">
        <v>15</v>
      </c>
      <c r="D645" t="s">
        <v>19</v>
      </c>
      <c r="E645" t="s">
        <v>66</v>
      </c>
      <c r="F645" t="s">
        <v>72</v>
      </c>
      <c r="G645">
        <v>2</v>
      </c>
      <c r="H645">
        <v>112.93</v>
      </c>
      <c r="I645">
        <v>0</v>
      </c>
      <c r="J645" t="s">
        <v>75</v>
      </c>
      <c r="K645" t="s">
        <v>78</v>
      </c>
      <c r="L645">
        <v>225.86</v>
      </c>
      <c r="M645">
        <v>0</v>
      </c>
      <c r="N645">
        <v>225.86</v>
      </c>
      <c r="O6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45" s="9" t="str">
        <f ca="1">IF(OR(ISNUMBER(Table13[[#This Row],[Order_Date]])=FALSE,Table13[[#This Row],[Order_Date]]&lt;DATE(2000,1,1),Table13[[#This Row],[Order_Date]]&gt;TODAY()),"YES","NO")</f>
        <v>NO</v>
      </c>
      <c r="Q645" s="9">
        <f>IF(Table13[[#This Row],[Order_Status]] = "Cancelled",0,IF(Table13[[#This Row],[Order_Status]] = "Returned",Table13[[#This Row],[Net_Sales]] * -1,Table13[[#This Row],[Net_Sales]]))</f>
        <v>-225.86</v>
      </c>
      <c r="R645" s="9" t="str">
        <f>IF(Table13[[#This Row],[Gross_Sales]]&gt;=500, "YES","NO")</f>
        <v>NO</v>
      </c>
    </row>
    <row r="646" spans="1:18" x14ac:dyDescent="0.3">
      <c r="A646">
        <v>100641</v>
      </c>
      <c r="B646" s="8">
        <v>45318.666666666657</v>
      </c>
      <c r="C646" t="s">
        <v>15</v>
      </c>
      <c r="D646" t="s">
        <v>28</v>
      </c>
      <c r="E646" t="s">
        <v>69</v>
      </c>
      <c r="F646" t="s">
        <v>72</v>
      </c>
      <c r="G646">
        <v>1</v>
      </c>
      <c r="H646">
        <v>81.099999999999994</v>
      </c>
      <c r="I646">
        <v>0</v>
      </c>
      <c r="J646" t="s">
        <v>73</v>
      </c>
      <c r="K646" t="s">
        <v>77</v>
      </c>
      <c r="L646">
        <v>81.099999999999994</v>
      </c>
      <c r="M646">
        <v>0</v>
      </c>
      <c r="N646">
        <v>81.099999999999994</v>
      </c>
      <c r="O6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6" s="9" t="str">
        <f ca="1">IF(OR(ISNUMBER(Table13[[#This Row],[Order_Date]])=FALSE,Table13[[#This Row],[Order_Date]]&lt;DATE(2000,1,1),Table13[[#This Row],[Order_Date]]&gt;TODAY()),"YES","NO")</f>
        <v>NO</v>
      </c>
      <c r="Q646" s="9">
        <f>IF(Table13[[#This Row],[Order_Status]] = "Cancelled",0,IF(Table13[[#This Row],[Order_Status]] = "Returned",Table13[[#This Row],[Net_Sales]] * -1,Table13[[#This Row],[Net_Sales]]))</f>
        <v>81.099999999999994</v>
      </c>
      <c r="R646" s="9" t="str">
        <f>IF(Table13[[#This Row],[Gross_Sales]]&gt;=500, "YES","NO")</f>
        <v>NO</v>
      </c>
    </row>
    <row r="647" spans="1:18" x14ac:dyDescent="0.3">
      <c r="A647">
        <v>100642</v>
      </c>
      <c r="B647" s="8">
        <v>45318.708333333343</v>
      </c>
      <c r="C647" t="s">
        <v>15</v>
      </c>
      <c r="D647" t="s">
        <v>50</v>
      </c>
      <c r="E647" t="s">
        <v>67</v>
      </c>
      <c r="F647" t="s">
        <v>72</v>
      </c>
      <c r="G647">
        <v>1</v>
      </c>
      <c r="H647">
        <v>13.83</v>
      </c>
      <c r="I647">
        <v>0</v>
      </c>
      <c r="J647" t="s">
        <v>75</v>
      </c>
      <c r="K647" t="s">
        <v>77</v>
      </c>
      <c r="L647">
        <v>13.83</v>
      </c>
      <c r="M647">
        <v>0</v>
      </c>
      <c r="N647">
        <v>13.83</v>
      </c>
      <c r="O6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7" s="9" t="str">
        <f ca="1">IF(OR(ISNUMBER(Table13[[#This Row],[Order_Date]])=FALSE,Table13[[#This Row],[Order_Date]]&lt;DATE(2000,1,1),Table13[[#This Row],[Order_Date]]&gt;TODAY()),"YES","NO")</f>
        <v>NO</v>
      </c>
      <c r="Q647" s="9">
        <f>IF(Table13[[#This Row],[Order_Status]] = "Cancelled",0,IF(Table13[[#This Row],[Order_Status]] = "Returned",Table13[[#This Row],[Net_Sales]] * -1,Table13[[#This Row],[Net_Sales]]))</f>
        <v>13.83</v>
      </c>
      <c r="R647" s="9" t="str">
        <f>IF(Table13[[#This Row],[Gross_Sales]]&gt;=500, "YES","NO")</f>
        <v>NO</v>
      </c>
    </row>
    <row r="648" spans="1:18" x14ac:dyDescent="0.3">
      <c r="A648">
        <v>100643</v>
      </c>
      <c r="B648" s="8">
        <v>45318.75</v>
      </c>
      <c r="C648" t="s">
        <v>15</v>
      </c>
      <c r="D648" t="s">
        <v>47</v>
      </c>
      <c r="E648" t="s">
        <v>70</v>
      </c>
      <c r="F648" t="s">
        <v>72</v>
      </c>
      <c r="G648">
        <v>3</v>
      </c>
      <c r="H648">
        <v>45.79</v>
      </c>
      <c r="I648">
        <v>5</v>
      </c>
      <c r="J648" t="s">
        <v>75</v>
      </c>
      <c r="K648" t="s">
        <v>77</v>
      </c>
      <c r="L648">
        <v>137.37</v>
      </c>
      <c r="M648">
        <v>6.8685000000000009</v>
      </c>
      <c r="N648">
        <v>130.50149999999999</v>
      </c>
      <c r="O6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8" s="9" t="str">
        <f ca="1">IF(OR(ISNUMBER(Table13[[#This Row],[Order_Date]])=FALSE,Table13[[#This Row],[Order_Date]]&lt;DATE(2000,1,1),Table13[[#This Row],[Order_Date]]&gt;TODAY()),"YES","NO")</f>
        <v>NO</v>
      </c>
      <c r="Q648" s="9">
        <f>IF(Table13[[#This Row],[Order_Status]] = "Cancelled",0,IF(Table13[[#This Row],[Order_Status]] = "Returned",Table13[[#This Row],[Net_Sales]] * -1,Table13[[#This Row],[Net_Sales]]))</f>
        <v>130.50149999999999</v>
      </c>
      <c r="R648" s="9" t="str">
        <f>IF(Table13[[#This Row],[Gross_Sales]]&gt;=500, "YES","NO")</f>
        <v>NO</v>
      </c>
    </row>
    <row r="649" spans="1:18" x14ac:dyDescent="0.3">
      <c r="A649">
        <v>100644</v>
      </c>
      <c r="B649" s="8">
        <v>45318.791666666657</v>
      </c>
      <c r="C649" t="s">
        <v>14</v>
      </c>
      <c r="D649" t="s">
        <v>33</v>
      </c>
      <c r="E649" t="s">
        <v>66</v>
      </c>
      <c r="F649" t="s">
        <v>72</v>
      </c>
      <c r="G649">
        <v>2</v>
      </c>
      <c r="H649">
        <v>68.33</v>
      </c>
      <c r="I649">
        <v>0</v>
      </c>
      <c r="J649" t="s">
        <v>73</v>
      </c>
      <c r="K649" t="s">
        <v>77</v>
      </c>
      <c r="L649">
        <v>136.66</v>
      </c>
      <c r="M649">
        <v>0</v>
      </c>
      <c r="N649">
        <v>136.66</v>
      </c>
      <c r="O6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49" s="9" t="str">
        <f ca="1">IF(OR(ISNUMBER(Table13[[#This Row],[Order_Date]])=FALSE,Table13[[#This Row],[Order_Date]]&lt;DATE(2000,1,1),Table13[[#This Row],[Order_Date]]&gt;TODAY()),"YES","NO")</f>
        <v>NO</v>
      </c>
      <c r="Q649" s="9">
        <f>IF(Table13[[#This Row],[Order_Status]] = "Cancelled",0,IF(Table13[[#This Row],[Order_Status]] = "Returned",Table13[[#This Row],[Net_Sales]] * -1,Table13[[#This Row],[Net_Sales]]))</f>
        <v>136.66</v>
      </c>
      <c r="R649" s="9" t="str">
        <f>IF(Table13[[#This Row],[Gross_Sales]]&gt;=500, "YES","NO")</f>
        <v>NO</v>
      </c>
    </row>
    <row r="650" spans="1:18" x14ac:dyDescent="0.3">
      <c r="A650">
        <v>100645</v>
      </c>
      <c r="B650" s="8">
        <v>45318.833333333343</v>
      </c>
      <c r="C650" t="s">
        <v>15</v>
      </c>
      <c r="D650" t="s">
        <v>17</v>
      </c>
      <c r="E650" t="s">
        <v>70</v>
      </c>
      <c r="F650" t="s">
        <v>71</v>
      </c>
      <c r="G650">
        <v>1</v>
      </c>
      <c r="H650">
        <v>51.37</v>
      </c>
      <c r="I650">
        <v>5</v>
      </c>
      <c r="J650" t="s">
        <v>75</v>
      </c>
      <c r="K650" t="s">
        <v>77</v>
      </c>
      <c r="L650">
        <v>51.37</v>
      </c>
      <c r="M650">
        <v>2.5684999999999998</v>
      </c>
      <c r="N650">
        <v>48.801499999999997</v>
      </c>
      <c r="O6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0" s="9" t="str">
        <f ca="1">IF(OR(ISNUMBER(Table13[[#This Row],[Order_Date]])=FALSE,Table13[[#This Row],[Order_Date]]&lt;DATE(2000,1,1),Table13[[#This Row],[Order_Date]]&gt;TODAY()),"YES","NO")</f>
        <v>NO</v>
      </c>
      <c r="Q650" s="9">
        <f>IF(Table13[[#This Row],[Order_Status]] = "Cancelled",0,IF(Table13[[#This Row],[Order_Status]] = "Returned",Table13[[#This Row],[Net_Sales]] * -1,Table13[[#This Row],[Net_Sales]]))</f>
        <v>48.801499999999997</v>
      </c>
      <c r="R650" s="9" t="str">
        <f>IF(Table13[[#This Row],[Gross_Sales]]&gt;=500, "YES","NO")</f>
        <v>NO</v>
      </c>
    </row>
    <row r="651" spans="1:18" x14ac:dyDescent="0.3">
      <c r="A651">
        <v>100646</v>
      </c>
      <c r="B651" s="8">
        <v>45318.875</v>
      </c>
      <c r="C651" t="s">
        <v>14</v>
      </c>
      <c r="D651" t="s">
        <v>44</v>
      </c>
      <c r="E651" t="s">
        <v>67</v>
      </c>
      <c r="F651" t="s">
        <v>71</v>
      </c>
      <c r="G651">
        <v>1</v>
      </c>
      <c r="H651">
        <v>100.87</v>
      </c>
      <c r="I651">
        <v>5</v>
      </c>
      <c r="J651" t="s">
        <v>73</v>
      </c>
      <c r="K651" t="s">
        <v>77</v>
      </c>
      <c r="L651">
        <v>100.87</v>
      </c>
      <c r="M651">
        <v>5.0435000000000008</v>
      </c>
      <c r="N651">
        <v>95.82650000000001</v>
      </c>
      <c r="O6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1" s="9" t="str">
        <f ca="1">IF(OR(ISNUMBER(Table13[[#This Row],[Order_Date]])=FALSE,Table13[[#This Row],[Order_Date]]&lt;DATE(2000,1,1),Table13[[#This Row],[Order_Date]]&gt;TODAY()),"YES","NO")</f>
        <v>NO</v>
      </c>
      <c r="Q651" s="9">
        <f>IF(Table13[[#This Row],[Order_Status]] = "Cancelled",0,IF(Table13[[#This Row],[Order_Status]] = "Returned",Table13[[#This Row],[Net_Sales]] * -1,Table13[[#This Row],[Net_Sales]]))</f>
        <v>95.82650000000001</v>
      </c>
      <c r="R651" s="9" t="str">
        <f>IF(Table13[[#This Row],[Gross_Sales]]&gt;=500, "YES","NO")</f>
        <v>NO</v>
      </c>
    </row>
    <row r="652" spans="1:18" x14ac:dyDescent="0.3">
      <c r="A652">
        <v>100647</v>
      </c>
      <c r="B652" s="8">
        <v>45318.916666666657</v>
      </c>
      <c r="C652" t="s">
        <v>14</v>
      </c>
      <c r="D652" t="s">
        <v>58</v>
      </c>
      <c r="E652" t="s">
        <v>66</v>
      </c>
      <c r="F652" t="s">
        <v>71</v>
      </c>
      <c r="G652">
        <v>4</v>
      </c>
      <c r="H652">
        <v>98.69</v>
      </c>
      <c r="I652">
        <v>15</v>
      </c>
      <c r="J652" t="s">
        <v>76</v>
      </c>
      <c r="K652" t="s">
        <v>77</v>
      </c>
      <c r="L652">
        <v>394.76</v>
      </c>
      <c r="M652">
        <v>59.213999999999999</v>
      </c>
      <c r="N652">
        <v>335.54599999999999</v>
      </c>
      <c r="O6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2" s="9" t="str">
        <f ca="1">IF(OR(ISNUMBER(Table13[[#This Row],[Order_Date]])=FALSE,Table13[[#This Row],[Order_Date]]&lt;DATE(2000,1,1),Table13[[#This Row],[Order_Date]]&gt;TODAY()),"YES","NO")</f>
        <v>NO</v>
      </c>
      <c r="Q652" s="9">
        <f>IF(Table13[[#This Row],[Order_Status]] = "Cancelled",0,IF(Table13[[#This Row],[Order_Status]] = "Returned",Table13[[#This Row],[Net_Sales]] * -1,Table13[[#This Row],[Net_Sales]]))</f>
        <v>335.54599999999999</v>
      </c>
      <c r="R652" s="9" t="str">
        <f>IF(Table13[[#This Row],[Gross_Sales]]&gt;=500, "YES","NO")</f>
        <v>NO</v>
      </c>
    </row>
    <row r="653" spans="1:18" x14ac:dyDescent="0.3">
      <c r="A653">
        <v>100648</v>
      </c>
      <c r="B653" s="8">
        <v>45318.958333333343</v>
      </c>
      <c r="C653" t="s">
        <v>14</v>
      </c>
      <c r="D653" t="s">
        <v>25</v>
      </c>
      <c r="E653" t="s">
        <v>70</v>
      </c>
      <c r="F653" t="s">
        <v>71</v>
      </c>
      <c r="G653">
        <v>4</v>
      </c>
      <c r="H653">
        <v>75.36</v>
      </c>
      <c r="I653">
        <v>0</v>
      </c>
      <c r="J653" t="s">
        <v>75</v>
      </c>
      <c r="K653" t="s">
        <v>77</v>
      </c>
      <c r="L653">
        <v>301.44</v>
      </c>
      <c r="M653">
        <v>0</v>
      </c>
      <c r="N653">
        <v>301.44</v>
      </c>
      <c r="O6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3" s="9" t="str">
        <f ca="1">IF(OR(ISNUMBER(Table13[[#This Row],[Order_Date]])=FALSE,Table13[[#This Row],[Order_Date]]&lt;DATE(2000,1,1),Table13[[#This Row],[Order_Date]]&gt;TODAY()),"YES","NO")</f>
        <v>NO</v>
      </c>
      <c r="Q653" s="9">
        <f>IF(Table13[[#This Row],[Order_Status]] = "Cancelled",0,IF(Table13[[#This Row],[Order_Status]] = "Returned",Table13[[#This Row],[Net_Sales]] * -1,Table13[[#This Row],[Net_Sales]]))</f>
        <v>301.44</v>
      </c>
      <c r="R653" s="9" t="str">
        <f>IF(Table13[[#This Row],[Gross_Sales]]&gt;=500, "YES","NO")</f>
        <v>NO</v>
      </c>
    </row>
    <row r="654" spans="1:18" x14ac:dyDescent="0.3">
      <c r="A654">
        <v>100649</v>
      </c>
      <c r="B654" s="8">
        <v>45319</v>
      </c>
      <c r="C654" t="s">
        <v>15</v>
      </c>
      <c r="D654" t="s">
        <v>42</v>
      </c>
      <c r="E654" t="s">
        <v>68</v>
      </c>
      <c r="F654" t="s">
        <v>72</v>
      </c>
      <c r="G654">
        <v>1</v>
      </c>
      <c r="H654">
        <v>47.95</v>
      </c>
      <c r="I654">
        <v>15</v>
      </c>
      <c r="J654" t="s">
        <v>73</v>
      </c>
      <c r="K654" t="s">
        <v>77</v>
      </c>
      <c r="L654">
        <v>47.95</v>
      </c>
      <c r="M654">
        <v>7.1924999999999999</v>
      </c>
      <c r="N654">
        <v>40.7575</v>
      </c>
      <c r="O6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4" s="9" t="str">
        <f ca="1">IF(OR(ISNUMBER(Table13[[#This Row],[Order_Date]])=FALSE,Table13[[#This Row],[Order_Date]]&lt;DATE(2000,1,1),Table13[[#This Row],[Order_Date]]&gt;TODAY()),"YES","NO")</f>
        <v>NO</v>
      </c>
      <c r="Q654" s="9">
        <f>IF(Table13[[#This Row],[Order_Status]] = "Cancelled",0,IF(Table13[[#This Row],[Order_Status]] = "Returned",Table13[[#This Row],[Net_Sales]] * -1,Table13[[#This Row],[Net_Sales]]))</f>
        <v>40.7575</v>
      </c>
      <c r="R654" s="9" t="str">
        <f>IF(Table13[[#This Row],[Gross_Sales]]&gt;=500, "YES","NO")</f>
        <v>NO</v>
      </c>
    </row>
    <row r="655" spans="1:18" x14ac:dyDescent="0.3">
      <c r="A655">
        <v>100650</v>
      </c>
      <c r="B655" s="8">
        <v>45319.041666666657</v>
      </c>
      <c r="C655" t="s">
        <v>14</v>
      </c>
      <c r="D655" t="s">
        <v>58</v>
      </c>
      <c r="E655" t="s">
        <v>67</v>
      </c>
      <c r="F655" t="s">
        <v>72</v>
      </c>
      <c r="G655">
        <v>3</v>
      </c>
      <c r="H655">
        <v>34.36</v>
      </c>
      <c r="I655">
        <v>10</v>
      </c>
      <c r="J655" t="s">
        <v>74</v>
      </c>
      <c r="K655" t="s">
        <v>77</v>
      </c>
      <c r="L655">
        <v>103.08</v>
      </c>
      <c r="M655">
        <v>10.308</v>
      </c>
      <c r="N655">
        <v>92.771999999999991</v>
      </c>
      <c r="O6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5" s="9" t="str">
        <f ca="1">IF(OR(ISNUMBER(Table13[[#This Row],[Order_Date]])=FALSE,Table13[[#This Row],[Order_Date]]&lt;DATE(2000,1,1),Table13[[#This Row],[Order_Date]]&gt;TODAY()),"YES","NO")</f>
        <v>NO</v>
      </c>
      <c r="Q655" s="9">
        <f>IF(Table13[[#This Row],[Order_Status]] = "Cancelled",0,IF(Table13[[#This Row],[Order_Status]] = "Returned",Table13[[#This Row],[Net_Sales]] * -1,Table13[[#This Row],[Net_Sales]]))</f>
        <v>92.771999999999991</v>
      </c>
      <c r="R655" s="9" t="str">
        <f>IF(Table13[[#This Row],[Gross_Sales]]&gt;=500, "YES","NO")</f>
        <v>NO</v>
      </c>
    </row>
    <row r="656" spans="1:18" x14ac:dyDescent="0.3">
      <c r="A656">
        <v>100651</v>
      </c>
      <c r="B656" s="8">
        <v>45319.083333333343</v>
      </c>
      <c r="C656" t="s">
        <v>14</v>
      </c>
      <c r="D656" t="s">
        <v>60</v>
      </c>
      <c r="E656" t="s">
        <v>67</v>
      </c>
      <c r="F656" t="s">
        <v>71</v>
      </c>
      <c r="G656">
        <v>5</v>
      </c>
      <c r="H656">
        <v>17.18</v>
      </c>
      <c r="I656">
        <v>10</v>
      </c>
      <c r="J656" t="s">
        <v>75</v>
      </c>
      <c r="K656" t="s">
        <v>77</v>
      </c>
      <c r="L656">
        <v>85.9</v>
      </c>
      <c r="M656">
        <v>8.5900000000000016</v>
      </c>
      <c r="N656">
        <v>77.31</v>
      </c>
      <c r="O6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6" s="9" t="str">
        <f ca="1">IF(OR(ISNUMBER(Table13[[#This Row],[Order_Date]])=FALSE,Table13[[#This Row],[Order_Date]]&lt;DATE(2000,1,1),Table13[[#This Row],[Order_Date]]&gt;TODAY()),"YES","NO")</f>
        <v>NO</v>
      </c>
      <c r="Q656" s="9">
        <f>IF(Table13[[#This Row],[Order_Status]] = "Cancelled",0,IF(Table13[[#This Row],[Order_Status]] = "Returned",Table13[[#This Row],[Net_Sales]] * -1,Table13[[#This Row],[Net_Sales]]))</f>
        <v>77.31</v>
      </c>
      <c r="R656" s="9" t="str">
        <f>IF(Table13[[#This Row],[Gross_Sales]]&gt;=500, "YES","NO")</f>
        <v>NO</v>
      </c>
    </row>
    <row r="657" spans="1:18" x14ac:dyDescent="0.3">
      <c r="A657">
        <v>100652</v>
      </c>
      <c r="B657" s="8">
        <v>45319.125</v>
      </c>
      <c r="C657" t="s">
        <v>15</v>
      </c>
      <c r="D657" t="s">
        <v>16</v>
      </c>
      <c r="E657" t="s">
        <v>67</v>
      </c>
      <c r="F657" t="s">
        <v>72</v>
      </c>
      <c r="G657">
        <v>5</v>
      </c>
      <c r="H657">
        <v>45.81</v>
      </c>
      <c r="I657">
        <v>10</v>
      </c>
      <c r="J657" t="s">
        <v>76</v>
      </c>
      <c r="K657" t="s">
        <v>77</v>
      </c>
      <c r="L657">
        <v>229.05</v>
      </c>
      <c r="M657">
        <v>22.905000000000001</v>
      </c>
      <c r="N657">
        <v>206.14500000000001</v>
      </c>
      <c r="O6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7" s="9" t="str">
        <f ca="1">IF(OR(ISNUMBER(Table13[[#This Row],[Order_Date]])=FALSE,Table13[[#This Row],[Order_Date]]&lt;DATE(2000,1,1),Table13[[#This Row],[Order_Date]]&gt;TODAY()),"YES","NO")</f>
        <v>NO</v>
      </c>
      <c r="Q657" s="9">
        <f>IF(Table13[[#This Row],[Order_Status]] = "Cancelled",0,IF(Table13[[#This Row],[Order_Status]] = "Returned",Table13[[#This Row],[Net_Sales]] * -1,Table13[[#This Row],[Net_Sales]]))</f>
        <v>206.14500000000001</v>
      </c>
      <c r="R657" s="9" t="str">
        <f>IF(Table13[[#This Row],[Gross_Sales]]&gt;=500, "YES","NO")</f>
        <v>NO</v>
      </c>
    </row>
    <row r="658" spans="1:18" x14ac:dyDescent="0.3">
      <c r="A658">
        <v>100653</v>
      </c>
      <c r="B658" s="8">
        <v>45319.166666666657</v>
      </c>
      <c r="C658" t="s">
        <v>14</v>
      </c>
      <c r="D658" t="s">
        <v>32</v>
      </c>
      <c r="E658" t="s">
        <v>68</v>
      </c>
      <c r="F658" t="s">
        <v>72</v>
      </c>
      <c r="G658">
        <v>1</v>
      </c>
      <c r="H658">
        <v>52.51</v>
      </c>
      <c r="I658">
        <v>5</v>
      </c>
      <c r="J658" t="s">
        <v>73</v>
      </c>
      <c r="K658" t="s">
        <v>77</v>
      </c>
      <c r="L658">
        <v>52.51</v>
      </c>
      <c r="M658">
        <v>2.6255000000000002</v>
      </c>
      <c r="N658">
        <v>49.884500000000003</v>
      </c>
      <c r="O6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8" s="9" t="str">
        <f ca="1">IF(OR(ISNUMBER(Table13[[#This Row],[Order_Date]])=FALSE,Table13[[#This Row],[Order_Date]]&lt;DATE(2000,1,1),Table13[[#This Row],[Order_Date]]&gt;TODAY()),"YES","NO")</f>
        <v>NO</v>
      </c>
      <c r="Q658" s="9">
        <f>IF(Table13[[#This Row],[Order_Status]] = "Cancelled",0,IF(Table13[[#This Row],[Order_Status]] = "Returned",Table13[[#This Row],[Net_Sales]] * -1,Table13[[#This Row],[Net_Sales]]))</f>
        <v>49.884500000000003</v>
      </c>
      <c r="R658" s="9" t="str">
        <f>IF(Table13[[#This Row],[Gross_Sales]]&gt;=500, "YES","NO")</f>
        <v>NO</v>
      </c>
    </row>
    <row r="659" spans="1:18" x14ac:dyDescent="0.3">
      <c r="A659">
        <v>100654</v>
      </c>
      <c r="B659" s="8">
        <v>45319.208333333343</v>
      </c>
      <c r="C659" t="s">
        <v>14</v>
      </c>
      <c r="D659" t="s">
        <v>33</v>
      </c>
      <c r="E659" t="s">
        <v>68</v>
      </c>
      <c r="F659" t="s">
        <v>71</v>
      </c>
      <c r="G659">
        <v>1</v>
      </c>
      <c r="H659">
        <v>82.72</v>
      </c>
      <c r="I659">
        <v>5</v>
      </c>
      <c r="J659" t="s">
        <v>75</v>
      </c>
      <c r="K659" t="s">
        <v>77</v>
      </c>
      <c r="L659">
        <v>82.72</v>
      </c>
      <c r="M659">
        <v>4.1360000000000001</v>
      </c>
      <c r="N659">
        <v>78.584000000000003</v>
      </c>
      <c r="O6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59" s="9" t="str">
        <f ca="1">IF(OR(ISNUMBER(Table13[[#This Row],[Order_Date]])=FALSE,Table13[[#This Row],[Order_Date]]&lt;DATE(2000,1,1),Table13[[#This Row],[Order_Date]]&gt;TODAY()),"YES","NO")</f>
        <v>NO</v>
      </c>
      <c r="Q659" s="9">
        <f>IF(Table13[[#This Row],[Order_Status]] = "Cancelled",0,IF(Table13[[#This Row],[Order_Status]] = "Returned",Table13[[#This Row],[Net_Sales]] * -1,Table13[[#This Row],[Net_Sales]]))</f>
        <v>78.584000000000003</v>
      </c>
      <c r="R659" s="9" t="str">
        <f>IF(Table13[[#This Row],[Gross_Sales]]&gt;=500, "YES","NO")</f>
        <v>NO</v>
      </c>
    </row>
    <row r="660" spans="1:18" x14ac:dyDescent="0.3">
      <c r="A660">
        <v>100655</v>
      </c>
      <c r="B660" s="8">
        <v>45319.25</v>
      </c>
      <c r="C660" t="s">
        <v>15</v>
      </c>
      <c r="D660" t="s">
        <v>24</v>
      </c>
      <c r="E660" t="s">
        <v>69</v>
      </c>
      <c r="F660" t="s">
        <v>71</v>
      </c>
      <c r="G660">
        <v>1</v>
      </c>
      <c r="H660">
        <v>80.69</v>
      </c>
      <c r="I660">
        <v>5</v>
      </c>
      <c r="J660" t="s">
        <v>75</v>
      </c>
      <c r="K660" t="s">
        <v>77</v>
      </c>
      <c r="L660">
        <v>80.69</v>
      </c>
      <c r="M660">
        <v>4.0345000000000004</v>
      </c>
      <c r="N660">
        <v>76.655500000000004</v>
      </c>
      <c r="O6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0" s="9" t="str">
        <f ca="1">IF(OR(ISNUMBER(Table13[[#This Row],[Order_Date]])=FALSE,Table13[[#This Row],[Order_Date]]&lt;DATE(2000,1,1),Table13[[#This Row],[Order_Date]]&gt;TODAY()),"YES","NO")</f>
        <v>NO</v>
      </c>
      <c r="Q660" s="9">
        <f>IF(Table13[[#This Row],[Order_Status]] = "Cancelled",0,IF(Table13[[#This Row],[Order_Status]] = "Returned",Table13[[#This Row],[Net_Sales]] * -1,Table13[[#This Row],[Net_Sales]]))</f>
        <v>76.655500000000004</v>
      </c>
      <c r="R660" s="9" t="str">
        <f>IF(Table13[[#This Row],[Gross_Sales]]&gt;=500, "YES","NO")</f>
        <v>NO</v>
      </c>
    </row>
    <row r="661" spans="1:18" x14ac:dyDescent="0.3">
      <c r="A661">
        <v>100656</v>
      </c>
      <c r="B661" s="8">
        <v>45319.291666666657</v>
      </c>
      <c r="C661" t="s">
        <v>14</v>
      </c>
      <c r="D661" t="s">
        <v>49</v>
      </c>
      <c r="E661" t="s">
        <v>70</v>
      </c>
      <c r="F661" t="s">
        <v>72</v>
      </c>
      <c r="G661">
        <v>3</v>
      </c>
      <c r="H661">
        <v>13.06</v>
      </c>
      <c r="I661">
        <v>0</v>
      </c>
      <c r="J661" t="s">
        <v>75</v>
      </c>
      <c r="K661" t="s">
        <v>77</v>
      </c>
      <c r="L661">
        <v>39.18</v>
      </c>
      <c r="M661">
        <v>0</v>
      </c>
      <c r="N661">
        <v>39.18</v>
      </c>
      <c r="O6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1" s="9" t="str">
        <f ca="1">IF(OR(ISNUMBER(Table13[[#This Row],[Order_Date]])=FALSE,Table13[[#This Row],[Order_Date]]&lt;DATE(2000,1,1),Table13[[#This Row],[Order_Date]]&gt;TODAY()),"YES","NO")</f>
        <v>NO</v>
      </c>
      <c r="Q661" s="9">
        <f>IF(Table13[[#This Row],[Order_Status]] = "Cancelled",0,IF(Table13[[#This Row],[Order_Status]] = "Returned",Table13[[#This Row],[Net_Sales]] * -1,Table13[[#This Row],[Net_Sales]]))</f>
        <v>39.18</v>
      </c>
      <c r="R661" s="9" t="str">
        <f>IF(Table13[[#This Row],[Gross_Sales]]&gt;=500, "YES","NO")</f>
        <v>NO</v>
      </c>
    </row>
    <row r="662" spans="1:18" x14ac:dyDescent="0.3">
      <c r="A662">
        <v>100657</v>
      </c>
      <c r="B662" s="8">
        <v>45319.333333333343</v>
      </c>
      <c r="C662" t="s">
        <v>14</v>
      </c>
      <c r="D662" t="s">
        <v>37</v>
      </c>
      <c r="E662" t="s">
        <v>69</v>
      </c>
      <c r="F662" t="s">
        <v>72</v>
      </c>
      <c r="G662">
        <v>4</v>
      </c>
      <c r="H662">
        <v>50.45</v>
      </c>
      <c r="I662">
        <v>15</v>
      </c>
      <c r="J662" t="s">
        <v>76</v>
      </c>
      <c r="K662" t="s">
        <v>77</v>
      </c>
      <c r="L662">
        <v>201.8</v>
      </c>
      <c r="M662">
        <v>30.27</v>
      </c>
      <c r="N662">
        <v>171.53</v>
      </c>
      <c r="O6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2" s="9" t="str">
        <f ca="1">IF(OR(ISNUMBER(Table13[[#This Row],[Order_Date]])=FALSE,Table13[[#This Row],[Order_Date]]&lt;DATE(2000,1,1),Table13[[#This Row],[Order_Date]]&gt;TODAY()),"YES","NO")</f>
        <v>NO</v>
      </c>
      <c r="Q662" s="9">
        <f>IF(Table13[[#This Row],[Order_Status]] = "Cancelled",0,IF(Table13[[#This Row],[Order_Status]] = "Returned",Table13[[#This Row],[Net_Sales]] * -1,Table13[[#This Row],[Net_Sales]]))</f>
        <v>171.53</v>
      </c>
      <c r="R662" s="9" t="str">
        <f>IF(Table13[[#This Row],[Gross_Sales]]&gt;=500, "YES","NO")</f>
        <v>NO</v>
      </c>
    </row>
    <row r="663" spans="1:18" x14ac:dyDescent="0.3">
      <c r="A663">
        <v>100658</v>
      </c>
      <c r="B663" s="8">
        <v>45319.375</v>
      </c>
      <c r="C663" t="s">
        <v>14</v>
      </c>
      <c r="D663" t="s">
        <v>16</v>
      </c>
      <c r="E663" t="s">
        <v>70</v>
      </c>
      <c r="F663" t="s">
        <v>71</v>
      </c>
      <c r="G663">
        <v>1</v>
      </c>
      <c r="H663">
        <v>25.9</v>
      </c>
      <c r="I663">
        <v>5</v>
      </c>
      <c r="J663" t="s">
        <v>73</v>
      </c>
      <c r="K663" t="s">
        <v>77</v>
      </c>
      <c r="L663">
        <v>25.9</v>
      </c>
      <c r="M663">
        <v>1.2949999999999999</v>
      </c>
      <c r="N663">
        <v>24.605</v>
      </c>
      <c r="O6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3" s="9" t="str">
        <f ca="1">IF(OR(ISNUMBER(Table13[[#This Row],[Order_Date]])=FALSE,Table13[[#This Row],[Order_Date]]&lt;DATE(2000,1,1),Table13[[#This Row],[Order_Date]]&gt;TODAY()),"YES","NO")</f>
        <v>NO</v>
      </c>
      <c r="Q663" s="9">
        <f>IF(Table13[[#This Row],[Order_Status]] = "Cancelled",0,IF(Table13[[#This Row],[Order_Status]] = "Returned",Table13[[#This Row],[Net_Sales]] * -1,Table13[[#This Row],[Net_Sales]]))</f>
        <v>24.605</v>
      </c>
      <c r="R663" s="9" t="str">
        <f>IF(Table13[[#This Row],[Gross_Sales]]&gt;=500, "YES","NO")</f>
        <v>NO</v>
      </c>
    </row>
    <row r="664" spans="1:18" x14ac:dyDescent="0.3">
      <c r="A664">
        <v>100659</v>
      </c>
      <c r="B664" s="8">
        <v>45319.416666666657</v>
      </c>
      <c r="C664" t="s">
        <v>15</v>
      </c>
      <c r="D664" t="s">
        <v>34</v>
      </c>
      <c r="E664" t="s">
        <v>68</v>
      </c>
      <c r="F664" t="s">
        <v>71</v>
      </c>
      <c r="G664">
        <v>1</v>
      </c>
      <c r="H664">
        <v>23.03</v>
      </c>
      <c r="I664">
        <v>15</v>
      </c>
      <c r="J664" t="s">
        <v>74</v>
      </c>
      <c r="K664" t="s">
        <v>77</v>
      </c>
      <c r="L664">
        <v>23.03</v>
      </c>
      <c r="M664">
        <v>3.4544999999999999</v>
      </c>
      <c r="N664">
        <v>19.575500000000002</v>
      </c>
      <c r="O6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4" s="9" t="str">
        <f ca="1">IF(OR(ISNUMBER(Table13[[#This Row],[Order_Date]])=FALSE,Table13[[#This Row],[Order_Date]]&lt;DATE(2000,1,1),Table13[[#This Row],[Order_Date]]&gt;TODAY()),"YES","NO")</f>
        <v>NO</v>
      </c>
      <c r="Q664" s="9">
        <f>IF(Table13[[#This Row],[Order_Status]] = "Cancelled",0,IF(Table13[[#This Row],[Order_Status]] = "Returned",Table13[[#This Row],[Net_Sales]] * -1,Table13[[#This Row],[Net_Sales]]))</f>
        <v>19.575500000000002</v>
      </c>
      <c r="R664" s="9" t="str">
        <f>IF(Table13[[#This Row],[Gross_Sales]]&gt;=500, "YES","NO")</f>
        <v>NO</v>
      </c>
    </row>
    <row r="665" spans="1:18" x14ac:dyDescent="0.3">
      <c r="A665">
        <v>100660</v>
      </c>
      <c r="B665" s="8">
        <v>45319.458333333343</v>
      </c>
      <c r="C665" t="s">
        <v>15</v>
      </c>
      <c r="D665" t="s">
        <v>16</v>
      </c>
      <c r="E665" t="s">
        <v>68</v>
      </c>
      <c r="F665" t="s">
        <v>71</v>
      </c>
      <c r="G665">
        <v>2</v>
      </c>
      <c r="H665">
        <v>100.14</v>
      </c>
      <c r="I665">
        <v>15</v>
      </c>
      <c r="J665" t="s">
        <v>74</v>
      </c>
      <c r="K665" t="s">
        <v>77</v>
      </c>
      <c r="L665">
        <v>200.28</v>
      </c>
      <c r="M665">
        <v>30.042000000000002</v>
      </c>
      <c r="N665">
        <v>170.238</v>
      </c>
      <c r="O6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5" s="9" t="str">
        <f ca="1">IF(OR(ISNUMBER(Table13[[#This Row],[Order_Date]])=FALSE,Table13[[#This Row],[Order_Date]]&lt;DATE(2000,1,1),Table13[[#This Row],[Order_Date]]&gt;TODAY()),"YES","NO")</f>
        <v>NO</v>
      </c>
      <c r="Q665" s="9">
        <f>IF(Table13[[#This Row],[Order_Status]] = "Cancelled",0,IF(Table13[[#This Row],[Order_Status]] = "Returned",Table13[[#This Row],[Net_Sales]] * -1,Table13[[#This Row],[Net_Sales]]))</f>
        <v>170.238</v>
      </c>
      <c r="R665" s="9" t="str">
        <f>IF(Table13[[#This Row],[Gross_Sales]]&gt;=500, "YES","NO")</f>
        <v>NO</v>
      </c>
    </row>
    <row r="666" spans="1:18" x14ac:dyDescent="0.3">
      <c r="A666">
        <v>100661</v>
      </c>
      <c r="B666" s="8">
        <v>45319.5</v>
      </c>
      <c r="C666" t="s">
        <v>15</v>
      </c>
      <c r="D666" t="s">
        <v>52</v>
      </c>
      <c r="E666" t="s">
        <v>69</v>
      </c>
      <c r="F666" t="s">
        <v>72</v>
      </c>
      <c r="G666">
        <v>3</v>
      </c>
      <c r="H666">
        <v>9.82</v>
      </c>
      <c r="I666">
        <v>15</v>
      </c>
      <c r="J666" t="s">
        <v>74</v>
      </c>
      <c r="K666" t="s">
        <v>77</v>
      </c>
      <c r="L666">
        <v>29.46</v>
      </c>
      <c r="M666">
        <v>4.4189999999999996</v>
      </c>
      <c r="N666">
        <v>25.041</v>
      </c>
      <c r="O6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6" s="9" t="str">
        <f ca="1">IF(OR(ISNUMBER(Table13[[#This Row],[Order_Date]])=FALSE,Table13[[#This Row],[Order_Date]]&lt;DATE(2000,1,1),Table13[[#This Row],[Order_Date]]&gt;TODAY()),"YES","NO")</f>
        <v>NO</v>
      </c>
      <c r="Q666" s="9">
        <f>IF(Table13[[#This Row],[Order_Status]] = "Cancelled",0,IF(Table13[[#This Row],[Order_Status]] = "Returned",Table13[[#This Row],[Net_Sales]] * -1,Table13[[#This Row],[Net_Sales]]))</f>
        <v>25.041</v>
      </c>
      <c r="R666" s="9" t="str">
        <f>IF(Table13[[#This Row],[Gross_Sales]]&gt;=500, "YES","NO")</f>
        <v>NO</v>
      </c>
    </row>
    <row r="667" spans="1:18" x14ac:dyDescent="0.3">
      <c r="A667">
        <v>100662</v>
      </c>
      <c r="B667" s="8">
        <v>45319.541666666657</v>
      </c>
      <c r="C667" t="s">
        <v>14</v>
      </c>
      <c r="D667" t="s">
        <v>17</v>
      </c>
      <c r="E667" t="s">
        <v>66</v>
      </c>
      <c r="F667" t="s">
        <v>71</v>
      </c>
      <c r="G667">
        <v>1</v>
      </c>
      <c r="H667">
        <v>53.21</v>
      </c>
      <c r="I667">
        <v>0</v>
      </c>
      <c r="J667" t="s">
        <v>73</v>
      </c>
      <c r="K667" t="s">
        <v>77</v>
      </c>
      <c r="L667">
        <v>53.21</v>
      </c>
      <c r="M667">
        <v>0</v>
      </c>
      <c r="N667">
        <v>53.21</v>
      </c>
      <c r="O6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7" s="9" t="str">
        <f ca="1">IF(OR(ISNUMBER(Table13[[#This Row],[Order_Date]])=FALSE,Table13[[#This Row],[Order_Date]]&lt;DATE(2000,1,1),Table13[[#This Row],[Order_Date]]&gt;TODAY()),"YES","NO")</f>
        <v>NO</v>
      </c>
      <c r="Q667" s="9">
        <f>IF(Table13[[#This Row],[Order_Status]] = "Cancelled",0,IF(Table13[[#This Row],[Order_Status]] = "Returned",Table13[[#This Row],[Net_Sales]] * -1,Table13[[#This Row],[Net_Sales]]))</f>
        <v>53.21</v>
      </c>
      <c r="R667" s="9" t="str">
        <f>IF(Table13[[#This Row],[Gross_Sales]]&gt;=500, "YES","NO")</f>
        <v>NO</v>
      </c>
    </row>
    <row r="668" spans="1:18" x14ac:dyDescent="0.3">
      <c r="A668">
        <v>100663</v>
      </c>
      <c r="B668" s="8">
        <v>45319.583333333343</v>
      </c>
      <c r="C668" t="s">
        <v>14</v>
      </c>
      <c r="D668" t="s">
        <v>54</v>
      </c>
      <c r="E668" t="s">
        <v>69</v>
      </c>
      <c r="F668" t="s">
        <v>71</v>
      </c>
      <c r="G668">
        <v>2</v>
      </c>
      <c r="H668">
        <v>24.34</v>
      </c>
      <c r="I668">
        <v>0</v>
      </c>
      <c r="J668" t="s">
        <v>74</v>
      </c>
      <c r="K668" t="s">
        <v>78</v>
      </c>
      <c r="L668">
        <v>48.68</v>
      </c>
      <c r="M668">
        <v>0</v>
      </c>
      <c r="N668">
        <v>48.68</v>
      </c>
      <c r="O6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68" s="9" t="str">
        <f ca="1">IF(OR(ISNUMBER(Table13[[#This Row],[Order_Date]])=FALSE,Table13[[#This Row],[Order_Date]]&lt;DATE(2000,1,1),Table13[[#This Row],[Order_Date]]&gt;TODAY()),"YES","NO")</f>
        <v>NO</v>
      </c>
      <c r="Q668" s="9">
        <f>IF(Table13[[#This Row],[Order_Status]] = "Cancelled",0,IF(Table13[[#This Row],[Order_Status]] = "Returned",Table13[[#This Row],[Net_Sales]] * -1,Table13[[#This Row],[Net_Sales]]))</f>
        <v>-48.68</v>
      </c>
      <c r="R668" s="9" t="str">
        <f>IF(Table13[[#This Row],[Gross_Sales]]&gt;=500, "YES","NO")</f>
        <v>NO</v>
      </c>
    </row>
    <row r="669" spans="1:18" x14ac:dyDescent="0.3">
      <c r="A669">
        <v>100664</v>
      </c>
      <c r="B669" s="8">
        <v>45319.625</v>
      </c>
      <c r="C669" t="s">
        <v>15</v>
      </c>
      <c r="D669" t="s">
        <v>31</v>
      </c>
      <c r="E669" t="s">
        <v>70</v>
      </c>
      <c r="F669" t="s">
        <v>72</v>
      </c>
      <c r="G669">
        <v>5</v>
      </c>
      <c r="H669">
        <v>106.12</v>
      </c>
      <c r="I669">
        <v>10</v>
      </c>
      <c r="J669" t="s">
        <v>76</v>
      </c>
      <c r="K669" t="s">
        <v>77</v>
      </c>
      <c r="L669">
        <v>530.6</v>
      </c>
      <c r="M669">
        <v>53.06</v>
      </c>
      <c r="N669">
        <v>477.54</v>
      </c>
      <c r="O6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69" s="9" t="str">
        <f ca="1">IF(OR(ISNUMBER(Table13[[#This Row],[Order_Date]])=FALSE,Table13[[#This Row],[Order_Date]]&lt;DATE(2000,1,1),Table13[[#This Row],[Order_Date]]&gt;TODAY()),"YES","NO")</f>
        <v>NO</v>
      </c>
      <c r="Q669" s="9">
        <f>IF(Table13[[#This Row],[Order_Status]] = "Cancelled",0,IF(Table13[[#This Row],[Order_Status]] = "Returned",Table13[[#This Row],[Net_Sales]] * -1,Table13[[#This Row],[Net_Sales]]))</f>
        <v>477.54</v>
      </c>
      <c r="R669" s="9" t="str">
        <f>IF(Table13[[#This Row],[Gross_Sales]]&gt;=500, "YES","NO")</f>
        <v>YES</v>
      </c>
    </row>
    <row r="670" spans="1:18" x14ac:dyDescent="0.3">
      <c r="A670">
        <v>100665</v>
      </c>
      <c r="B670" s="8">
        <v>45319.666666666657</v>
      </c>
      <c r="C670" t="s">
        <v>14</v>
      </c>
      <c r="D670" t="s">
        <v>35</v>
      </c>
      <c r="E670" t="s">
        <v>69</v>
      </c>
      <c r="F670" t="s">
        <v>72</v>
      </c>
      <c r="G670">
        <v>1</v>
      </c>
      <c r="H670">
        <v>69.06</v>
      </c>
      <c r="I670">
        <v>10</v>
      </c>
      <c r="J670" t="s">
        <v>73</v>
      </c>
      <c r="K670" t="s">
        <v>77</v>
      </c>
      <c r="L670">
        <v>69.06</v>
      </c>
      <c r="M670">
        <v>6.9060000000000006</v>
      </c>
      <c r="N670">
        <v>62.154000000000003</v>
      </c>
      <c r="O6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0" s="9" t="str">
        <f ca="1">IF(OR(ISNUMBER(Table13[[#This Row],[Order_Date]])=FALSE,Table13[[#This Row],[Order_Date]]&lt;DATE(2000,1,1),Table13[[#This Row],[Order_Date]]&gt;TODAY()),"YES","NO")</f>
        <v>NO</v>
      </c>
      <c r="Q670" s="9">
        <f>IF(Table13[[#This Row],[Order_Status]] = "Cancelled",0,IF(Table13[[#This Row],[Order_Status]] = "Returned",Table13[[#This Row],[Net_Sales]] * -1,Table13[[#This Row],[Net_Sales]]))</f>
        <v>62.154000000000003</v>
      </c>
      <c r="R670" s="9" t="str">
        <f>IF(Table13[[#This Row],[Gross_Sales]]&gt;=500, "YES","NO")</f>
        <v>NO</v>
      </c>
    </row>
    <row r="671" spans="1:18" x14ac:dyDescent="0.3">
      <c r="A671">
        <v>100666</v>
      </c>
      <c r="B671" s="8">
        <v>45319.708333333343</v>
      </c>
      <c r="C671" t="s">
        <v>14</v>
      </c>
      <c r="D671" t="s">
        <v>30</v>
      </c>
      <c r="E671" t="s">
        <v>67</v>
      </c>
      <c r="F671" t="s">
        <v>72</v>
      </c>
      <c r="G671">
        <v>1</v>
      </c>
      <c r="H671">
        <v>31.61</v>
      </c>
      <c r="I671">
        <v>15</v>
      </c>
      <c r="J671" t="s">
        <v>75</v>
      </c>
      <c r="K671" t="s">
        <v>77</v>
      </c>
      <c r="L671">
        <v>31.61</v>
      </c>
      <c r="M671">
        <v>4.7414999999999994</v>
      </c>
      <c r="N671">
        <v>26.868500000000001</v>
      </c>
      <c r="O6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1" s="9" t="str">
        <f ca="1">IF(OR(ISNUMBER(Table13[[#This Row],[Order_Date]])=FALSE,Table13[[#This Row],[Order_Date]]&lt;DATE(2000,1,1),Table13[[#This Row],[Order_Date]]&gt;TODAY()),"YES","NO")</f>
        <v>NO</v>
      </c>
      <c r="Q671" s="9">
        <f>IF(Table13[[#This Row],[Order_Status]] = "Cancelled",0,IF(Table13[[#This Row],[Order_Status]] = "Returned",Table13[[#This Row],[Net_Sales]] * -1,Table13[[#This Row],[Net_Sales]]))</f>
        <v>26.868500000000001</v>
      </c>
      <c r="R671" s="9" t="str">
        <f>IF(Table13[[#This Row],[Gross_Sales]]&gt;=500, "YES","NO")</f>
        <v>NO</v>
      </c>
    </row>
    <row r="672" spans="1:18" x14ac:dyDescent="0.3">
      <c r="A672">
        <v>100667</v>
      </c>
      <c r="B672" s="8">
        <v>45319.75</v>
      </c>
      <c r="C672" t="s">
        <v>15</v>
      </c>
      <c r="D672" t="s">
        <v>56</v>
      </c>
      <c r="E672" t="s">
        <v>70</v>
      </c>
      <c r="F672" t="s">
        <v>72</v>
      </c>
      <c r="G672">
        <v>2</v>
      </c>
      <c r="H672">
        <v>62.78</v>
      </c>
      <c r="I672">
        <v>10</v>
      </c>
      <c r="J672" t="s">
        <v>76</v>
      </c>
      <c r="K672" t="s">
        <v>77</v>
      </c>
      <c r="L672">
        <v>125.56</v>
      </c>
      <c r="M672">
        <v>12.555999999999999</v>
      </c>
      <c r="N672">
        <v>113.004</v>
      </c>
      <c r="O6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2" s="9" t="str">
        <f ca="1">IF(OR(ISNUMBER(Table13[[#This Row],[Order_Date]])=FALSE,Table13[[#This Row],[Order_Date]]&lt;DATE(2000,1,1),Table13[[#This Row],[Order_Date]]&gt;TODAY()),"YES","NO")</f>
        <v>NO</v>
      </c>
      <c r="Q672" s="9">
        <f>IF(Table13[[#This Row],[Order_Status]] = "Cancelled",0,IF(Table13[[#This Row],[Order_Status]] = "Returned",Table13[[#This Row],[Net_Sales]] * -1,Table13[[#This Row],[Net_Sales]]))</f>
        <v>113.004</v>
      </c>
      <c r="R672" s="9" t="str">
        <f>IF(Table13[[#This Row],[Gross_Sales]]&gt;=500, "YES","NO")</f>
        <v>NO</v>
      </c>
    </row>
    <row r="673" spans="1:18" x14ac:dyDescent="0.3">
      <c r="A673">
        <v>100668</v>
      </c>
      <c r="B673" s="8">
        <v>45319.791666666657</v>
      </c>
      <c r="C673" t="s">
        <v>15</v>
      </c>
      <c r="D673" t="s">
        <v>17</v>
      </c>
      <c r="E673" t="s">
        <v>70</v>
      </c>
      <c r="F673" t="s">
        <v>72</v>
      </c>
      <c r="G673">
        <v>3</v>
      </c>
      <c r="H673">
        <v>89.12</v>
      </c>
      <c r="I673">
        <v>15</v>
      </c>
      <c r="J673" t="s">
        <v>75</v>
      </c>
      <c r="K673" t="s">
        <v>77</v>
      </c>
      <c r="L673">
        <v>267.36</v>
      </c>
      <c r="M673">
        <v>40.103999999999999</v>
      </c>
      <c r="N673">
        <v>227.256</v>
      </c>
      <c r="O6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3" s="9" t="str">
        <f ca="1">IF(OR(ISNUMBER(Table13[[#This Row],[Order_Date]])=FALSE,Table13[[#This Row],[Order_Date]]&lt;DATE(2000,1,1),Table13[[#This Row],[Order_Date]]&gt;TODAY()),"YES","NO")</f>
        <v>NO</v>
      </c>
      <c r="Q673" s="9">
        <f>IF(Table13[[#This Row],[Order_Status]] = "Cancelled",0,IF(Table13[[#This Row],[Order_Status]] = "Returned",Table13[[#This Row],[Net_Sales]] * -1,Table13[[#This Row],[Net_Sales]]))</f>
        <v>227.256</v>
      </c>
      <c r="R673" s="9" t="str">
        <f>IF(Table13[[#This Row],[Gross_Sales]]&gt;=500, "YES","NO")</f>
        <v>NO</v>
      </c>
    </row>
    <row r="674" spans="1:18" x14ac:dyDescent="0.3">
      <c r="A674">
        <v>100669</v>
      </c>
      <c r="B674" s="8">
        <v>45319.833333333343</v>
      </c>
      <c r="C674" t="s">
        <v>14</v>
      </c>
      <c r="D674" t="s">
        <v>42</v>
      </c>
      <c r="E674" t="s">
        <v>66</v>
      </c>
      <c r="F674" t="s">
        <v>71</v>
      </c>
      <c r="G674">
        <v>1</v>
      </c>
      <c r="H674">
        <v>115.18</v>
      </c>
      <c r="I674">
        <v>0</v>
      </c>
      <c r="J674" t="s">
        <v>74</v>
      </c>
      <c r="K674" t="s">
        <v>77</v>
      </c>
      <c r="L674">
        <v>115.18</v>
      </c>
      <c r="M674">
        <v>0</v>
      </c>
      <c r="N674">
        <v>115.18</v>
      </c>
      <c r="O6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4" s="9" t="str">
        <f ca="1">IF(OR(ISNUMBER(Table13[[#This Row],[Order_Date]])=FALSE,Table13[[#This Row],[Order_Date]]&lt;DATE(2000,1,1),Table13[[#This Row],[Order_Date]]&gt;TODAY()),"YES","NO")</f>
        <v>NO</v>
      </c>
      <c r="Q674" s="9">
        <f>IF(Table13[[#This Row],[Order_Status]] = "Cancelled",0,IF(Table13[[#This Row],[Order_Status]] = "Returned",Table13[[#This Row],[Net_Sales]] * -1,Table13[[#This Row],[Net_Sales]]))</f>
        <v>115.18</v>
      </c>
      <c r="R674" s="9" t="str">
        <f>IF(Table13[[#This Row],[Gross_Sales]]&gt;=500, "YES","NO")</f>
        <v>NO</v>
      </c>
    </row>
    <row r="675" spans="1:18" x14ac:dyDescent="0.3">
      <c r="A675">
        <v>100670</v>
      </c>
      <c r="B675" s="8">
        <v>45319.875</v>
      </c>
      <c r="C675" t="s">
        <v>14</v>
      </c>
      <c r="D675" t="s">
        <v>62</v>
      </c>
      <c r="E675" t="s">
        <v>68</v>
      </c>
      <c r="F675" t="s">
        <v>71</v>
      </c>
      <c r="G675">
        <v>5</v>
      </c>
      <c r="H675">
        <v>30.35</v>
      </c>
      <c r="I675">
        <v>0</v>
      </c>
      <c r="J675" t="s">
        <v>76</v>
      </c>
      <c r="K675" t="s">
        <v>79</v>
      </c>
      <c r="L675">
        <v>151.75</v>
      </c>
      <c r="M675">
        <v>0</v>
      </c>
      <c r="N675">
        <v>151.75</v>
      </c>
      <c r="O6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75" s="9" t="str">
        <f ca="1">IF(OR(ISNUMBER(Table13[[#This Row],[Order_Date]])=FALSE,Table13[[#This Row],[Order_Date]]&lt;DATE(2000,1,1),Table13[[#This Row],[Order_Date]]&gt;TODAY()),"YES","NO")</f>
        <v>NO</v>
      </c>
      <c r="Q675" s="9">
        <f>IF(Table13[[#This Row],[Order_Status]] = "Cancelled",0,IF(Table13[[#This Row],[Order_Status]] = "Returned",Table13[[#This Row],[Net_Sales]] * -1,Table13[[#This Row],[Net_Sales]]))</f>
        <v>0</v>
      </c>
      <c r="R675" s="9" t="str">
        <f>IF(Table13[[#This Row],[Gross_Sales]]&gt;=500, "YES","NO")</f>
        <v>NO</v>
      </c>
    </row>
    <row r="676" spans="1:18" x14ac:dyDescent="0.3">
      <c r="A676">
        <v>100671</v>
      </c>
      <c r="B676" s="8">
        <v>45319.916666666657</v>
      </c>
      <c r="C676" t="s">
        <v>14</v>
      </c>
      <c r="D676" t="s">
        <v>24</v>
      </c>
      <c r="E676" t="s">
        <v>70</v>
      </c>
      <c r="F676" t="s">
        <v>72</v>
      </c>
      <c r="G676">
        <v>1</v>
      </c>
      <c r="H676">
        <v>106.91</v>
      </c>
      <c r="I676">
        <v>0</v>
      </c>
      <c r="J676" t="s">
        <v>73</v>
      </c>
      <c r="K676" t="s">
        <v>77</v>
      </c>
      <c r="L676">
        <v>106.91</v>
      </c>
      <c r="M676">
        <v>0</v>
      </c>
      <c r="N676">
        <v>106.91</v>
      </c>
      <c r="O6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6" s="9" t="str">
        <f ca="1">IF(OR(ISNUMBER(Table13[[#This Row],[Order_Date]])=FALSE,Table13[[#This Row],[Order_Date]]&lt;DATE(2000,1,1),Table13[[#This Row],[Order_Date]]&gt;TODAY()),"YES","NO")</f>
        <v>NO</v>
      </c>
      <c r="Q676" s="9">
        <f>IF(Table13[[#This Row],[Order_Status]] = "Cancelled",0,IF(Table13[[#This Row],[Order_Status]] = "Returned",Table13[[#This Row],[Net_Sales]] * -1,Table13[[#This Row],[Net_Sales]]))</f>
        <v>106.91</v>
      </c>
      <c r="R676" s="9" t="str">
        <f>IF(Table13[[#This Row],[Gross_Sales]]&gt;=500, "YES","NO")</f>
        <v>NO</v>
      </c>
    </row>
    <row r="677" spans="1:18" x14ac:dyDescent="0.3">
      <c r="A677">
        <v>100672</v>
      </c>
      <c r="B677" s="8">
        <v>45319.958333333343</v>
      </c>
      <c r="C677" t="s">
        <v>15</v>
      </c>
      <c r="D677" t="s">
        <v>53</v>
      </c>
      <c r="E677" t="s">
        <v>68</v>
      </c>
      <c r="F677" t="s">
        <v>72</v>
      </c>
      <c r="G677">
        <v>5</v>
      </c>
      <c r="H677">
        <v>112.44</v>
      </c>
      <c r="I677">
        <v>5</v>
      </c>
      <c r="J677" t="s">
        <v>76</v>
      </c>
      <c r="K677" t="s">
        <v>77</v>
      </c>
      <c r="L677">
        <v>562.20000000000005</v>
      </c>
      <c r="M677">
        <v>28.11</v>
      </c>
      <c r="N677">
        <v>534.09</v>
      </c>
      <c r="O6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7" s="9" t="str">
        <f ca="1">IF(OR(ISNUMBER(Table13[[#This Row],[Order_Date]])=FALSE,Table13[[#This Row],[Order_Date]]&lt;DATE(2000,1,1),Table13[[#This Row],[Order_Date]]&gt;TODAY()),"YES","NO")</f>
        <v>NO</v>
      </c>
      <c r="Q677" s="9">
        <f>IF(Table13[[#This Row],[Order_Status]] = "Cancelled",0,IF(Table13[[#This Row],[Order_Status]] = "Returned",Table13[[#This Row],[Net_Sales]] * -1,Table13[[#This Row],[Net_Sales]]))</f>
        <v>534.09</v>
      </c>
      <c r="R677" s="9" t="str">
        <f>IF(Table13[[#This Row],[Gross_Sales]]&gt;=500, "YES","NO")</f>
        <v>YES</v>
      </c>
    </row>
    <row r="678" spans="1:18" x14ac:dyDescent="0.3">
      <c r="A678">
        <v>100673</v>
      </c>
      <c r="B678" s="8">
        <v>45320</v>
      </c>
      <c r="C678" t="s">
        <v>15</v>
      </c>
      <c r="D678" t="s">
        <v>41</v>
      </c>
      <c r="E678" t="s">
        <v>69</v>
      </c>
      <c r="F678" t="s">
        <v>72</v>
      </c>
      <c r="G678">
        <v>4</v>
      </c>
      <c r="H678">
        <v>110.39</v>
      </c>
      <c r="I678">
        <v>15</v>
      </c>
      <c r="J678" t="s">
        <v>75</v>
      </c>
      <c r="K678" t="s">
        <v>77</v>
      </c>
      <c r="L678">
        <v>441.56</v>
      </c>
      <c r="M678">
        <v>66.233999999999995</v>
      </c>
      <c r="N678">
        <v>375.32600000000002</v>
      </c>
      <c r="O6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78" s="9" t="str">
        <f ca="1">IF(OR(ISNUMBER(Table13[[#This Row],[Order_Date]])=FALSE,Table13[[#This Row],[Order_Date]]&lt;DATE(2000,1,1),Table13[[#This Row],[Order_Date]]&gt;TODAY()),"YES","NO")</f>
        <v>NO</v>
      </c>
      <c r="Q678" s="9">
        <f>IF(Table13[[#This Row],[Order_Status]] = "Cancelled",0,IF(Table13[[#This Row],[Order_Status]] = "Returned",Table13[[#This Row],[Net_Sales]] * -1,Table13[[#This Row],[Net_Sales]]))</f>
        <v>375.32600000000002</v>
      </c>
      <c r="R678" s="9" t="str">
        <f>IF(Table13[[#This Row],[Gross_Sales]]&gt;=500, "YES","NO")</f>
        <v>NO</v>
      </c>
    </row>
    <row r="679" spans="1:18" x14ac:dyDescent="0.3">
      <c r="A679">
        <v>100674</v>
      </c>
      <c r="B679" s="8">
        <v>45320.041666666657</v>
      </c>
      <c r="C679" t="s">
        <v>15</v>
      </c>
      <c r="D679" t="s">
        <v>23</v>
      </c>
      <c r="E679" t="s">
        <v>67</v>
      </c>
      <c r="F679" t="s">
        <v>72</v>
      </c>
      <c r="G679">
        <v>4</v>
      </c>
      <c r="H679">
        <v>78.069999999999993</v>
      </c>
      <c r="I679">
        <v>0</v>
      </c>
      <c r="J679" t="s">
        <v>73</v>
      </c>
      <c r="K679" t="s">
        <v>78</v>
      </c>
      <c r="L679">
        <v>312.27999999999997</v>
      </c>
      <c r="M679">
        <v>0</v>
      </c>
      <c r="N679">
        <v>312.27999999999997</v>
      </c>
      <c r="O6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79" s="9" t="str">
        <f ca="1">IF(OR(ISNUMBER(Table13[[#This Row],[Order_Date]])=FALSE,Table13[[#This Row],[Order_Date]]&lt;DATE(2000,1,1),Table13[[#This Row],[Order_Date]]&gt;TODAY()),"YES","NO")</f>
        <v>NO</v>
      </c>
      <c r="Q679" s="9">
        <f>IF(Table13[[#This Row],[Order_Status]] = "Cancelled",0,IF(Table13[[#This Row],[Order_Status]] = "Returned",Table13[[#This Row],[Net_Sales]] * -1,Table13[[#This Row],[Net_Sales]]))</f>
        <v>-312.27999999999997</v>
      </c>
      <c r="R679" s="9" t="str">
        <f>IF(Table13[[#This Row],[Gross_Sales]]&gt;=500, "YES","NO")</f>
        <v>NO</v>
      </c>
    </row>
    <row r="680" spans="1:18" x14ac:dyDescent="0.3">
      <c r="A680">
        <v>100675</v>
      </c>
      <c r="B680" s="8">
        <v>45320.083333333343</v>
      </c>
      <c r="C680" t="s">
        <v>15</v>
      </c>
      <c r="D680" t="s">
        <v>35</v>
      </c>
      <c r="E680" t="s">
        <v>66</v>
      </c>
      <c r="F680" t="s">
        <v>72</v>
      </c>
      <c r="G680">
        <v>5</v>
      </c>
      <c r="H680">
        <v>77.430000000000007</v>
      </c>
      <c r="I680">
        <v>15</v>
      </c>
      <c r="J680" t="s">
        <v>76</v>
      </c>
      <c r="K680" t="s">
        <v>77</v>
      </c>
      <c r="L680">
        <v>387.15</v>
      </c>
      <c r="M680">
        <v>58.072500000000012</v>
      </c>
      <c r="N680">
        <v>329.07749999999999</v>
      </c>
      <c r="O6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0" s="9" t="str">
        <f ca="1">IF(OR(ISNUMBER(Table13[[#This Row],[Order_Date]])=FALSE,Table13[[#This Row],[Order_Date]]&lt;DATE(2000,1,1),Table13[[#This Row],[Order_Date]]&gt;TODAY()),"YES","NO")</f>
        <v>NO</v>
      </c>
      <c r="Q680" s="9">
        <f>IF(Table13[[#This Row],[Order_Status]] = "Cancelled",0,IF(Table13[[#This Row],[Order_Status]] = "Returned",Table13[[#This Row],[Net_Sales]] * -1,Table13[[#This Row],[Net_Sales]]))</f>
        <v>329.07749999999999</v>
      </c>
      <c r="R680" s="9" t="str">
        <f>IF(Table13[[#This Row],[Gross_Sales]]&gt;=500, "YES","NO")</f>
        <v>NO</v>
      </c>
    </row>
    <row r="681" spans="1:18" x14ac:dyDescent="0.3">
      <c r="A681">
        <v>100676</v>
      </c>
      <c r="B681" s="8">
        <v>45320.125</v>
      </c>
      <c r="C681" t="s">
        <v>14</v>
      </c>
      <c r="D681" t="s">
        <v>44</v>
      </c>
      <c r="E681" t="s">
        <v>68</v>
      </c>
      <c r="F681" t="s">
        <v>71</v>
      </c>
      <c r="G681">
        <v>3</v>
      </c>
      <c r="H681">
        <v>51.37</v>
      </c>
      <c r="I681">
        <v>10</v>
      </c>
      <c r="J681" t="s">
        <v>76</v>
      </c>
      <c r="K681" t="s">
        <v>77</v>
      </c>
      <c r="L681">
        <v>154.11000000000001</v>
      </c>
      <c r="M681">
        <v>15.411</v>
      </c>
      <c r="N681">
        <v>138.69900000000001</v>
      </c>
      <c r="O6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1" s="9" t="str">
        <f ca="1">IF(OR(ISNUMBER(Table13[[#This Row],[Order_Date]])=FALSE,Table13[[#This Row],[Order_Date]]&lt;DATE(2000,1,1),Table13[[#This Row],[Order_Date]]&gt;TODAY()),"YES","NO")</f>
        <v>NO</v>
      </c>
      <c r="Q681" s="9">
        <f>IF(Table13[[#This Row],[Order_Status]] = "Cancelled",0,IF(Table13[[#This Row],[Order_Status]] = "Returned",Table13[[#This Row],[Net_Sales]] * -1,Table13[[#This Row],[Net_Sales]]))</f>
        <v>138.69900000000001</v>
      </c>
      <c r="R681" s="9" t="str">
        <f>IF(Table13[[#This Row],[Gross_Sales]]&gt;=500, "YES","NO")</f>
        <v>NO</v>
      </c>
    </row>
    <row r="682" spans="1:18" x14ac:dyDescent="0.3">
      <c r="A682">
        <v>100677</v>
      </c>
      <c r="B682" s="8">
        <v>45320.166666666657</v>
      </c>
      <c r="C682" t="s">
        <v>15</v>
      </c>
      <c r="D682" t="s">
        <v>49</v>
      </c>
      <c r="E682" t="s">
        <v>70</v>
      </c>
      <c r="F682" t="s">
        <v>71</v>
      </c>
      <c r="G682">
        <v>1</v>
      </c>
      <c r="H682">
        <v>91.53</v>
      </c>
      <c r="I682">
        <v>10</v>
      </c>
      <c r="J682" t="s">
        <v>76</v>
      </c>
      <c r="K682" t="s">
        <v>77</v>
      </c>
      <c r="L682">
        <v>91.53</v>
      </c>
      <c r="M682">
        <v>9.1530000000000005</v>
      </c>
      <c r="N682">
        <v>82.376999999999995</v>
      </c>
      <c r="O6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2" s="9" t="str">
        <f ca="1">IF(OR(ISNUMBER(Table13[[#This Row],[Order_Date]])=FALSE,Table13[[#This Row],[Order_Date]]&lt;DATE(2000,1,1),Table13[[#This Row],[Order_Date]]&gt;TODAY()),"YES","NO")</f>
        <v>NO</v>
      </c>
      <c r="Q682" s="9">
        <f>IF(Table13[[#This Row],[Order_Status]] = "Cancelled",0,IF(Table13[[#This Row],[Order_Status]] = "Returned",Table13[[#This Row],[Net_Sales]] * -1,Table13[[#This Row],[Net_Sales]]))</f>
        <v>82.376999999999995</v>
      </c>
      <c r="R682" s="9" t="str">
        <f>IF(Table13[[#This Row],[Gross_Sales]]&gt;=500, "YES","NO")</f>
        <v>NO</v>
      </c>
    </row>
    <row r="683" spans="1:18" x14ac:dyDescent="0.3">
      <c r="A683">
        <v>100678</v>
      </c>
      <c r="B683" s="8">
        <v>45320.208333333343</v>
      </c>
      <c r="C683" t="s">
        <v>15</v>
      </c>
      <c r="D683" t="s">
        <v>50</v>
      </c>
      <c r="E683" t="s">
        <v>68</v>
      </c>
      <c r="F683" t="s">
        <v>71</v>
      </c>
      <c r="G683">
        <v>1</v>
      </c>
      <c r="H683">
        <v>66.099999999999994</v>
      </c>
      <c r="I683">
        <v>0</v>
      </c>
      <c r="J683" t="s">
        <v>76</v>
      </c>
      <c r="K683" t="s">
        <v>77</v>
      </c>
      <c r="L683">
        <v>66.099999999999994</v>
      </c>
      <c r="M683">
        <v>0</v>
      </c>
      <c r="N683">
        <v>66.099999999999994</v>
      </c>
      <c r="O6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3" s="9" t="str">
        <f ca="1">IF(OR(ISNUMBER(Table13[[#This Row],[Order_Date]])=FALSE,Table13[[#This Row],[Order_Date]]&lt;DATE(2000,1,1),Table13[[#This Row],[Order_Date]]&gt;TODAY()),"YES","NO")</f>
        <v>NO</v>
      </c>
      <c r="Q683" s="9">
        <f>IF(Table13[[#This Row],[Order_Status]] = "Cancelled",0,IF(Table13[[#This Row],[Order_Status]] = "Returned",Table13[[#This Row],[Net_Sales]] * -1,Table13[[#This Row],[Net_Sales]]))</f>
        <v>66.099999999999994</v>
      </c>
      <c r="R683" s="9" t="str">
        <f>IF(Table13[[#This Row],[Gross_Sales]]&gt;=500, "YES","NO")</f>
        <v>NO</v>
      </c>
    </row>
    <row r="684" spans="1:18" x14ac:dyDescent="0.3">
      <c r="A684">
        <v>100679</v>
      </c>
      <c r="B684" s="8">
        <v>45320.25</v>
      </c>
      <c r="C684" t="s">
        <v>15</v>
      </c>
      <c r="D684" t="s">
        <v>39</v>
      </c>
      <c r="E684" t="s">
        <v>70</v>
      </c>
      <c r="F684" t="s">
        <v>71</v>
      </c>
      <c r="G684">
        <v>4</v>
      </c>
      <c r="H684">
        <v>82.91</v>
      </c>
      <c r="I684">
        <v>15</v>
      </c>
      <c r="J684" t="s">
        <v>73</v>
      </c>
      <c r="K684" t="s">
        <v>77</v>
      </c>
      <c r="L684">
        <v>331.64</v>
      </c>
      <c r="M684">
        <v>49.746000000000002</v>
      </c>
      <c r="N684">
        <v>281.89400000000001</v>
      </c>
      <c r="O6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4" s="9" t="str">
        <f ca="1">IF(OR(ISNUMBER(Table13[[#This Row],[Order_Date]])=FALSE,Table13[[#This Row],[Order_Date]]&lt;DATE(2000,1,1),Table13[[#This Row],[Order_Date]]&gt;TODAY()),"YES","NO")</f>
        <v>NO</v>
      </c>
      <c r="Q684" s="9">
        <f>IF(Table13[[#This Row],[Order_Status]] = "Cancelled",0,IF(Table13[[#This Row],[Order_Status]] = "Returned",Table13[[#This Row],[Net_Sales]] * -1,Table13[[#This Row],[Net_Sales]]))</f>
        <v>281.89400000000001</v>
      </c>
      <c r="R684" s="9" t="str">
        <f>IF(Table13[[#This Row],[Gross_Sales]]&gt;=500, "YES","NO")</f>
        <v>NO</v>
      </c>
    </row>
    <row r="685" spans="1:18" x14ac:dyDescent="0.3">
      <c r="A685">
        <v>100680</v>
      </c>
      <c r="B685" s="8">
        <v>45320.291666666657</v>
      </c>
      <c r="C685" t="s">
        <v>15</v>
      </c>
      <c r="D685" t="s">
        <v>26</v>
      </c>
      <c r="E685" t="s">
        <v>68</v>
      </c>
      <c r="F685" t="s">
        <v>72</v>
      </c>
      <c r="G685">
        <v>5</v>
      </c>
      <c r="H685">
        <v>54.27</v>
      </c>
      <c r="I685">
        <v>0</v>
      </c>
      <c r="J685" t="s">
        <v>75</v>
      </c>
      <c r="K685" t="s">
        <v>77</v>
      </c>
      <c r="L685">
        <v>271.35000000000002</v>
      </c>
      <c r="M685">
        <v>0</v>
      </c>
      <c r="N685">
        <v>271.35000000000002</v>
      </c>
      <c r="O6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5" s="9" t="str">
        <f ca="1">IF(OR(ISNUMBER(Table13[[#This Row],[Order_Date]])=FALSE,Table13[[#This Row],[Order_Date]]&lt;DATE(2000,1,1),Table13[[#This Row],[Order_Date]]&gt;TODAY()),"YES","NO")</f>
        <v>NO</v>
      </c>
      <c r="Q685" s="9">
        <f>IF(Table13[[#This Row],[Order_Status]] = "Cancelled",0,IF(Table13[[#This Row],[Order_Status]] = "Returned",Table13[[#This Row],[Net_Sales]] * -1,Table13[[#This Row],[Net_Sales]]))</f>
        <v>271.35000000000002</v>
      </c>
      <c r="R685" s="9" t="str">
        <f>IF(Table13[[#This Row],[Gross_Sales]]&gt;=500, "YES","NO")</f>
        <v>NO</v>
      </c>
    </row>
    <row r="686" spans="1:18" x14ac:dyDescent="0.3">
      <c r="A686">
        <v>100681</v>
      </c>
      <c r="B686" s="8">
        <v>45320.333333333343</v>
      </c>
      <c r="C686" t="s">
        <v>15</v>
      </c>
      <c r="D686" t="s">
        <v>27</v>
      </c>
      <c r="E686" t="s">
        <v>70</v>
      </c>
      <c r="F686" t="s">
        <v>71</v>
      </c>
      <c r="G686">
        <v>1</v>
      </c>
      <c r="H686">
        <v>89.12</v>
      </c>
      <c r="I686">
        <v>10</v>
      </c>
      <c r="J686" t="s">
        <v>76</v>
      </c>
      <c r="K686" t="s">
        <v>77</v>
      </c>
      <c r="L686">
        <v>89.12</v>
      </c>
      <c r="M686">
        <v>8.9120000000000008</v>
      </c>
      <c r="N686">
        <v>80.207999999999998</v>
      </c>
      <c r="O6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6" s="9" t="str">
        <f ca="1">IF(OR(ISNUMBER(Table13[[#This Row],[Order_Date]])=FALSE,Table13[[#This Row],[Order_Date]]&lt;DATE(2000,1,1),Table13[[#This Row],[Order_Date]]&gt;TODAY()),"YES","NO")</f>
        <v>NO</v>
      </c>
      <c r="Q686" s="9">
        <f>IF(Table13[[#This Row],[Order_Status]] = "Cancelled",0,IF(Table13[[#This Row],[Order_Status]] = "Returned",Table13[[#This Row],[Net_Sales]] * -1,Table13[[#This Row],[Net_Sales]]))</f>
        <v>80.207999999999998</v>
      </c>
      <c r="R686" s="9" t="str">
        <f>IF(Table13[[#This Row],[Gross_Sales]]&gt;=500, "YES","NO")</f>
        <v>NO</v>
      </c>
    </row>
    <row r="687" spans="1:18" x14ac:dyDescent="0.3">
      <c r="A687">
        <v>100682</v>
      </c>
      <c r="B687" s="8">
        <v>45320.375</v>
      </c>
      <c r="C687" t="s">
        <v>14</v>
      </c>
      <c r="D687" t="s">
        <v>40</v>
      </c>
      <c r="E687" t="s">
        <v>69</v>
      </c>
      <c r="F687" t="s">
        <v>72</v>
      </c>
      <c r="G687">
        <v>1</v>
      </c>
      <c r="H687">
        <v>99.81</v>
      </c>
      <c r="I687">
        <v>0</v>
      </c>
      <c r="J687" t="s">
        <v>73</v>
      </c>
      <c r="K687" t="s">
        <v>77</v>
      </c>
      <c r="L687">
        <v>99.81</v>
      </c>
      <c r="M687">
        <v>0</v>
      </c>
      <c r="N687">
        <v>99.81</v>
      </c>
      <c r="O6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7" s="9" t="str">
        <f ca="1">IF(OR(ISNUMBER(Table13[[#This Row],[Order_Date]])=FALSE,Table13[[#This Row],[Order_Date]]&lt;DATE(2000,1,1),Table13[[#This Row],[Order_Date]]&gt;TODAY()),"YES","NO")</f>
        <v>NO</v>
      </c>
      <c r="Q687" s="9">
        <f>IF(Table13[[#This Row],[Order_Status]] = "Cancelled",0,IF(Table13[[#This Row],[Order_Status]] = "Returned",Table13[[#This Row],[Net_Sales]] * -1,Table13[[#This Row],[Net_Sales]]))</f>
        <v>99.81</v>
      </c>
      <c r="R687" s="9" t="str">
        <f>IF(Table13[[#This Row],[Gross_Sales]]&gt;=500, "YES","NO")</f>
        <v>NO</v>
      </c>
    </row>
    <row r="688" spans="1:18" x14ac:dyDescent="0.3">
      <c r="A688">
        <v>100683</v>
      </c>
      <c r="B688" s="8">
        <v>45320.416666666657</v>
      </c>
      <c r="C688" t="s">
        <v>14</v>
      </c>
      <c r="D688" t="s">
        <v>61</v>
      </c>
      <c r="E688" t="s">
        <v>70</v>
      </c>
      <c r="F688" t="s">
        <v>72</v>
      </c>
      <c r="G688">
        <v>3</v>
      </c>
      <c r="H688">
        <v>21.84</v>
      </c>
      <c r="I688">
        <v>15</v>
      </c>
      <c r="J688" t="s">
        <v>75</v>
      </c>
      <c r="K688" t="s">
        <v>78</v>
      </c>
      <c r="L688">
        <v>65.52</v>
      </c>
      <c r="M688">
        <v>9.8279999999999994</v>
      </c>
      <c r="N688">
        <v>55.691999999999993</v>
      </c>
      <c r="O6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88" s="9" t="str">
        <f ca="1">IF(OR(ISNUMBER(Table13[[#This Row],[Order_Date]])=FALSE,Table13[[#This Row],[Order_Date]]&lt;DATE(2000,1,1),Table13[[#This Row],[Order_Date]]&gt;TODAY()),"YES","NO")</f>
        <v>NO</v>
      </c>
      <c r="Q688" s="9">
        <f>IF(Table13[[#This Row],[Order_Status]] = "Cancelled",0,IF(Table13[[#This Row],[Order_Status]] = "Returned",Table13[[#This Row],[Net_Sales]] * -1,Table13[[#This Row],[Net_Sales]]))</f>
        <v>-55.691999999999993</v>
      </c>
      <c r="R688" s="9" t="str">
        <f>IF(Table13[[#This Row],[Gross_Sales]]&gt;=500, "YES","NO")</f>
        <v>NO</v>
      </c>
    </row>
    <row r="689" spans="1:18" x14ac:dyDescent="0.3">
      <c r="A689">
        <v>100684</v>
      </c>
      <c r="B689" s="8">
        <v>45320.458333333343</v>
      </c>
      <c r="C689" t="s">
        <v>15</v>
      </c>
      <c r="D689" t="s">
        <v>64</v>
      </c>
      <c r="E689" t="s">
        <v>70</v>
      </c>
      <c r="F689" t="s">
        <v>72</v>
      </c>
      <c r="G689">
        <v>2</v>
      </c>
      <c r="H689">
        <v>100.79</v>
      </c>
      <c r="I689">
        <v>10</v>
      </c>
      <c r="J689" t="s">
        <v>76</v>
      </c>
      <c r="K689" t="s">
        <v>77</v>
      </c>
      <c r="L689">
        <v>201.58</v>
      </c>
      <c r="M689">
        <v>20.158000000000001</v>
      </c>
      <c r="N689">
        <v>181.422</v>
      </c>
      <c r="O6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89" s="9" t="str">
        <f ca="1">IF(OR(ISNUMBER(Table13[[#This Row],[Order_Date]])=FALSE,Table13[[#This Row],[Order_Date]]&lt;DATE(2000,1,1),Table13[[#This Row],[Order_Date]]&gt;TODAY()),"YES","NO")</f>
        <v>NO</v>
      </c>
      <c r="Q689" s="9">
        <f>IF(Table13[[#This Row],[Order_Status]] = "Cancelled",0,IF(Table13[[#This Row],[Order_Status]] = "Returned",Table13[[#This Row],[Net_Sales]] * -1,Table13[[#This Row],[Net_Sales]]))</f>
        <v>181.422</v>
      </c>
      <c r="R689" s="9" t="str">
        <f>IF(Table13[[#This Row],[Gross_Sales]]&gt;=500, "YES","NO")</f>
        <v>NO</v>
      </c>
    </row>
    <row r="690" spans="1:18" x14ac:dyDescent="0.3">
      <c r="A690">
        <v>100685</v>
      </c>
      <c r="B690" s="8">
        <v>45320.5</v>
      </c>
      <c r="C690" t="s">
        <v>14</v>
      </c>
      <c r="D690" t="s">
        <v>45</v>
      </c>
      <c r="E690" t="s">
        <v>67</v>
      </c>
      <c r="F690" t="s">
        <v>71</v>
      </c>
      <c r="G690">
        <v>4</v>
      </c>
      <c r="H690">
        <v>67.13</v>
      </c>
      <c r="I690">
        <v>5</v>
      </c>
      <c r="J690" t="s">
        <v>75</v>
      </c>
      <c r="K690" t="s">
        <v>79</v>
      </c>
      <c r="L690">
        <v>268.52</v>
      </c>
      <c r="M690">
        <v>13.426</v>
      </c>
      <c r="N690">
        <v>255.09399999999999</v>
      </c>
      <c r="O6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690" s="9" t="str">
        <f ca="1">IF(OR(ISNUMBER(Table13[[#This Row],[Order_Date]])=FALSE,Table13[[#This Row],[Order_Date]]&lt;DATE(2000,1,1),Table13[[#This Row],[Order_Date]]&gt;TODAY()),"YES","NO")</f>
        <v>NO</v>
      </c>
      <c r="Q690" s="9">
        <f>IF(Table13[[#This Row],[Order_Status]] = "Cancelled",0,IF(Table13[[#This Row],[Order_Status]] = "Returned",Table13[[#This Row],[Net_Sales]] * -1,Table13[[#This Row],[Net_Sales]]))</f>
        <v>0</v>
      </c>
      <c r="R690" s="9" t="str">
        <f>IF(Table13[[#This Row],[Gross_Sales]]&gt;=500, "YES","NO")</f>
        <v>NO</v>
      </c>
    </row>
    <row r="691" spans="1:18" x14ac:dyDescent="0.3">
      <c r="A691">
        <v>100686</v>
      </c>
      <c r="B691" s="8">
        <v>45320.541666666657</v>
      </c>
      <c r="C691" t="s">
        <v>15</v>
      </c>
      <c r="D691" t="s">
        <v>47</v>
      </c>
      <c r="E691" t="s">
        <v>70</v>
      </c>
      <c r="F691" t="s">
        <v>72</v>
      </c>
      <c r="G691">
        <v>4</v>
      </c>
      <c r="H691">
        <v>102.14</v>
      </c>
      <c r="I691">
        <v>10</v>
      </c>
      <c r="J691" t="s">
        <v>75</v>
      </c>
      <c r="K691" t="s">
        <v>77</v>
      </c>
      <c r="L691">
        <v>408.56</v>
      </c>
      <c r="M691">
        <v>40.856000000000002</v>
      </c>
      <c r="N691">
        <v>367.70400000000001</v>
      </c>
      <c r="O6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1" s="9" t="str">
        <f ca="1">IF(OR(ISNUMBER(Table13[[#This Row],[Order_Date]])=FALSE,Table13[[#This Row],[Order_Date]]&lt;DATE(2000,1,1),Table13[[#This Row],[Order_Date]]&gt;TODAY()),"YES","NO")</f>
        <v>NO</v>
      </c>
      <c r="Q691" s="9">
        <f>IF(Table13[[#This Row],[Order_Status]] = "Cancelled",0,IF(Table13[[#This Row],[Order_Status]] = "Returned",Table13[[#This Row],[Net_Sales]] * -1,Table13[[#This Row],[Net_Sales]]))</f>
        <v>367.70400000000001</v>
      </c>
      <c r="R691" s="9" t="str">
        <f>IF(Table13[[#This Row],[Gross_Sales]]&gt;=500, "YES","NO")</f>
        <v>NO</v>
      </c>
    </row>
    <row r="692" spans="1:18" x14ac:dyDescent="0.3">
      <c r="A692">
        <v>100687</v>
      </c>
      <c r="B692" s="8">
        <v>45320.583333333343</v>
      </c>
      <c r="C692" t="s">
        <v>15</v>
      </c>
      <c r="D692" t="s">
        <v>44</v>
      </c>
      <c r="E692" t="s">
        <v>67</v>
      </c>
      <c r="F692" t="s">
        <v>71</v>
      </c>
      <c r="G692">
        <v>2</v>
      </c>
      <c r="H692">
        <v>54.6</v>
      </c>
      <c r="I692">
        <v>5</v>
      </c>
      <c r="J692" t="s">
        <v>73</v>
      </c>
      <c r="K692" t="s">
        <v>77</v>
      </c>
      <c r="L692">
        <v>109.2</v>
      </c>
      <c r="M692">
        <v>5.4600000000000009</v>
      </c>
      <c r="N692">
        <v>103.74</v>
      </c>
      <c r="O6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2" s="9" t="str">
        <f ca="1">IF(OR(ISNUMBER(Table13[[#This Row],[Order_Date]])=FALSE,Table13[[#This Row],[Order_Date]]&lt;DATE(2000,1,1),Table13[[#This Row],[Order_Date]]&gt;TODAY()),"YES","NO")</f>
        <v>NO</v>
      </c>
      <c r="Q692" s="9">
        <f>IF(Table13[[#This Row],[Order_Status]] = "Cancelled",0,IF(Table13[[#This Row],[Order_Status]] = "Returned",Table13[[#This Row],[Net_Sales]] * -1,Table13[[#This Row],[Net_Sales]]))</f>
        <v>103.74</v>
      </c>
      <c r="R692" s="9" t="str">
        <f>IF(Table13[[#This Row],[Gross_Sales]]&gt;=500, "YES","NO")</f>
        <v>NO</v>
      </c>
    </row>
    <row r="693" spans="1:18" x14ac:dyDescent="0.3">
      <c r="A693">
        <v>100688</v>
      </c>
      <c r="B693" s="8">
        <v>45320.625</v>
      </c>
      <c r="C693" t="s">
        <v>14</v>
      </c>
      <c r="D693" t="s">
        <v>16</v>
      </c>
      <c r="E693" t="s">
        <v>66</v>
      </c>
      <c r="F693" t="s">
        <v>71</v>
      </c>
      <c r="G693">
        <v>1</v>
      </c>
      <c r="H693">
        <v>48.59</v>
      </c>
      <c r="I693">
        <v>0</v>
      </c>
      <c r="J693" t="s">
        <v>75</v>
      </c>
      <c r="K693" t="s">
        <v>77</v>
      </c>
      <c r="L693">
        <v>48.59</v>
      </c>
      <c r="M693">
        <v>0</v>
      </c>
      <c r="N693">
        <v>48.59</v>
      </c>
      <c r="O6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3" s="9" t="str">
        <f ca="1">IF(OR(ISNUMBER(Table13[[#This Row],[Order_Date]])=FALSE,Table13[[#This Row],[Order_Date]]&lt;DATE(2000,1,1),Table13[[#This Row],[Order_Date]]&gt;TODAY()),"YES","NO")</f>
        <v>NO</v>
      </c>
      <c r="Q693" s="9">
        <f>IF(Table13[[#This Row],[Order_Status]] = "Cancelled",0,IF(Table13[[#This Row],[Order_Status]] = "Returned",Table13[[#This Row],[Net_Sales]] * -1,Table13[[#This Row],[Net_Sales]]))</f>
        <v>48.59</v>
      </c>
      <c r="R693" s="9" t="str">
        <f>IF(Table13[[#This Row],[Gross_Sales]]&gt;=500, "YES","NO")</f>
        <v>NO</v>
      </c>
    </row>
    <row r="694" spans="1:18" x14ac:dyDescent="0.3">
      <c r="A694">
        <v>100689</v>
      </c>
      <c r="B694" s="8">
        <v>45320.666666666657</v>
      </c>
      <c r="C694" t="s">
        <v>14</v>
      </c>
      <c r="D694" t="s">
        <v>50</v>
      </c>
      <c r="E694" t="s">
        <v>67</v>
      </c>
      <c r="F694" t="s">
        <v>72</v>
      </c>
      <c r="G694">
        <v>3</v>
      </c>
      <c r="H694">
        <v>110.23</v>
      </c>
      <c r="I694">
        <v>0</v>
      </c>
      <c r="J694" t="s">
        <v>73</v>
      </c>
      <c r="K694" t="s">
        <v>77</v>
      </c>
      <c r="L694">
        <v>330.69</v>
      </c>
      <c r="M694">
        <v>0</v>
      </c>
      <c r="N694">
        <v>330.69</v>
      </c>
      <c r="O6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4" s="9" t="str">
        <f ca="1">IF(OR(ISNUMBER(Table13[[#This Row],[Order_Date]])=FALSE,Table13[[#This Row],[Order_Date]]&lt;DATE(2000,1,1),Table13[[#This Row],[Order_Date]]&gt;TODAY()),"YES","NO")</f>
        <v>NO</v>
      </c>
      <c r="Q694" s="9">
        <f>IF(Table13[[#This Row],[Order_Status]] = "Cancelled",0,IF(Table13[[#This Row],[Order_Status]] = "Returned",Table13[[#This Row],[Net_Sales]] * -1,Table13[[#This Row],[Net_Sales]]))</f>
        <v>330.69</v>
      </c>
      <c r="R694" s="9" t="str">
        <f>IF(Table13[[#This Row],[Gross_Sales]]&gt;=500, "YES","NO")</f>
        <v>NO</v>
      </c>
    </row>
    <row r="695" spans="1:18" x14ac:dyDescent="0.3">
      <c r="A695">
        <v>100690</v>
      </c>
      <c r="B695" s="8">
        <v>45320.708333333343</v>
      </c>
      <c r="C695" t="s">
        <v>15</v>
      </c>
      <c r="D695" t="s">
        <v>30</v>
      </c>
      <c r="E695" t="s">
        <v>69</v>
      </c>
      <c r="F695" t="s">
        <v>72</v>
      </c>
      <c r="G695">
        <v>3</v>
      </c>
      <c r="H695">
        <v>33.880000000000003</v>
      </c>
      <c r="I695">
        <v>15</v>
      </c>
      <c r="J695" t="s">
        <v>76</v>
      </c>
      <c r="K695" t="s">
        <v>77</v>
      </c>
      <c r="L695">
        <v>101.64</v>
      </c>
      <c r="M695">
        <v>15.246</v>
      </c>
      <c r="N695">
        <v>86.394000000000005</v>
      </c>
      <c r="O6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5" s="9" t="str">
        <f ca="1">IF(OR(ISNUMBER(Table13[[#This Row],[Order_Date]])=FALSE,Table13[[#This Row],[Order_Date]]&lt;DATE(2000,1,1),Table13[[#This Row],[Order_Date]]&gt;TODAY()),"YES","NO")</f>
        <v>NO</v>
      </c>
      <c r="Q695" s="9">
        <f>IF(Table13[[#This Row],[Order_Status]] = "Cancelled",0,IF(Table13[[#This Row],[Order_Status]] = "Returned",Table13[[#This Row],[Net_Sales]] * -1,Table13[[#This Row],[Net_Sales]]))</f>
        <v>86.394000000000005</v>
      </c>
      <c r="R695" s="9" t="str">
        <f>IF(Table13[[#This Row],[Gross_Sales]]&gt;=500, "YES","NO")</f>
        <v>NO</v>
      </c>
    </row>
    <row r="696" spans="1:18" x14ac:dyDescent="0.3">
      <c r="A696">
        <v>100691</v>
      </c>
      <c r="B696" s="8">
        <v>45320.75</v>
      </c>
      <c r="C696" t="s">
        <v>15</v>
      </c>
      <c r="D696" t="s">
        <v>47</v>
      </c>
      <c r="E696" t="s">
        <v>67</v>
      </c>
      <c r="F696" t="s">
        <v>72</v>
      </c>
      <c r="G696">
        <v>4</v>
      </c>
      <c r="H696">
        <v>102.08</v>
      </c>
      <c r="I696">
        <v>5</v>
      </c>
      <c r="J696" t="s">
        <v>75</v>
      </c>
      <c r="K696" t="s">
        <v>77</v>
      </c>
      <c r="L696">
        <v>408.32</v>
      </c>
      <c r="M696">
        <v>20.416</v>
      </c>
      <c r="N696">
        <v>387.904</v>
      </c>
      <c r="O6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6" s="9" t="str">
        <f ca="1">IF(OR(ISNUMBER(Table13[[#This Row],[Order_Date]])=FALSE,Table13[[#This Row],[Order_Date]]&lt;DATE(2000,1,1),Table13[[#This Row],[Order_Date]]&gt;TODAY()),"YES","NO")</f>
        <v>NO</v>
      </c>
      <c r="Q696" s="9">
        <f>IF(Table13[[#This Row],[Order_Status]] = "Cancelled",0,IF(Table13[[#This Row],[Order_Status]] = "Returned",Table13[[#This Row],[Net_Sales]] * -1,Table13[[#This Row],[Net_Sales]]))</f>
        <v>387.904</v>
      </c>
      <c r="R696" s="9" t="str">
        <f>IF(Table13[[#This Row],[Gross_Sales]]&gt;=500, "YES","NO")</f>
        <v>NO</v>
      </c>
    </row>
    <row r="697" spans="1:18" x14ac:dyDescent="0.3">
      <c r="A697">
        <v>100692</v>
      </c>
      <c r="B697" s="8">
        <v>45320.791666666657</v>
      </c>
      <c r="C697" t="s">
        <v>15</v>
      </c>
      <c r="D697" t="s">
        <v>57</v>
      </c>
      <c r="E697" t="s">
        <v>66</v>
      </c>
      <c r="F697" t="s">
        <v>71</v>
      </c>
      <c r="G697">
        <v>3</v>
      </c>
      <c r="H697">
        <v>60.66</v>
      </c>
      <c r="I697">
        <v>0</v>
      </c>
      <c r="J697" t="s">
        <v>75</v>
      </c>
      <c r="K697" t="s">
        <v>77</v>
      </c>
      <c r="L697">
        <v>181.98</v>
      </c>
      <c r="M697">
        <v>0</v>
      </c>
      <c r="N697">
        <v>181.98</v>
      </c>
      <c r="O6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7" s="9" t="str">
        <f ca="1">IF(OR(ISNUMBER(Table13[[#This Row],[Order_Date]])=FALSE,Table13[[#This Row],[Order_Date]]&lt;DATE(2000,1,1),Table13[[#This Row],[Order_Date]]&gt;TODAY()),"YES","NO")</f>
        <v>NO</v>
      </c>
      <c r="Q697" s="9">
        <f>IF(Table13[[#This Row],[Order_Status]] = "Cancelled",0,IF(Table13[[#This Row],[Order_Status]] = "Returned",Table13[[#This Row],[Net_Sales]] * -1,Table13[[#This Row],[Net_Sales]]))</f>
        <v>181.98</v>
      </c>
      <c r="R697" s="9" t="str">
        <f>IF(Table13[[#This Row],[Gross_Sales]]&gt;=500, "YES","NO")</f>
        <v>NO</v>
      </c>
    </row>
    <row r="698" spans="1:18" x14ac:dyDescent="0.3">
      <c r="A698">
        <v>100693</v>
      </c>
      <c r="B698" s="8">
        <v>45320.833333333343</v>
      </c>
      <c r="C698" t="s">
        <v>14</v>
      </c>
      <c r="D698" t="s">
        <v>49</v>
      </c>
      <c r="E698" t="s">
        <v>69</v>
      </c>
      <c r="F698" t="s">
        <v>72</v>
      </c>
      <c r="G698">
        <v>2</v>
      </c>
      <c r="H698">
        <v>64.12</v>
      </c>
      <c r="I698">
        <v>5</v>
      </c>
      <c r="J698" t="s">
        <v>74</v>
      </c>
      <c r="K698" t="s">
        <v>77</v>
      </c>
      <c r="L698">
        <v>128.24</v>
      </c>
      <c r="M698">
        <v>6.4120000000000008</v>
      </c>
      <c r="N698">
        <v>121.828</v>
      </c>
      <c r="O6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8" s="9" t="str">
        <f ca="1">IF(OR(ISNUMBER(Table13[[#This Row],[Order_Date]])=FALSE,Table13[[#This Row],[Order_Date]]&lt;DATE(2000,1,1),Table13[[#This Row],[Order_Date]]&gt;TODAY()),"YES","NO")</f>
        <v>NO</v>
      </c>
      <c r="Q698" s="9">
        <f>IF(Table13[[#This Row],[Order_Status]] = "Cancelled",0,IF(Table13[[#This Row],[Order_Status]] = "Returned",Table13[[#This Row],[Net_Sales]] * -1,Table13[[#This Row],[Net_Sales]]))</f>
        <v>121.828</v>
      </c>
      <c r="R698" s="9" t="str">
        <f>IF(Table13[[#This Row],[Gross_Sales]]&gt;=500, "YES","NO")</f>
        <v>NO</v>
      </c>
    </row>
    <row r="699" spans="1:18" x14ac:dyDescent="0.3">
      <c r="A699">
        <v>100694</v>
      </c>
      <c r="B699" s="8">
        <v>45320.875</v>
      </c>
      <c r="C699" t="s">
        <v>15</v>
      </c>
      <c r="D699" t="s">
        <v>61</v>
      </c>
      <c r="E699" t="s">
        <v>68</v>
      </c>
      <c r="F699" t="s">
        <v>71</v>
      </c>
      <c r="G699">
        <v>1</v>
      </c>
      <c r="H699">
        <v>40.47</v>
      </c>
      <c r="I699">
        <v>0</v>
      </c>
      <c r="J699" t="s">
        <v>76</v>
      </c>
      <c r="K699" t="s">
        <v>77</v>
      </c>
      <c r="L699">
        <v>40.47</v>
      </c>
      <c r="M699">
        <v>0</v>
      </c>
      <c r="N699">
        <v>40.47</v>
      </c>
      <c r="O6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699" s="9" t="str">
        <f ca="1">IF(OR(ISNUMBER(Table13[[#This Row],[Order_Date]])=FALSE,Table13[[#This Row],[Order_Date]]&lt;DATE(2000,1,1),Table13[[#This Row],[Order_Date]]&gt;TODAY()),"YES","NO")</f>
        <v>NO</v>
      </c>
      <c r="Q699" s="9">
        <f>IF(Table13[[#This Row],[Order_Status]] = "Cancelled",0,IF(Table13[[#This Row],[Order_Status]] = "Returned",Table13[[#This Row],[Net_Sales]] * -1,Table13[[#This Row],[Net_Sales]]))</f>
        <v>40.47</v>
      </c>
      <c r="R699" s="9" t="str">
        <f>IF(Table13[[#This Row],[Gross_Sales]]&gt;=500, "YES","NO")</f>
        <v>NO</v>
      </c>
    </row>
    <row r="700" spans="1:18" x14ac:dyDescent="0.3">
      <c r="A700">
        <v>100695</v>
      </c>
      <c r="B700" s="8">
        <v>45320.916666666657</v>
      </c>
      <c r="C700" t="s">
        <v>15</v>
      </c>
      <c r="D700" t="s">
        <v>42</v>
      </c>
      <c r="E700" t="s">
        <v>68</v>
      </c>
      <c r="F700" t="s">
        <v>72</v>
      </c>
      <c r="G700">
        <v>2</v>
      </c>
      <c r="H700">
        <v>70.900000000000006</v>
      </c>
      <c r="I700">
        <v>10</v>
      </c>
      <c r="J700" t="s">
        <v>76</v>
      </c>
      <c r="K700" t="s">
        <v>77</v>
      </c>
      <c r="L700">
        <v>141.80000000000001</v>
      </c>
      <c r="M700">
        <v>14.18</v>
      </c>
      <c r="N700">
        <v>127.62</v>
      </c>
      <c r="O7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0" s="9" t="str">
        <f ca="1">IF(OR(ISNUMBER(Table13[[#This Row],[Order_Date]])=FALSE,Table13[[#This Row],[Order_Date]]&lt;DATE(2000,1,1),Table13[[#This Row],[Order_Date]]&gt;TODAY()),"YES","NO")</f>
        <v>NO</v>
      </c>
      <c r="Q700" s="9">
        <f>IF(Table13[[#This Row],[Order_Status]] = "Cancelled",0,IF(Table13[[#This Row],[Order_Status]] = "Returned",Table13[[#This Row],[Net_Sales]] * -1,Table13[[#This Row],[Net_Sales]]))</f>
        <v>127.62</v>
      </c>
      <c r="R700" s="9" t="str">
        <f>IF(Table13[[#This Row],[Gross_Sales]]&gt;=500, "YES","NO")</f>
        <v>NO</v>
      </c>
    </row>
    <row r="701" spans="1:18" x14ac:dyDescent="0.3">
      <c r="A701">
        <v>100696</v>
      </c>
      <c r="B701" s="8">
        <v>45320.958333333343</v>
      </c>
      <c r="C701" t="s">
        <v>15</v>
      </c>
      <c r="D701" t="s">
        <v>40</v>
      </c>
      <c r="E701" t="s">
        <v>67</v>
      </c>
      <c r="F701" t="s">
        <v>72</v>
      </c>
      <c r="G701">
        <v>5</v>
      </c>
      <c r="H701">
        <v>42.4</v>
      </c>
      <c r="I701">
        <v>0</v>
      </c>
      <c r="J701" t="s">
        <v>74</v>
      </c>
      <c r="K701" t="s">
        <v>77</v>
      </c>
      <c r="L701">
        <v>212</v>
      </c>
      <c r="M701">
        <v>0</v>
      </c>
      <c r="N701">
        <v>212</v>
      </c>
      <c r="O7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1" s="9" t="str">
        <f ca="1">IF(OR(ISNUMBER(Table13[[#This Row],[Order_Date]])=FALSE,Table13[[#This Row],[Order_Date]]&lt;DATE(2000,1,1),Table13[[#This Row],[Order_Date]]&gt;TODAY()),"YES","NO")</f>
        <v>NO</v>
      </c>
      <c r="Q701" s="9">
        <f>IF(Table13[[#This Row],[Order_Status]] = "Cancelled",0,IF(Table13[[#This Row],[Order_Status]] = "Returned",Table13[[#This Row],[Net_Sales]] * -1,Table13[[#This Row],[Net_Sales]]))</f>
        <v>212</v>
      </c>
      <c r="R701" s="9" t="str">
        <f>IF(Table13[[#This Row],[Gross_Sales]]&gt;=500, "YES","NO")</f>
        <v>NO</v>
      </c>
    </row>
    <row r="702" spans="1:18" x14ac:dyDescent="0.3">
      <c r="A702">
        <v>100697</v>
      </c>
      <c r="B702" s="8">
        <v>45321</v>
      </c>
      <c r="C702" t="s">
        <v>14</v>
      </c>
      <c r="D702" t="s">
        <v>43</v>
      </c>
      <c r="E702" t="s">
        <v>67</v>
      </c>
      <c r="F702" t="s">
        <v>71</v>
      </c>
      <c r="G702">
        <v>4</v>
      </c>
      <c r="H702">
        <v>9.52</v>
      </c>
      <c r="I702">
        <v>15</v>
      </c>
      <c r="J702" t="s">
        <v>74</v>
      </c>
      <c r="K702" t="s">
        <v>77</v>
      </c>
      <c r="L702">
        <v>38.08</v>
      </c>
      <c r="M702">
        <v>5.7119999999999997</v>
      </c>
      <c r="N702">
        <v>32.367999999999988</v>
      </c>
      <c r="O7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2" s="9" t="str">
        <f ca="1">IF(OR(ISNUMBER(Table13[[#This Row],[Order_Date]])=FALSE,Table13[[#This Row],[Order_Date]]&lt;DATE(2000,1,1),Table13[[#This Row],[Order_Date]]&gt;TODAY()),"YES","NO")</f>
        <v>NO</v>
      </c>
      <c r="Q702" s="9">
        <f>IF(Table13[[#This Row],[Order_Status]] = "Cancelled",0,IF(Table13[[#This Row],[Order_Status]] = "Returned",Table13[[#This Row],[Net_Sales]] * -1,Table13[[#This Row],[Net_Sales]]))</f>
        <v>32.367999999999988</v>
      </c>
      <c r="R702" s="9" t="str">
        <f>IF(Table13[[#This Row],[Gross_Sales]]&gt;=500, "YES","NO")</f>
        <v>NO</v>
      </c>
    </row>
    <row r="703" spans="1:18" x14ac:dyDescent="0.3">
      <c r="A703">
        <v>100698</v>
      </c>
      <c r="B703" s="8">
        <v>45321.041666666657</v>
      </c>
      <c r="C703" t="s">
        <v>15</v>
      </c>
      <c r="D703" t="s">
        <v>46</v>
      </c>
      <c r="E703" t="s">
        <v>66</v>
      </c>
      <c r="F703" t="s">
        <v>71</v>
      </c>
      <c r="G703">
        <v>3</v>
      </c>
      <c r="H703">
        <v>36.28</v>
      </c>
      <c r="I703">
        <v>10</v>
      </c>
      <c r="J703" t="s">
        <v>73</v>
      </c>
      <c r="K703" t="s">
        <v>78</v>
      </c>
      <c r="L703">
        <v>108.84</v>
      </c>
      <c r="M703">
        <v>10.884</v>
      </c>
      <c r="N703">
        <v>97.956000000000003</v>
      </c>
      <c r="O7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03" s="9" t="str">
        <f ca="1">IF(OR(ISNUMBER(Table13[[#This Row],[Order_Date]])=FALSE,Table13[[#This Row],[Order_Date]]&lt;DATE(2000,1,1),Table13[[#This Row],[Order_Date]]&gt;TODAY()),"YES","NO")</f>
        <v>NO</v>
      </c>
      <c r="Q703" s="9">
        <f>IF(Table13[[#This Row],[Order_Status]] = "Cancelled",0,IF(Table13[[#This Row],[Order_Status]] = "Returned",Table13[[#This Row],[Net_Sales]] * -1,Table13[[#This Row],[Net_Sales]]))</f>
        <v>-97.956000000000003</v>
      </c>
      <c r="R703" s="9" t="str">
        <f>IF(Table13[[#This Row],[Gross_Sales]]&gt;=500, "YES","NO")</f>
        <v>NO</v>
      </c>
    </row>
    <row r="704" spans="1:18" x14ac:dyDescent="0.3">
      <c r="A704">
        <v>100699</v>
      </c>
      <c r="B704" s="8">
        <v>45321.083333333343</v>
      </c>
      <c r="C704" t="s">
        <v>15</v>
      </c>
      <c r="D704" t="s">
        <v>26</v>
      </c>
      <c r="E704" t="s">
        <v>66</v>
      </c>
      <c r="F704" t="s">
        <v>71</v>
      </c>
      <c r="G704">
        <v>5</v>
      </c>
      <c r="H704">
        <v>5.73</v>
      </c>
      <c r="I704">
        <v>15</v>
      </c>
      <c r="J704" t="s">
        <v>73</v>
      </c>
      <c r="K704" t="s">
        <v>77</v>
      </c>
      <c r="L704">
        <v>28.65</v>
      </c>
      <c r="M704">
        <v>4.2975000000000003</v>
      </c>
      <c r="N704">
        <v>24.352499999999999</v>
      </c>
      <c r="O7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4" s="9" t="str">
        <f ca="1">IF(OR(ISNUMBER(Table13[[#This Row],[Order_Date]])=FALSE,Table13[[#This Row],[Order_Date]]&lt;DATE(2000,1,1),Table13[[#This Row],[Order_Date]]&gt;TODAY()),"YES","NO")</f>
        <v>NO</v>
      </c>
      <c r="Q704" s="9">
        <f>IF(Table13[[#This Row],[Order_Status]] = "Cancelled",0,IF(Table13[[#This Row],[Order_Status]] = "Returned",Table13[[#This Row],[Net_Sales]] * -1,Table13[[#This Row],[Net_Sales]]))</f>
        <v>24.352499999999999</v>
      </c>
      <c r="R704" s="9" t="str">
        <f>IF(Table13[[#This Row],[Gross_Sales]]&gt;=500, "YES","NO")</f>
        <v>NO</v>
      </c>
    </row>
    <row r="705" spans="1:18" x14ac:dyDescent="0.3">
      <c r="A705">
        <v>100700</v>
      </c>
      <c r="B705" s="8">
        <v>45321.125</v>
      </c>
      <c r="C705" t="s">
        <v>14</v>
      </c>
      <c r="D705" t="s">
        <v>43</v>
      </c>
      <c r="E705" t="s">
        <v>70</v>
      </c>
      <c r="F705" t="s">
        <v>71</v>
      </c>
      <c r="G705">
        <v>3</v>
      </c>
      <c r="H705">
        <v>117.51</v>
      </c>
      <c r="I705">
        <v>10</v>
      </c>
      <c r="J705" t="s">
        <v>75</v>
      </c>
      <c r="K705" t="s">
        <v>77</v>
      </c>
      <c r="L705">
        <v>352.53</v>
      </c>
      <c r="M705">
        <v>35.253000000000007</v>
      </c>
      <c r="N705">
        <v>317.27699999999999</v>
      </c>
      <c r="O7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5" s="9" t="str">
        <f ca="1">IF(OR(ISNUMBER(Table13[[#This Row],[Order_Date]])=FALSE,Table13[[#This Row],[Order_Date]]&lt;DATE(2000,1,1),Table13[[#This Row],[Order_Date]]&gt;TODAY()),"YES","NO")</f>
        <v>NO</v>
      </c>
      <c r="Q705" s="9">
        <f>IF(Table13[[#This Row],[Order_Status]] = "Cancelled",0,IF(Table13[[#This Row],[Order_Status]] = "Returned",Table13[[#This Row],[Net_Sales]] * -1,Table13[[#This Row],[Net_Sales]]))</f>
        <v>317.27699999999999</v>
      </c>
      <c r="R705" s="9" t="str">
        <f>IF(Table13[[#This Row],[Gross_Sales]]&gt;=500, "YES","NO")</f>
        <v>NO</v>
      </c>
    </row>
    <row r="706" spans="1:18" x14ac:dyDescent="0.3">
      <c r="A706">
        <v>100701</v>
      </c>
      <c r="B706" s="8">
        <v>45321.166666666657</v>
      </c>
      <c r="C706" t="s">
        <v>15</v>
      </c>
      <c r="D706" t="s">
        <v>54</v>
      </c>
      <c r="E706" t="s">
        <v>66</v>
      </c>
      <c r="F706" t="s">
        <v>71</v>
      </c>
      <c r="G706">
        <v>1</v>
      </c>
      <c r="H706">
        <v>116.06</v>
      </c>
      <c r="I706">
        <v>5</v>
      </c>
      <c r="J706" t="s">
        <v>75</v>
      </c>
      <c r="K706" t="s">
        <v>77</v>
      </c>
      <c r="L706">
        <v>116.06</v>
      </c>
      <c r="M706">
        <v>5.8030000000000008</v>
      </c>
      <c r="N706">
        <v>110.25700000000001</v>
      </c>
      <c r="O7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6" s="9" t="str">
        <f ca="1">IF(OR(ISNUMBER(Table13[[#This Row],[Order_Date]])=FALSE,Table13[[#This Row],[Order_Date]]&lt;DATE(2000,1,1),Table13[[#This Row],[Order_Date]]&gt;TODAY()),"YES","NO")</f>
        <v>NO</v>
      </c>
      <c r="Q706" s="9">
        <f>IF(Table13[[#This Row],[Order_Status]] = "Cancelled",0,IF(Table13[[#This Row],[Order_Status]] = "Returned",Table13[[#This Row],[Net_Sales]] * -1,Table13[[#This Row],[Net_Sales]]))</f>
        <v>110.25700000000001</v>
      </c>
      <c r="R706" s="9" t="str">
        <f>IF(Table13[[#This Row],[Gross_Sales]]&gt;=500, "YES","NO")</f>
        <v>NO</v>
      </c>
    </row>
    <row r="707" spans="1:18" x14ac:dyDescent="0.3">
      <c r="A707">
        <v>100702</v>
      </c>
      <c r="B707" s="8">
        <v>45321.208333333343</v>
      </c>
      <c r="C707" t="s">
        <v>15</v>
      </c>
      <c r="D707" t="s">
        <v>44</v>
      </c>
      <c r="E707" t="s">
        <v>70</v>
      </c>
      <c r="F707" t="s">
        <v>71</v>
      </c>
      <c r="G707">
        <v>1</v>
      </c>
      <c r="H707">
        <v>50.44</v>
      </c>
      <c r="I707">
        <v>15</v>
      </c>
      <c r="J707" t="s">
        <v>75</v>
      </c>
      <c r="K707" t="s">
        <v>77</v>
      </c>
      <c r="L707">
        <v>50.44</v>
      </c>
      <c r="M707">
        <v>7.5659999999999989</v>
      </c>
      <c r="N707">
        <v>42.874000000000002</v>
      </c>
      <c r="O7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7" s="9" t="str">
        <f ca="1">IF(OR(ISNUMBER(Table13[[#This Row],[Order_Date]])=FALSE,Table13[[#This Row],[Order_Date]]&lt;DATE(2000,1,1),Table13[[#This Row],[Order_Date]]&gt;TODAY()),"YES","NO")</f>
        <v>NO</v>
      </c>
      <c r="Q707" s="9">
        <f>IF(Table13[[#This Row],[Order_Status]] = "Cancelled",0,IF(Table13[[#This Row],[Order_Status]] = "Returned",Table13[[#This Row],[Net_Sales]] * -1,Table13[[#This Row],[Net_Sales]]))</f>
        <v>42.874000000000002</v>
      </c>
      <c r="R707" s="9" t="str">
        <f>IF(Table13[[#This Row],[Gross_Sales]]&gt;=500, "YES","NO")</f>
        <v>NO</v>
      </c>
    </row>
    <row r="708" spans="1:18" x14ac:dyDescent="0.3">
      <c r="A708">
        <v>100703</v>
      </c>
      <c r="B708" s="8">
        <v>45321.25</v>
      </c>
      <c r="C708" t="s">
        <v>14</v>
      </c>
      <c r="D708" t="s">
        <v>57</v>
      </c>
      <c r="E708" t="s">
        <v>69</v>
      </c>
      <c r="F708" t="s">
        <v>72</v>
      </c>
      <c r="G708">
        <v>1</v>
      </c>
      <c r="H708">
        <v>88.76</v>
      </c>
      <c r="I708">
        <v>0</v>
      </c>
      <c r="J708" t="s">
        <v>75</v>
      </c>
      <c r="K708" t="s">
        <v>79</v>
      </c>
      <c r="L708">
        <v>88.76</v>
      </c>
      <c r="M708">
        <v>0</v>
      </c>
      <c r="N708">
        <v>88.76</v>
      </c>
      <c r="O7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08" s="9" t="str">
        <f ca="1">IF(OR(ISNUMBER(Table13[[#This Row],[Order_Date]])=FALSE,Table13[[#This Row],[Order_Date]]&lt;DATE(2000,1,1),Table13[[#This Row],[Order_Date]]&gt;TODAY()),"YES","NO")</f>
        <v>NO</v>
      </c>
      <c r="Q708" s="9">
        <f>IF(Table13[[#This Row],[Order_Status]] = "Cancelled",0,IF(Table13[[#This Row],[Order_Status]] = "Returned",Table13[[#This Row],[Net_Sales]] * -1,Table13[[#This Row],[Net_Sales]]))</f>
        <v>0</v>
      </c>
      <c r="R708" s="9" t="str">
        <f>IF(Table13[[#This Row],[Gross_Sales]]&gt;=500, "YES","NO")</f>
        <v>NO</v>
      </c>
    </row>
    <row r="709" spans="1:18" x14ac:dyDescent="0.3">
      <c r="A709">
        <v>100704</v>
      </c>
      <c r="B709" s="8">
        <v>45321.291666666657</v>
      </c>
      <c r="C709" t="s">
        <v>15</v>
      </c>
      <c r="D709" t="s">
        <v>35</v>
      </c>
      <c r="E709" t="s">
        <v>67</v>
      </c>
      <c r="F709" t="s">
        <v>72</v>
      </c>
      <c r="G709">
        <v>3</v>
      </c>
      <c r="H709">
        <v>44.77</v>
      </c>
      <c r="I709">
        <v>5</v>
      </c>
      <c r="J709" t="s">
        <v>73</v>
      </c>
      <c r="K709" t="s">
        <v>77</v>
      </c>
      <c r="L709">
        <v>134.31</v>
      </c>
      <c r="M709">
        <v>6.7154999999999996</v>
      </c>
      <c r="N709">
        <v>127.5945</v>
      </c>
      <c r="O7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09" s="9" t="str">
        <f ca="1">IF(OR(ISNUMBER(Table13[[#This Row],[Order_Date]])=FALSE,Table13[[#This Row],[Order_Date]]&lt;DATE(2000,1,1),Table13[[#This Row],[Order_Date]]&gt;TODAY()),"YES","NO")</f>
        <v>NO</v>
      </c>
      <c r="Q709" s="9">
        <f>IF(Table13[[#This Row],[Order_Status]] = "Cancelled",0,IF(Table13[[#This Row],[Order_Status]] = "Returned",Table13[[#This Row],[Net_Sales]] * -1,Table13[[#This Row],[Net_Sales]]))</f>
        <v>127.5945</v>
      </c>
      <c r="R709" s="9" t="str">
        <f>IF(Table13[[#This Row],[Gross_Sales]]&gt;=500, "YES","NO")</f>
        <v>NO</v>
      </c>
    </row>
    <row r="710" spans="1:18" x14ac:dyDescent="0.3">
      <c r="A710">
        <v>100705</v>
      </c>
      <c r="B710" s="8">
        <v>45321.333333333343</v>
      </c>
      <c r="C710" t="s">
        <v>14</v>
      </c>
      <c r="D710" t="s">
        <v>65</v>
      </c>
      <c r="E710" t="s">
        <v>69</v>
      </c>
      <c r="F710" t="s">
        <v>71</v>
      </c>
      <c r="G710">
        <v>5</v>
      </c>
      <c r="H710">
        <v>82.18</v>
      </c>
      <c r="I710">
        <v>0</v>
      </c>
      <c r="J710" t="s">
        <v>76</v>
      </c>
      <c r="K710" t="s">
        <v>77</v>
      </c>
      <c r="L710">
        <v>410.9</v>
      </c>
      <c r="M710">
        <v>0</v>
      </c>
      <c r="N710">
        <v>410.9</v>
      </c>
      <c r="O7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0" s="9" t="str">
        <f ca="1">IF(OR(ISNUMBER(Table13[[#This Row],[Order_Date]])=FALSE,Table13[[#This Row],[Order_Date]]&lt;DATE(2000,1,1),Table13[[#This Row],[Order_Date]]&gt;TODAY()),"YES","NO")</f>
        <v>NO</v>
      </c>
      <c r="Q710" s="9">
        <f>IF(Table13[[#This Row],[Order_Status]] = "Cancelled",0,IF(Table13[[#This Row],[Order_Status]] = "Returned",Table13[[#This Row],[Net_Sales]] * -1,Table13[[#This Row],[Net_Sales]]))</f>
        <v>410.9</v>
      </c>
      <c r="R710" s="9" t="str">
        <f>IF(Table13[[#This Row],[Gross_Sales]]&gt;=500, "YES","NO")</f>
        <v>NO</v>
      </c>
    </row>
    <row r="711" spans="1:18" x14ac:dyDescent="0.3">
      <c r="A711">
        <v>100706</v>
      </c>
      <c r="B711" s="8">
        <v>45321.375</v>
      </c>
      <c r="C711" t="s">
        <v>14</v>
      </c>
      <c r="D711" t="s">
        <v>32</v>
      </c>
      <c r="E711" t="s">
        <v>66</v>
      </c>
      <c r="F711" t="s">
        <v>72</v>
      </c>
      <c r="G711">
        <v>1</v>
      </c>
      <c r="H711">
        <v>97.62</v>
      </c>
      <c r="I711">
        <v>10</v>
      </c>
      <c r="J711" t="s">
        <v>75</v>
      </c>
      <c r="K711" t="s">
        <v>77</v>
      </c>
      <c r="L711">
        <v>97.62</v>
      </c>
      <c r="M711">
        <v>9.7620000000000005</v>
      </c>
      <c r="N711">
        <v>87.858000000000004</v>
      </c>
      <c r="O7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1" s="9" t="str">
        <f ca="1">IF(OR(ISNUMBER(Table13[[#This Row],[Order_Date]])=FALSE,Table13[[#This Row],[Order_Date]]&lt;DATE(2000,1,1),Table13[[#This Row],[Order_Date]]&gt;TODAY()),"YES","NO")</f>
        <v>NO</v>
      </c>
      <c r="Q711" s="9">
        <f>IF(Table13[[#This Row],[Order_Status]] = "Cancelled",0,IF(Table13[[#This Row],[Order_Status]] = "Returned",Table13[[#This Row],[Net_Sales]] * -1,Table13[[#This Row],[Net_Sales]]))</f>
        <v>87.858000000000004</v>
      </c>
      <c r="R711" s="9" t="str">
        <f>IF(Table13[[#This Row],[Gross_Sales]]&gt;=500, "YES","NO")</f>
        <v>NO</v>
      </c>
    </row>
    <row r="712" spans="1:18" x14ac:dyDescent="0.3">
      <c r="A712">
        <v>100707</v>
      </c>
      <c r="B712" s="8">
        <v>45321.416666666657</v>
      </c>
      <c r="C712" t="s">
        <v>15</v>
      </c>
      <c r="D712" t="s">
        <v>35</v>
      </c>
      <c r="E712" t="s">
        <v>69</v>
      </c>
      <c r="F712" t="s">
        <v>71</v>
      </c>
      <c r="G712">
        <v>5</v>
      </c>
      <c r="H712">
        <v>113.88</v>
      </c>
      <c r="I712">
        <v>10</v>
      </c>
      <c r="J712" t="s">
        <v>76</v>
      </c>
      <c r="K712" t="s">
        <v>77</v>
      </c>
      <c r="L712">
        <v>569.4</v>
      </c>
      <c r="M712">
        <v>56.94</v>
      </c>
      <c r="N712">
        <v>512.46</v>
      </c>
      <c r="O7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2" s="9" t="str">
        <f ca="1">IF(OR(ISNUMBER(Table13[[#This Row],[Order_Date]])=FALSE,Table13[[#This Row],[Order_Date]]&lt;DATE(2000,1,1),Table13[[#This Row],[Order_Date]]&gt;TODAY()),"YES","NO")</f>
        <v>NO</v>
      </c>
      <c r="Q712" s="9">
        <f>IF(Table13[[#This Row],[Order_Status]] = "Cancelled",0,IF(Table13[[#This Row],[Order_Status]] = "Returned",Table13[[#This Row],[Net_Sales]] * -1,Table13[[#This Row],[Net_Sales]]))</f>
        <v>512.46</v>
      </c>
      <c r="R712" s="9" t="str">
        <f>IF(Table13[[#This Row],[Gross_Sales]]&gt;=500, "YES","NO")</f>
        <v>YES</v>
      </c>
    </row>
    <row r="713" spans="1:18" x14ac:dyDescent="0.3">
      <c r="A713">
        <v>100708</v>
      </c>
      <c r="B713" s="8">
        <v>45321.458333333343</v>
      </c>
      <c r="C713" t="s">
        <v>15</v>
      </c>
      <c r="D713" t="s">
        <v>16</v>
      </c>
      <c r="E713" t="s">
        <v>69</v>
      </c>
      <c r="F713" t="s">
        <v>72</v>
      </c>
      <c r="G713">
        <v>3</v>
      </c>
      <c r="H713">
        <v>51.02</v>
      </c>
      <c r="I713">
        <v>0</v>
      </c>
      <c r="J713" t="s">
        <v>75</v>
      </c>
      <c r="K713" t="s">
        <v>79</v>
      </c>
      <c r="L713">
        <v>153.06</v>
      </c>
      <c r="M713">
        <v>0</v>
      </c>
      <c r="N713">
        <v>153.06</v>
      </c>
      <c r="O7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13" s="9" t="str">
        <f ca="1">IF(OR(ISNUMBER(Table13[[#This Row],[Order_Date]])=FALSE,Table13[[#This Row],[Order_Date]]&lt;DATE(2000,1,1),Table13[[#This Row],[Order_Date]]&gt;TODAY()),"YES","NO")</f>
        <v>NO</v>
      </c>
      <c r="Q713" s="9">
        <f>IF(Table13[[#This Row],[Order_Status]] = "Cancelled",0,IF(Table13[[#This Row],[Order_Status]] = "Returned",Table13[[#This Row],[Net_Sales]] * -1,Table13[[#This Row],[Net_Sales]]))</f>
        <v>0</v>
      </c>
      <c r="R713" s="9" t="str">
        <f>IF(Table13[[#This Row],[Gross_Sales]]&gt;=500, "YES","NO")</f>
        <v>NO</v>
      </c>
    </row>
    <row r="714" spans="1:18" x14ac:dyDescent="0.3">
      <c r="A714">
        <v>100709</v>
      </c>
      <c r="B714" s="8">
        <v>45321.5</v>
      </c>
      <c r="C714" t="s">
        <v>15</v>
      </c>
      <c r="D714" t="s">
        <v>41</v>
      </c>
      <c r="E714" t="s">
        <v>69</v>
      </c>
      <c r="F714" t="s">
        <v>72</v>
      </c>
      <c r="G714">
        <v>5</v>
      </c>
      <c r="H714">
        <v>95.08</v>
      </c>
      <c r="I714">
        <v>0</v>
      </c>
      <c r="J714" t="s">
        <v>74</v>
      </c>
      <c r="K714" t="s">
        <v>77</v>
      </c>
      <c r="L714">
        <v>475.4</v>
      </c>
      <c r="M714">
        <v>0</v>
      </c>
      <c r="N714">
        <v>475.4</v>
      </c>
      <c r="O7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4" s="9" t="str">
        <f ca="1">IF(OR(ISNUMBER(Table13[[#This Row],[Order_Date]])=FALSE,Table13[[#This Row],[Order_Date]]&lt;DATE(2000,1,1),Table13[[#This Row],[Order_Date]]&gt;TODAY()),"YES","NO")</f>
        <v>NO</v>
      </c>
      <c r="Q714" s="9">
        <f>IF(Table13[[#This Row],[Order_Status]] = "Cancelled",0,IF(Table13[[#This Row],[Order_Status]] = "Returned",Table13[[#This Row],[Net_Sales]] * -1,Table13[[#This Row],[Net_Sales]]))</f>
        <v>475.4</v>
      </c>
      <c r="R714" s="9" t="str">
        <f>IF(Table13[[#This Row],[Gross_Sales]]&gt;=500, "YES","NO")</f>
        <v>NO</v>
      </c>
    </row>
    <row r="715" spans="1:18" x14ac:dyDescent="0.3">
      <c r="A715">
        <v>100710</v>
      </c>
      <c r="B715" s="8">
        <v>45321.541666666657</v>
      </c>
      <c r="C715" t="s">
        <v>15</v>
      </c>
      <c r="D715" t="s">
        <v>40</v>
      </c>
      <c r="E715" t="s">
        <v>66</v>
      </c>
      <c r="F715" t="s">
        <v>71</v>
      </c>
      <c r="G715">
        <v>3</v>
      </c>
      <c r="H715">
        <v>35.58</v>
      </c>
      <c r="I715">
        <v>5</v>
      </c>
      <c r="J715" t="s">
        <v>75</v>
      </c>
      <c r="K715" t="s">
        <v>77</v>
      </c>
      <c r="L715">
        <v>106.74</v>
      </c>
      <c r="M715">
        <v>5.3369999999999997</v>
      </c>
      <c r="N715">
        <v>101.40300000000001</v>
      </c>
      <c r="O7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5" s="9" t="str">
        <f ca="1">IF(OR(ISNUMBER(Table13[[#This Row],[Order_Date]])=FALSE,Table13[[#This Row],[Order_Date]]&lt;DATE(2000,1,1),Table13[[#This Row],[Order_Date]]&gt;TODAY()),"YES","NO")</f>
        <v>NO</v>
      </c>
      <c r="Q715" s="9">
        <f>IF(Table13[[#This Row],[Order_Status]] = "Cancelled",0,IF(Table13[[#This Row],[Order_Status]] = "Returned",Table13[[#This Row],[Net_Sales]] * -1,Table13[[#This Row],[Net_Sales]]))</f>
        <v>101.40300000000001</v>
      </c>
      <c r="R715" s="9" t="str">
        <f>IF(Table13[[#This Row],[Gross_Sales]]&gt;=500, "YES","NO")</f>
        <v>NO</v>
      </c>
    </row>
    <row r="716" spans="1:18" x14ac:dyDescent="0.3">
      <c r="A716">
        <v>100711</v>
      </c>
      <c r="B716" s="8">
        <v>45321.583333333343</v>
      </c>
      <c r="C716" t="s">
        <v>14</v>
      </c>
      <c r="D716" t="s">
        <v>21</v>
      </c>
      <c r="E716" t="s">
        <v>69</v>
      </c>
      <c r="F716" t="s">
        <v>71</v>
      </c>
      <c r="G716">
        <v>3</v>
      </c>
      <c r="H716">
        <v>118.89</v>
      </c>
      <c r="I716">
        <v>0</v>
      </c>
      <c r="J716" t="s">
        <v>75</v>
      </c>
      <c r="K716" t="s">
        <v>77</v>
      </c>
      <c r="L716">
        <v>356.67</v>
      </c>
      <c r="M716">
        <v>0</v>
      </c>
      <c r="N716">
        <v>356.67</v>
      </c>
      <c r="O7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6" s="9" t="str">
        <f ca="1">IF(OR(ISNUMBER(Table13[[#This Row],[Order_Date]])=FALSE,Table13[[#This Row],[Order_Date]]&lt;DATE(2000,1,1),Table13[[#This Row],[Order_Date]]&gt;TODAY()),"YES","NO")</f>
        <v>NO</v>
      </c>
      <c r="Q716" s="9">
        <f>IF(Table13[[#This Row],[Order_Status]] = "Cancelled",0,IF(Table13[[#This Row],[Order_Status]] = "Returned",Table13[[#This Row],[Net_Sales]] * -1,Table13[[#This Row],[Net_Sales]]))</f>
        <v>356.67</v>
      </c>
      <c r="R716" s="9" t="str">
        <f>IF(Table13[[#This Row],[Gross_Sales]]&gt;=500, "YES","NO")</f>
        <v>NO</v>
      </c>
    </row>
    <row r="717" spans="1:18" x14ac:dyDescent="0.3">
      <c r="A717">
        <v>100712</v>
      </c>
      <c r="B717" s="8">
        <v>45321.625</v>
      </c>
      <c r="C717" t="s">
        <v>15</v>
      </c>
      <c r="D717" t="s">
        <v>24</v>
      </c>
      <c r="E717" t="s">
        <v>70</v>
      </c>
      <c r="F717" t="s">
        <v>71</v>
      </c>
      <c r="G717">
        <v>4</v>
      </c>
      <c r="H717">
        <v>7.96</v>
      </c>
      <c r="I717">
        <v>15</v>
      </c>
      <c r="J717" t="s">
        <v>75</v>
      </c>
      <c r="K717" t="s">
        <v>77</v>
      </c>
      <c r="L717">
        <v>31.84</v>
      </c>
      <c r="M717">
        <v>4.7759999999999998</v>
      </c>
      <c r="N717">
        <v>27.064</v>
      </c>
      <c r="O7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7" s="9" t="str">
        <f ca="1">IF(OR(ISNUMBER(Table13[[#This Row],[Order_Date]])=FALSE,Table13[[#This Row],[Order_Date]]&lt;DATE(2000,1,1),Table13[[#This Row],[Order_Date]]&gt;TODAY()),"YES","NO")</f>
        <v>NO</v>
      </c>
      <c r="Q717" s="9">
        <f>IF(Table13[[#This Row],[Order_Status]] = "Cancelled",0,IF(Table13[[#This Row],[Order_Status]] = "Returned",Table13[[#This Row],[Net_Sales]] * -1,Table13[[#This Row],[Net_Sales]]))</f>
        <v>27.064</v>
      </c>
      <c r="R717" s="9" t="str">
        <f>IF(Table13[[#This Row],[Gross_Sales]]&gt;=500, "YES","NO")</f>
        <v>NO</v>
      </c>
    </row>
    <row r="718" spans="1:18" x14ac:dyDescent="0.3">
      <c r="A718">
        <v>100713</v>
      </c>
      <c r="B718" s="8">
        <v>45321.666666666657</v>
      </c>
      <c r="C718" t="s">
        <v>14</v>
      </c>
      <c r="D718" t="s">
        <v>31</v>
      </c>
      <c r="E718" t="s">
        <v>66</v>
      </c>
      <c r="F718" t="s">
        <v>72</v>
      </c>
      <c r="G718">
        <v>3</v>
      </c>
      <c r="H718">
        <v>74.41</v>
      </c>
      <c r="I718">
        <v>15</v>
      </c>
      <c r="J718" t="s">
        <v>73</v>
      </c>
      <c r="K718" t="s">
        <v>77</v>
      </c>
      <c r="L718">
        <v>223.23</v>
      </c>
      <c r="M718">
        <v>33.484499999999997</v>
      </c>
      <c r="N718">
        <v>189.74549999999999</v>
      </c>
      <c r="O7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8" s="9" t="str">
        <f ca="1">IF(OR(ISNUMBER(Table13[[#This Row],[Order_Date]])=FALSE,Table13[[#This Row],[Order_Date]]&lt;DATE(2000,1,1),Table13[[#This Row],[Order_Date]]&gt;TODAY()),"YES","NO")</f>
        <v>NO</v>
      </c>
      <c r="Q718" s="9">
        <f>IF(Table13[[#This Row],[Order_Status]] = "Cancelled",0,IF(Table13[[#This Row],[Order_Status]] = "Returned",Table13[[#This Row],[Net_Sales]] * -1,Table13[[#This Row],[Net_Sales]]))</f>
        <v>189.74549999999999</v>
      </c>
      <c r="R718" s="9" t="str">
        <f>IF(Table13[[#This Row],[Gross_Sales]]&gt;=500, "YES","NO")</f>
        <v>NO</v>
      </c>
    </row>
    <row r="719" spans="1:18" x14ac:dyDescent="0.3">
      <c r="A719">
        <v>100714</v>
      </c>
      <c r="B719" s="8">
        <v>45321.708333333343</v>
      </c>
      <c r="C719" t="s">
        <v>15</v>
      </c>
      <c r="D719" t="s">
        <v>62</v>
      </c>
      <c r="E719" t="s">
        <v>69</v>
      </c>
      <c r="F719" t="s">
        <v>71</v>
      </c>
      <c r="G719">
        <v>3</v>
      </c>
      <c r="H719">
        <v>80.84</v>
      </c>
      <c r="I719">
        <v>0</v>
      </c>
      <c r="J719" t="s">
        <v>74</v>
      </c>
      <c r="K719" t="s">
        <v>77</v>
      </c>
      <c r="L719">
        <v>242.52</v>
      </c>
      <c r="M719">
        <v>0</v>
      </c>
      <c r="N719">
        <v>242.52</v>
      </c>
      <c r="O7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19" s="9" t="str">
        <f ca="1">IF(OR(ISNUMBER(Table13[[#This Row],[Order_Date]])=FALSE,Table13[[#This Row],[Order_Date]]&lt;DATE(2000,1,1),Table13[[#This Row],[Order_Date]]&gt;TODAY()),"YES","NO")</f>
        <v>NO</v>
      </c>
      <c r="Q719" s="9">
        <f>IF(Table13[[#This Row],[Order_Status]] = "Cancelled",0,IF(Table13[[#This Row],[Order_Status]] = "Returned",Table13[[#This Row],[Net_Sales]] * -1,Table13[[#This Row],[Net_Sales]]))</f>
        <v>242.52</v>
      </c>
      <c r="R719" s="9" t="str">
        <f>IF(Table13[[#This Row],[Gross_Sales]]&gt;=500, "YES","NO")</f>
        <v>NO</v>
      </c>
    </row>
    <row r="720" spans="1:18" x14ac:dyDescent="0.3">
      <c r="A720">
        <v>100715</v>
      </c>
      <c r="B720" s="8">
        <v>45321.75</v>
      </c>
      <c r="C720" t="s">
        <v>15</v>
      </c>
      <c r="D720" t="s">
        <v>36</v>
      </c>
      <c r="E720" t="s">
        <v>66</v>
      </c>
      <c r="F720" t="s">
        <v>72</v>
      </c>
      <c r="G720">
        <v>2</v>
      </c>
      <c r="H720">
        <v>84.13</v>
      </c>
      <c r="I720">
        <v>15</v>
      </c>
      <c r="J720" t="s">
        <v>75</v>
      </c>
      <c r="K720" t="s">
        <v>77</v>
      </c>
      <c r="L720">
        <v>168.26</v>
      </c>
      <c r="M720">
        <v>25.239000000000001</v>
      </c>
      <c r="N720">
        <v>143.02099999999999</v>
      </c>
      <c r="O7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0" s="9" t="str">
        <f ca="1">IF(OR(ISNUMBER(Table13[[#This Row],[Order_Date]])=FALSE,Table13[[#This Row],[Order_Date]]&lt;DATE(2000,1,1),Table13[[#This Row],[Order_Date]]&gt;TODAY()),"YES","NO")</f>
        <v>NO</v>
      </c>
      <c r="Q720" s="9">
        <f>IF(Table13[[#This Row],[Order_Status]] = "Cancelled",0,IF(Table13[[#This Row],[Order_Status]] = "Returned",Table13[[#This Row],[Net_Sales]] * -1,Table13[[#This Row],[Net_Sales]]))</f>
        <v>143.02099999999999</v>
      </c>
      <c r="R720" s="9" t="str">
        <f>IF(Table13[[#This Row],[Gross_Sales]]&gt;=500, "YES","NO")</f>
        <v>NO</v>
      </c>
    </row>
    <row r="721" spans="1:18" x14ac:dyDescent="0.3">
      <c r="A721">
        <v>100716</v>
      </c>
      <c r="B721" s="8">
        <v>45321.791666666657</v>
      </c>
      <c r="C721" t="s">
        <v>15</v>
      </c>
      <c r="D721" t="s">
        <v>64</v>
      </c>
      <c r="E721" t="s">
        <v>68</v>
      </c>
      <c r="F721" t="s">
        <v>71</v>
      </c>
      <c r="G721">
        <v>1</v>
      </c>
      <c r="H721">
        <v>18.84</v>
      </c>
      <c r="I721">
        <v>0</v>
      </c>
      <c r="J721" t="s">
        <v>75</v>
      </c>
      <c r="K721" t="s">
        <v>78</v>
      </c>
      <c r="L721">
        <v>18.84</v>
      </c>
      <c r="M721">
        <v>0</v>
      </c>
      <c r="N721">
        <v>18.84</v>
      </c>
      <c r="O7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21" s="9" t="str">
        <f ca="1">IF(OR(ISNUMBER(Table13[[#This Row],[Order_Date]])=FALSE,Table13[[#This Row],[Order_Date]]&lt;DATE(2000,1,1),Table13[[#This Row],[Order_Date]]&gt;TODAY()),"YES","NO")</f>
        <v>NO</v>
      </c>
      <c r="Q721" s="9">
        <f>IF(Table13[[#This Row],[Order_Status]] = "Cancelled",0,IF(Table13[[#This Row],[Order_Status]] = "Returned",Table13[[#This Row],[Net_Sales]] * -1,Table13[[#This Row],[Net_Sales]]))</f>
        <v>-18.84</v>
      </c>
      <c r="R721" s="9" t="str">
        <f>IF(Table13[[#This Row],[Gross_Sales]]&gt;=500, "YES","NO")</f>
        <v>NO</v>
      </c>
    </row>
    <row r="722" spans="1:18" x14ac:dyDescent="0.3">
      <c r="A722">
        <v>100717</v>
      </c>
      <c r="B722" s="8">
        <v>45321.833333333343</v>
      </c>
      <c r="C722" t="s">
        <v>14</v>
      </c>
      <c r="D722" t="s">
        <v>41</v>
      </c>
      <c r="E722" t="s">
        <v>70</v>
      </c>
      <c r="F722" t="s">
        <v>72</v>
      </c>
      <c r="G722">
        <v>4</v>
      </c>
      <c r="H722">
        <v>112.93</v>
      </c>
      <c r="I722">
        <v>5</v>
      </c>
      <c r="J722" t="s">
        <v>76</v>
      </c>
      <c r="K722" t="s">
        <v>77</v>
      </c>
      <c r="L722">
        <v>451.72</v>
      </c>
      <c r="M722">
        <v>22.585999999999999</v>
      </c>
      <c r="N722">
        <v>429.13400000000001</v>
      </c>
      <c r="O7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2" s="9" t="str">
        <f ca="1">IF(OR(ISNUMBER(Table13[[#This Row],[Order_Date]])=FALSE,Table13[[#This Row],[Order_Date]]&lt;DATE(2000,1,1),Table13[[#This Row],[Order_Date]]&gt;TODAY()),"YES","NO")</f>
        <v>NO</v>
      </c>
      <c r="Q722" s="9">
        <f>IF(Table13[[#This Row],[Order_Status]] = "Cancelled",0,IF(Table13[[#This Row],[Order_Status]] = "Returned",Table13[[#This Row],[Net_Sales]] * -1,Table13[[#This Row],[Net_Sales]]))</f>
        <v>429.13400000000001</v>
      </c>
      <c r="R722" s="9" t="str">
        <f>IF(Table13[[#This Row],[Gross_Sales]]&gt;=500, "YES","NO")</f>
        <v>NO</v>
      </c>
    </row>
    <row r="723" spans="1:18" x14ac:dyDescent="0.3">
      <c r="A723">
        <v>100718</v>
      </c>
      <c r="B723" s="8">
        <v>45321.875</v>
      </c>
      <c r="C723" t="s">
        <v>15</v>
      </c>
      <c r="D723" t="s">
        <v>23</v>
      </c>
      <c r="E723" t="s">
        <v>69</v>
      </c>
      <c r="F723" t="s">
        <v>72</v>
      </c>
      <c r="G723">
        <v>4</v>
      </c>
      <c r="H723">
        <v>25.84</v>
      </c>
      <c r="I723">
        <v>15</v>
      </c>
      <c r="J723" t="s">
        <v>74</v>
      </c>
      <c r="K723" t="s">
        <v>77</v>
      </c>
      <c r="L723">
        <v>103.36</v>
      </c>
      <c r="M723">
        <v>15.504</v>
      </c>
      <c r="N723">
        <v>87.855999999999995</v>
      </c>
      <c r="O7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3" s="9" t="str">
        <f ca="1">IF(OR(ISNUMBER(Table13[[#This Row],[Order_Date]])=FALSE,Table13[[#This Row],[Order_Date]]&lt;DATE(2000,1,1),Table13[[#This Row],[Order_Date]]&gt;TODAY()),"YES","NO")</f>
        <v>NO</v>
      </c>
      <c r="Q723" s="9">
        <f>IF(Table13[[#This Row],[Order_Status]] = "Cancelled",0,IF(Table13[[#This Row],[Order_Status]] = "Returned",Table13[[#This Row],[Net_Sales]] * -1,Table13[[#This Row],[Net_Sales]]))</f>
        <v>87.855999999999995</v>
      </c>
      <c r="R723" s="9" t="str">
        <f>IF(Table13[[#This Row],[Gross_Sales]]&gt;=500, "YES","NO")</f>
        <v>NO</v>
      </c>
    </row>
    <row r="724" spans="1:18" x14ac:dyDescent="0.3">
      <c r="A724">
        <v>100719</v>
      </c>
      <c r="B724" s="8">
        <v>45321.916666666657</v>
      </c>
      <c r="C724" t="s">
        <v>15</v>
      </c>
      <c r="D724" t="s">
        <v>40</v>
      </c>
      <c r="E724" t="s">
        <v>68</v>
      </c>
      <c r="F724" t="s">
        <v>71</v>
      </c>
      <c r="G724">
        <v>4</v>
      </c>
      <c r="H724">
        <v>76.62</v>
      </c>
      <c r="I724">
        <v>15</v>
      </c>
      <c r="J724" t="s">
        <v>75</v>
      </c>
      <c r="K724" t="s">
        <v>77</v>
      </c>
      <c r="L724">
        <v>306.48</v>
      </c>
      <c r="M724">
        <v>45.972000000000001</v>
      </c>
      <c r="N724">
        <v>260.50799999999998</v>
      </c>
      <c r="O7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4" s="9" t="str">
        <f ca="1">IF(OR(ISNUMBER(Table13[[#This Row],[Order_Date]])=FALSE,Table13[[#This Row],[Order_Date]]&lt;DATE(2000,1,1),Table13[[#This Row],[Order_Date]]&gt;TODAY()),"YES","NO")</f>
        <v>NO</v>
      </c>
      <c r="Q724" s="9">
        <f>IF(Table13[[#This Row],[Order_Status]] = "Cancelled",0,IF(Table13[[#This Row],[Order_Status]] = "Returned",Table13[[#This Row],[Net_Sales]] * -1,Table13[[#This Row],[Net_Sales]]))</f>
        <v>260.50799999999998</v>
      </c>
      <c r="R724" s="9" t="str">
        <f>IF(Table13[[#This Row],[Gross_Sales]]&gt;=500, "YES","NO")</f>
        <v>NO</v>
      </c>
    </row>
    <row r="725" spans="1:18" x14ac:dyDescent="0.3">
      <c r="A725">
        <v>100720</v>
      </c>
      <c r="B725" s="8">
        <v>45321.958333333343</v>
      </c>
      <c r="C725" t="s">
        <v>15</v>
      </c>
      <c r="D725" t="s">
        <v>39</v>
      </c>
      <c r="E725" t="s">
        <v>68</v>
      </c>
      <c r="F725" t="s">
        <v>72</v>
      </c>
      <c r="G725">
        <v>2</v>
      </c>
      <c r="H725">
        <v>30.61</v>
      </c>
      <c r="I725">
        <v>0</v>
      </c>
      <c r="J725" t="s">
        <v>76</v>
      </c>
      <c r="K725" t="s">
        <v>79</v>
      </c>
      <c r="L725">
        <v>61.22</v>
      </c>
      <c r="M725">
        <v>0</v>
      </c>
      <c r="N725">
        <v>61.22</v>
      </c>
      <c r="O7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25" s="9" t="str">
        <f ca="1">IF(OR(ISNUMBER(Table13[[#This Row],[Order_Date]])=FALSE,Table13[[#This Row],[Order_Date]]&lt;DATE(2000,1,1),Table13[[#This Row],[Order_Date]]&gt;TODAY()),"YES","NO")</f>
        <v>NO</v>
      </c>
      <c r="Q725" s="9">
        <f>IF(Table13[[#This Row],[Order_Status]] = "Cancelled",0,IF(Table13[[#This Row],[Order_Status]] = "Returned",Table13[[#This Row],[Net_Sales]] * -1,Table13[[#This Row],[Net_Sales]]))</f>
        <v>0</v>
      </c>
      <c r="R725" s="9" t="str">
        <f>IF(Table13[[#This Row],[Gross_Sales]]&gt;=500, "YES","NO")</f>
        <v>NO</v>
      </c>
    </row>
    <row r="726" spans="1:18" x14ac:dyDescent="0.3">
      <c r="A726">
        <v>100721</v>
      </c>
      <c r="B726" s="8">
        <v>45322</v>
      </c>
      <c r="C726" t="s">
        <v>15</v>
      </c>
      <c r="D726" t="s">
        <v>54</v>
      </c>
      <c r="E726" t="s">
        <v>66</v>
      </c>
      <c r="F726" t="s">
        <v>72</v>
      </c>
      <c r="G726">
        <v>3</v>
      </c>
      <c r="H726">
        <v>40.33</v>
      </c>
      <c r="I726">
        <v>15</v>
      </c>
      <c r="J726" t="s">
        <v>76</v>
      </c>
      <c r="K726" t="s">
        <v>77</v>
      </c>
      <c r="L726">
        <v>120.99</v>
      </c>
      <c r="M726">
        <v>18.148499999999999</v>
      </c>
      <c r="N726">
        <v>102.8415</v>
      </c>
      <c r="O7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6" s="9" t="str">
        <f ca="1">IF(OR(ISNUMBER(Table13[[#This Row],[Order_Date]])=FALSE,Table13[[#This Row],[Order_Date]]&lt;DATE(2000,1,1),Table13[[#This Row],[Order_Date]]&gt;TODAY()),"YES","NO")</f>
        <v>NO</v>
      </c>
      <c r="Q726" s="9">
        <f>IF(Table13[[#This Row],[Order_Status]] = "Cancelled",0,IF(Table13[[#This Row],[Order_Status]] = "Returned",Table13[[#This Row],[Net_Sales]] * -1,Table13[[#This Row],[Net_Sales]]))</f>
        <v>102.8415</v>
      </c>
      <c r="R726" s="9" t="str">
        <f>IF(Table13[[#This Row],[Gross_Sales]]&gt;=500, "YES","NO")</f>
        <v>NO</v>
      </c>
    </row>
    <row r="727" spans="1:18" x14ac:dyDescent="0.3">
      <c r="A727">
        <v>100722</v>
      </c>
      <c r="B727" s="8">
        <v>45322.041666666657</v>
      </c>
      <c r="C727" t="s">
        <v>14</v>
      </c>
      <c r="D727" t="s">
        <v>39</v>
      </c>
      <c r="E727" t="s">
        <v>68</v>
      </c>
      <c r="F727" t="s">
        <v>71</v>
      </c>
      <c r="G727">
        <v>1</v>
      </c>
      <c r="H727">
        <v>67.84</v>
      </c>
      <c r="I727">
        <v>10</v>
      </c>
      <c r="J727" t="s">
        <v>73</v>
      </c>
      <c r="K727" t="s">
        <v>77</v>
      </c>
      <c r="L727">
        <v>67.84</v>
      </c>
      <c r="M727">
        <v>6.7840000000000007</v>
      </c>
      <c r="N727">
        <v>61.055999999999997</v>
      </c>
      <c r="O7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7" s="9" t="str">
        <f ca="1">IF(OR(ISNUMBER(Table13[[#This Row],[Order_Date]])=FALSE,Table13[[#This Row],[Order_Date]]&lt;DATE(2000,1,1),Table13[[#This Row],[Order_Date]]&gt;TODAY()),"YES","NO")</f>
        <v>NO</v>
      </c>
      <c r="Q727" s="9">
        <f>IF(Table13[[#This Row],[Order_Status]] = "Cancelled",0,IF(Table13[[#This Row],[Order_Status]] = "Returned",Table13[[#This Row],[Net_Sales]] * -1,Table13[[#This Row],[Net_Sales]]))</f>
        <v>61.055999999999997</v>
      </c>
      <c r="R727" s="9" t="str">
        <f>IF(Table13[[#This Row],[Gross_Sales]]&gt;=500, "YES","NO")</f>
        <v>NO</v>
      </c>
    </row>
    <row r="728" spans="1:18" x14ac:dyDescent="0.3">
      <c r="A728">
        <v>100723</v>
      </c>
      <c r="B728" s="8">
        <v>45322.083333333343</v>
      </c>
      <c r="C728" t="s">
        <v>15</v>
      </c>
      <c r="D728" t="s">
        <v>64</v>
      </c>
      <c r="E728" t="s">
        <v>70</v>
      </c>
      <c r="F728" t="s">
        <v>72</v>
      </c>
      <c r="G728">
        <v>5</v>
      </c>
      <c r="H728">
        <v>52.98</v>
      </c>
      <c r="I728">
        <v>5</v>
      </c>
      <c r="J728" t="s">
        <v>76</v>
      </c>
      <c r="K728" t="s">
        <v>77</v>
      </c>
      <c r="L728">
        <v>264.89999999999998</v>
      </c>
      <c r="M728">
        <v>13.244999999999999</v>
      </c>
      <c r="N728">
        <v>251.655</v>
      </c>
      <c r="O7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8" s="9" t="str">
        <f ca="1">IF(OR(ISNUMBER(Table13[[#This Row],[Order_Date]])=FALSE,Table13[[#This Row],[Order_Date]]&lt;DATE(2000,1,1),Table13[[#This Row],[Order_Date]]&gt;TODAY()),"YES","NO")</f>
        <v>NO</v>
      </c>
      <c r="Q728" s="9">
        <f>IF(Table13[[#This Row],[Order_Status]] = "Cancelled",0,IF(Table13[[#This Row],[Order_Status]] = "Returned",Table13[[#This Row],[Net_Sales]] * -1,Table13[[#This Row],[Net_Sales]]))</f>
        <v>251.655</v>
      </c>
      <c r="R728" s="9" t="str">
        <f>IF(Table13[[#This Row],[Gross_Sales]]&gt;=500, "YES","NO")</f>
        <v>NO</v>
      </c>
    </row>
    <row r="729" spans="1:18" x14ac:dyDescent="0.3">
      <c r="A729">
        <v>100724</v>
      </c>
      <c r="B729" s="8">
        <v>45322.125</v>
      </c>
      <c r="C729" t="s">
        <v>14</v>
      </c>
      <c r="D729" t="s">
        <v>38</v>
      </c>
      <c r="E729" t="s">
        <v>70</v>
      </c>
      <c r="F729" t="s">
        <v>71</v>
      </c>
      <c r="G729">
        <v>3</v>
      </c>
      <c r="H729">
        <v>23.43</v>
      </c>
      <c r="I729">
        <v>5</v>
      </c>
      <c r="J729" t="s">
        <v>75</v>
      </c>
      <c r="K729" t="s">
        <v>77</v>
      </c>
      <c r="L729">
        <v>70.289999999999992</v>
      </c>
      <c r="M729">
        <v>3.5145</v>
      </c>
      <c r="N729">
        <v>66.775499999999994</v>
      </c>
      <c r="O7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29" s="9" t="str">
        <f ca="1">IF(OR(ISNUMBER(Table13[[#This Row],[Order_Date]])=FALSE,Table13[[#This Row],[Order_Date]]&lt;DATE(2000,1,1),Table13[[#This Row],[Order_Date]]&gt;TODAY()),"YES","NO")</f>
        <v>NO</v>
      </c>
      <c r="Q729" s="9">
        <f>IF(Table13[[#This Row],[Order_Status]] = "Cancelled",0,IF(Table13[[#This Row],[Order_Status]] = "Returned",Table13[[#This Row],[Net_Sales]] * -1,Table13[[#This Row],[Net_Sales]]))</f>
        <v>66.775499999999994</v>
      </c>
      <c r="R729" s="9" t="str">
        <f>IF(Table13[[#This Row],[Gross_Sales]]&gt;=500, "YES","NO")</f>
        <v>NO</v>
      </c>
    </row>
    <row r="730" spans="1:18" x14ac:dyDescent="0.3">
      <c r="A730">
        <v>100725</v>
      </c>
      <c r="B730" s="8">
        <v>45322.166666666657</v>
      </c>
      <c r="C730" t="s">
        <v>14</v>
      </c>
      <c r="D730" t="s">
        <v>56</v>
      </c>
      <c r="E730" t="s">
        <v>67</v>
      </c>
      <c r="F730" t="s">
        <v>71</v>
      </c>
      <c r="G730">
        <v>2</v>
      </c>
      <c r="H730">
        <v>24.66</v>
      </c>
      <c r="I730">
        <v>15</v>
      </c>
      <c r="J730" t="s">
        <v>73</v>
      </c>
      <c r="K730" t="s">
        <v>77</v>
      </c>
      <c r="L730">
        <v>49.32</v>
      </c>
      <c r="M730">
        <v>7.3979999999999997</v>
      </c>
      <c r="N730">
        <v>41.921999999999997</v>
      </c>
      <c r="O7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0" s="9" t="str">
        <f ca="1">IF(OR(ISNUMBER(Table13[[#This Row],[Order_Date]])=FALSE,Table13[[#This Row],[Order_Date]]&lt;DATE(2000,1,1),Table13[[#This Row],[Order_Date]]&gt;TODAY()),"YES","NO")</f>
        <v>NO</v>
      </c>
      <c r="Q730" s="9">
        <f>IF(Table13[[#This Row],[Order_Status]] = "Cancelled",0,IF(Table13[[#This Row],[Order_Status]] = "Returned",Table13[[#This Row],[Net_Sales]] * -1,Table13[[#This Row],[Net_Sales]]))</f>
        <v>41.921999999999997</v>
      </c>
      <c r="R730" s="9" t="str">
        <f>IF(Table13[[#This Row],[Gross_Sales]]&gt;=500, "YES","NO")</f>
        <v>NO</v>
      </c>
    </row>
    <row r="731" spans="1:18" x14ac:dyDescent="0.3">
      <c r="A731">
        <v>100726</v>
      </c>
      <c r="B731" s="8">
        <v>45322.208333333343</v>
      </c>
      <c r="C731" t="s">
        <v>14</v>
      </c>
      <c r="D731" t="s">
        <v>54</v>
      </c>
      <c r="E731" t="s">
        <v>70</v>
      </c>
      <c r="F731" t="s">
        <v>71</v>
      </c>
      <c r="G731">
        <v>3</v>
      </c>
      <c r="H731">
        <v>53.09</v>
      </c>
      <c r="I731">
        <v>15</v>
      </c>
      <c r="J731" t="s">
        <v>73</v>
      </c>
      <c r="K731" t="s">
        <v>77</v>
      </c>
      <c r="L731">
        <v>159.27000000000001</v>
      </c>
      <c r="M731">
        <v>23.890499999999999</v>
      </c>
      <c r="N731">
        <v>135.37950000000001</v>
      </c>
      <c r="O7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1" s="9" t="str">
        <f ca="1">IF(OR(ISNUMBER(Table13[[#This Row],[Order_Date]])=FALSE,Table13[[#This Row],[Order_Date]]&lt;DATE(2000,1,1),Table13[[#This Row],[Order_Date]]&gt;TODAY()),"YES","NO")</f>
        <v>NO</v>
      </c>
      <c r="Q731" s="9">
        <f>IF(Table13[[#This Row],[Order_Status]] = "Cancelled",0,IF(Table13[[#This Row],[Order_Status]] = "Returned",Table13[[#This Row],[Net_Sales]] * -1,Table13[[#This Row],[Net_Sales]]))</f>
        <v>135.37950000000001</v>
      </c>
      <c r="R731" s="9" t="str">
        <f>IF(Table13[[#This Row],[Gross_Sales]]&gt;=500, "YES","NO")</f>
        <v>NO</v>
      </c>
    </row>
    <row r="732" spans="1:18" x14ac:dyDescent="0.3">
      <c r="A732">
        <v>100727</v>
      </c>
      <c r="B732" s="8">
        <v>45322.25</v>
      </c>
      <c r="C732" t="s">
        <v>14</v>
      </c>
      <c r="D732" t="s">
        <v>25</v>
      </c>
      <c r="E732" t="s">
        <v>68</v>
      </c>
      <c r="F732" t="s">
        <v>71</v>
      </c>
      <c r="G732">
        <v>3</v>
      </c>
      <c r="H732">
        <v>92.09</v>
      </c>
      <c r="I732">
        <v>10</v>
      </c>
      <c r="J732" t="s">
        <v>75</v>
      </c>
      <c r="K732" t="s">
        <v>77</v>
      </c>
      <c r="L732">
        <v>276.27</v>
      </c>
      <c r="M732">
        <v>27.626999999999999</v>
      </c>
      <c r="N732">
        <v>248.643</v>
      </c>
      <c r="O7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2" s="9" t="str">
        <f ca="1">IF(OR(ISNUMBER(Table13[[#This Row],[Order_Date]])=FALSE,Table13[[#This Row],[Order_Date]]&lt;DATE(2000,1,1),Table13[[#This Row],[Order_Date]]&gt;TODAY()),"YES","NO")</f>
        <v>NO</v>
      </c>
      <c r="Q732" s="9">
        <f>IF(Table13[[#This Row],[Order_Status]] = "Cancelled",0,IF(Table13[[#This Row],[Order_Status]] = "Returned",Table13[[#This Row],[Net_Sales]] * -1,Table13[[#This Row],[Net_Sales]]))</f>
        <v>248.643</v>
      </c>
      <c r="R732" s="9" t="str">
        <f>IF(Table13[[#This Row],[Gross_Sales]]&gt;=500, "YES","NO")</f>
        <v>NO</v>
      </c>
    </row>
    <row r="733" spans="1:18" x14ac:dyDescent="0.3">
      <c r="A733">
        <v>100728</v>
      </c>
      <c r="B733" s="8">
        <v>45322.291666666657</v>
      </c>
      <c r="C733" t="s">
        <v>14</v>
      </c>
      <c r="D733" t="s">
        <v>44</v>
      </c>
      <c r="E733" t="s">
        <v>70</v>
      </c>
      <c r="F733" t="s">
        <v>72</v>
      </c>
      <c r="G733">
        <v>2</v>
      </c>
      <c r="H733">
        <v>108.27</v>
      </c>
      <c r="I733">
        <v>10</v>
      </c>
      <c r="J733" t="s">
        <v>74</v>
      </c>
      <c r="K733" t="s">
        <v>77</v>
      </c>
      <c r="L733">
        <v>216.54</v>
      </c>
      <c r="M733">
        <v>21.654</v>
      </c>
      <c r="N733">
        <v>194.886</v>
      </c>
      <c r="O7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3" s="9" t="str">
        <f ca="1">IF(OR(ISNUMBER(Table13[[#This Row],[Order_Date]])=FALSE,Table13[[#This Row],[Order_Date]]&lt;DATE(2000,1,1),Table13[[#This Row],[Order_Date]]&gt;TODAY()),"YES","NO")</f>
        <v>NO</v>
      </c>
      <c r="Q733" s="9">
        <f>IF(Table13[[#This Row],[Order_Status]] = "Cancelled",0,IF(Table13[[#This Row],[Order_Status]] = "Returned",Table13[[#This Row],[Net_Sales]] * -1,Table13[[#This Row],[Net_Sales]]))</f>
        <v>194.886</v>
      </c>
      <c r="R733" s="9" t="str">
        <f>IF(Table13[[#This Row],[Gross_Sales]]&gt;=500, "YES","NO")</f>
        <v>NO</v>
      </c>
    </row>
    <row r="734" spans="1:18" x14ac:dyDescent="0.3">
      <c r="A734">
        <v>100729</v>
      </c>
      <c r="B734" s="8">
        <v>45322.333333333343</v>
      </c>
      <c r="C734" t="s">
        <v>14</v>
      </c>
      <c r="D734" t="s">
        <v>29</v>
      </c>
      <c r="E734" t="s">
        <v>66</v>
      </c>
      <c r="F734" t="s">
        <v>72</v>
      </c>
      <c r="G734">
        <v>4</v>
      </c>
      <c r="H734">
        <v>14.67</v>
      </c>
      <c r="I734">
        <v>15</v>
      </c>
      <c r="J734" t="s">
        <v>76</v>
      </c>
      <c r="K734" t="s">
        <v>77</v>
      </c>
      <c r="L734">
        <v>58.68</v>
      </c>
      <c r="M734">
        <v>8.8019999999999996</v>
      </c>
      <c r="N734">
        <v>49.878</v>
      </c>
      <c r="O7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4" s="9" t="str">
        <f ca="1">IF(OR(ISNUMBER(Table13[[#This Row],[Order_Date]])=FALSE,Table13[[#This Row],[Order_Date]]&lt;DATE(2000,1,1),Table13[[#This Row],[Order_Date]]&gt;TODAY()),"YES","NO")</f>
        <v>NO</v>
      </c>
      <c r="Q734" s="9">
        <f>IF(Table13[[#This Row],[Order_Status]] = "Cancelled",0,IF(Table13[[#This Row],[Order_Status]] = "Returned",Table13[[#This Row],[Net_Sales]] * -1,Table13[[#This Row],[Net_Sales]]))</f>
        <v>49.878</v>
      </c>
      <c r="R734" s="9" t="str">
        <f>IF(Table13[[#This Row],[Gross_Sales]]&gt;=500, "YES","NO")</f>
        <v>NO</v>
      </c>
    </row>
    <row r="735" spans="1:18" x14ac:dyDescent="0.3">
      <c r="A735">
        <v>100730</v>
      </c>
      <c r="B735" s="8">
        <v>45322.375</v>
      </c>
      <c r="C735" t="s">
        <v>15</v>
      </c>
      <c r="D735" t="s">
        <v>60</v>
      </c>
      <c r="E735" t="s">
        <v>67</v>
      </c>
      <c r="F735" t="s">
        <v>72</v>
      </c>
      <c r="G735">
        <v>4</v>
      </c>
      <c r="H735">
        <v>50.21</v>
      </c>
      <c r="I735">
        <v>15</v>
      </c>
      <c r="J735" t="s">
        <v>73</v>
      </c>
      <c r="K735" t="s">
        <v>78</v>
      </c>
      <c r="L735">
        <v>200.84</v>
      </c>
      <c r="M735">
        <v>30.126000000000001</v>
      </c>
      <c r="N735">
        <v>170.714</v>
      </c>
      <c r="O7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35" s="9" t="str">
        <f ca="1">IF(OR(ISNUMBER(Table13[[#This Row],[Order_Date]])=FALSE,Table13[[#This Row],[Order_Date]]&lt;DATE(2000,1,1),Table13[[#This Row],[Order_Date]]&gt;TODAY()),"YES","NO")</f>
        <v>NO</v>
      </c>
      <c r="Q735" s="9">
        <f>IF(Table13[[#This Row],[Order_Status]] = "Cancelled",0,IF(Table13[[#This Row],[Order_Status]] = "Returned",Table13[[#This Row],[Net_Sales]] * -1,Table13[[#This Row],[Net_Sales]]))</f>
        <v>-170.714</v>
      </c>
      <c r="R735" s="9" t="str">
        <f>IF(Table13[[#This Row],[Gross_Sales]]&gt;=500, "YES","NO")</f>
        <v>NO</v>
      </c>
    </row>
    <row r="736" spans="1:18" x14ac:dyDescent="0.3">
      <c r="A736">
        <v>100731</v>
      </c>
      <c r="B736" s="8">
        <v>45322.416666666657</v>
      </c>
      <c r="C736" t="s">
        <v>14</v>
      </c>
      <c r="D736" t="s">
        <v>42</v>
      </c>
      <c r="E736" t="s">
        <v>68</v>
      </c>
      <c r="F736" t="s">
        <v>71</v>
      </c>
      <c r="G736">
        <v>1</v>
      </c>
      <c r="H736">
        <v>16.53</v>
      </c>
      <c r="I736">
        <v>10</v>
      </c>
      <c r="J736" t="s">
        <v>74</v>
      </c>
      <c r="K736" t="s">
        <v>79</v>
      </c>
      <c r="L736">
        <v>16.53</v>
      </c>
      <c r="M736">
        <v>1.653</v>
      </c>
      <c r="N736">
        <v>14.877000000000001</v>
      </c>
      <c r="O7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36" s="9" t="str">
        <f ca="1">IF(OR(ISNUMBER(Table13[[#This Row],[Order_Date]])=FALSE,Table13[[#This Row],[Order_Date]]&lt;DATE(2000,1,1),Table13[[#This Row],[Order_Date]]&gt;TODAY()),"YES","NO")</f>
        <v>NO</v>
      </c>
      <c r="Q736" s="9">
        <f>IF(Table13[[#This Row],[Order_Status]] = "Cancelled",0,IF(Table13[[#This Row],[Order_Status]] = "Returned",Table13[[#This Row],[Net_Sales]] * -1,Table13[[#This Row],[Net_Sales]]))</f>
        <v>0</v>
      </c>
      <c r="R736" s="9" t="str">
        <f>IF(Table13[[#This Row],[Gross_Sales]]&gt;=500, "YES","NO")</f>
        <v>NO</v>
      </c>
    </row>
    <row r="737" spans="1:18" x14ac:dyDescent="0.3">
      <c r="A737">
        <v>100732</v>
      </c>
      <c r="B737" s="8">
        <v>45322.458333333343</v>
      </c>
      <c r="C737" t="s">
        <v>14</v>
      </c>
      <c r="D737" t="s">
        <v>28</v>
      </c>
      <c r="E737" t="s">
        <v>67</v>
      </c>
      <c r="F737" t="s">
        <v>72</v>
      </c>
      <c r="G737">
        <v>1</v>
      </c>
      <c r="H737">
        <v>6.91</v>
      </c>
      <c r="I737">
        <v>0</v>
      </c>
      <c r="J737" t="s">
        <v>75</v>
      </c>
      <c r="K737" t="s">
        <v>77</v>
      </c>
      <c r="L737">
        <v>6.91</v>
      </c>
      <c r="M737">
        <v>0</v>
      </c>
      <c r="N737">
        <v>6.91</v>
      </c>
      <c r="O7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7" s="9" t="str">
        <f ca="1">IF(OR(ISNUMBER(Table13[[#This Row],[Order_Date]])=FALSE,Table13[[#This Row],[Order_Date]]&lt;DATE(2000,1,1),Table13[[#This Row],[Order_Date]]&gt;TODAY()),"YES","NO")</f>
        <v>NO</v>
      </c>
      <c r="Q737" s="9">
        <f>IF(Table13[[#This Row],[Order_Status]] = "Cancelled",0,IF(Table13[[#This Row],[Order_Status]] = "Returned",Table13[[#This Row],[Net_Sales]] * -1,Table13[[#This Row],[Net_Sales]]))</f>
        <v>6.91</v>
      </c>
      <c r="R737" s="9" t="str">
        <f>IF(Table13[[#This Row],[Gross_Sales]]&gt;=500, "YES","NO")</f>
        <v>NO</v>
      </c>
    </row>
    <row r="738" spans="1:18" x14ac:dyDescent="0.3">
      <c r="A738">
        <v>100733</v>
      </c>
      <c r="B738" s="8">
        <v>45322.5</v>
      </c>
      <c r="C738" t="s">
        <v>14</v>
      </c>
      <c r="D738" t="s">
        <v>18</v>
      </c>
      <c r="E738" t="s">
        <v>68</v>
      </c>
      <c r="F738" t="s">
        <v>72</v>
      </c>
      <c r="G738">
        <v>4</v>
      </c>
      <c r="H738">
        <v>81.099999999999994</v>
      </c>
      <c r="I738">
        <v>10</v>
      </c>
      <c r="J738" t="s">
        <v>76</v>
      </c>
      <c r="K738" t="s">
        <v>77</v>
      </c>
      <c r="L738">
        <v>324.39999999999998</v>
      </c>
      <c r="M738">
        <v>32.44</v>
      </c>
      <c r="N738">
        <v>291.95999999999998</v>
      </c>
      <c r="O7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8" s="9" t="str">
        <f ca="1">IF(OR(ISNUMBER(Table13[[#This Row],[Order_Date]])=FALSE,Table13[[#This Row],[Order_Date]]&lt;DATE(2000,1,1),Table13[[#This Row],[Order_Date]]&gt;TODAY()),"YES","NO")</f>
        <v>NO</v>
      </c>
      <c r="Q738" s="9">
        <f>IF(Table13[[#This Row],[Order_Status]] = "Cancelled",0,IF(Table13[[#This Row],[Order_Status]] = "Returned",Table13[[#This Row],[Net_Sales]] * -1,Table13[[#This Row],[Net_Sales]]))</f>
        <v>291.95999999999998</v>
      </c>
      <c r="R738" s="9" t="str">
        <f>IF(Table13[[#This Row],[Gross_Sales]]&gt;=500, "YES","NO")</f>
        <v>NO</v>
      </c>
    </row>
    <row r="739" spans="1:18" x14ac:dyDescent="0.3">
      <c r="A739">
        <v>100734</v>
      </c>
      <c r="B739" s="8">
        <v>45322.541666666657</v>
      </c>
      <c r="C739" t="s">
        <v>15</v>
      </c>
      <c r="D739" t="s">
        <v>64</v>
      </c>
      <c r="E739" t="s">
        <v>66</v>
      </c>
      <c r="F739" t="s">
        <v>71</v>
      </c>
      <c r="G739">
        <v>5</v>
      </c>
      <c r="H739">
        <v>74.28</v>
      </c>
      <c r="I739">
        <v>0</v>
      </c>
      <c r="J739" t="s">
        <v>76</v>
      </c>
      <c r="K739" t="s">
        <v>77</v>
      </c>
      <c r="L739">
        <v>371.4</v>
      </c>
      <c r="M739">
        <v>0</v>
      </c>
      <c r="N739">
        <v>371.4</v>
      </c>
      <c r="O7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39" s="9" t="str">
        <f ca="1">IF(OR(ISNUMBER(Table13[[#This Row],[Order_Date]])=FALSE,Table13[[#This Row],[Order_Date]]&lt;DATE(2000,1,1),Table13[[#This Row],[Order_Date]]&gt;TODAY()),"YES","NO")</f>
        <v>NO</v>
      </c>
      <c r="Q739" s="9">
        <f>IF(Table13[[#This Row],[Order_Status]] = "Cancelled",0,IF(Table13[[#This Row],[Order_Status]] = "Returned",Table13[[#This Row],[Net_Sales]] * -1,Table13[[#This Row],[Net_Sales]]))</f>
        <v>371.4</v>
      </c>
      <c r="R739" s="9" t="str">
        <f>IF(Table13[[#This Row],[Gross_Sales]]&gt;=500, "YES","NO")</f>
        <v>NO</v>
      </c>
    </row>
    <row r="740" spans="1:18" x14ac:dyDescent="0.3">
      <c r="A740">
        <v>100735</v>
      </c>
      <c r="B740" s="8">
        <v>45322.583333333343</v>
      </c>
      <c r="C740" t="s">
        <v>15</v>
      </c>
      <c r="D740" t="s">
        <v>29</v>
      </c>
      <c r="E740" t="s">
        <v>67</v>
      </c>
      <c r="F740" t="s">
        <v>71</v>
      </c>
      <c r="G740">
        <v>3</v>
      </c>
      <c r="H740">
        <v>23.75</v>
      </c>
      <c r="I740">
        <v>5</v>
      </c>
      <c r="J740" t="s">
        <v>73</v>
      </c>
      <c r="K740" t="s">
        <v>77</v>
      </c>
      <c r="L740">
        <v>71.25</v>
      </c>
      <c r="M740">
        <v>3.5625</v>
      </c>
      <c r="N740">
        <v>67.6875</v>
      </c>
      <c r="O7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0" s="9" t="str">
        <f ca="1">IF(OR(ISNUMBER(Table13[[#This Row],[Order_Date]])=FALSE,Table13[[#This Row],[Order_Date]]&lt;DATE(2000,1,1),Table13[[#This Row],[Order_Date]]&gt;TODAY()),"YES","NO")</f>
        <v>NO</v>
      </c>
      <c r="Q740" s="9">
        <f>IF(Table13[[#This Row],[Order_Status]] = "Cancelled",0,IF(Table13[[#This Row],[Order_Status]] = "Returned",Table13[[#This Row],[Net_Sales]] * -1,Table13[[#This Row],[Net_Sales]]))</f>
        <v>67.6875</v>
      </c>
      <c r="R740" s="9" t="str">
        <f>IF(Table13[[#This Row],[Gross_Sales]]&gt;=500, "YES","NO")</f>
        <v>NO</v>
      </c>
    </row>
    <row r="741" spans="1:18" x14ac:dyDescent="0.3">
      <c r="A741">
        <v>100736</v>
      </c>
      <c r="B741" s="8">
        <v>45322.625</v>
      </c>
      <c r="C741" t="s">
        <v>14</v>
      </c>
      <c r="D741" t="s">
        <v>19</v>
      </c>
      <c r="E741" t="s">
        <v>69</v>
      </c>
      <c r="F741" t="s">
        <v>72</v>
      </c>
      <c r="G741">
        <v>5</v>
      </c>
      <c r="H741">
        <v>31.89</v>
      </c>
      <c r="I741">
        <v>5</v>
      </c>
      <c r="J741" t="s">
        <v>76</v>
      </c>
      <c r="K741" t="s">
        <v>77</v>
      </c>
      <c r="L741">
        <v>159.44999999999999</v>
      </c>
      <c r="M741">
        <v>7.9725000000000001</v>
      </c>
      <c r="N741">
        <v>151.47749999999999</v>
      </c>
      <c r="O7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1" s="9" t="str">
        <f ca="1">IF(OR(ISNUMBER(Table13[[#This Row],[Order_Date]])=FALSE,Table13[[#This Row],[Order_Date]]&lt;DATE(2000,1,1),Table13[[#This Row],[Order_Date]]&gt;TODAY()),"YES","NO")</f>
        <v>NO</v>
      </c>
      <c r="Q741" s="9">
        <f>IF(Table13[[#This Row],[Order_Status]] = "Cancelled",0,IF(Table13[[#This Row],[Order_Status]] = "Returned",Table13[[#This Row],[Net_Sales]] * -1,Table13[[#This Row],[Net_Sales]]))</f>
        <v>151.47749999999999</v>
      </c>
      <c r="R741" s="9" t="str">
        <f>IF(Table13[[#This Row],[Gross_Sales]]&gt;=500, "YES","NO")</f>
        <v>NO</v>
      </c>
    </row>
    <row r="742" spans="1:18" x14ac:dyDescent="0.3">
      <c r="A742">
        <v>100737</v>
      </c>
      <c r="B742" s="8">
        <v>45322.666666666657</v>
      </c>
      <c r="C742" t="s">
        <v>15</v>
      </c>
      <c r="D742" t="s">
        <v>51</v>
      </c>
      <c r="E742" t="s">
        <v>68</v>
      </c>
      <c r="F742" t="s">
        <v>71</v>
      </c>
      <c r="G742">
        <v>3</v>
      </c>
      <c r="H742">
        <v>7.73</v>
      </c>
      <c r="I742">
        <v>10</v>
      </c>
      <c r="J742" t="s">
        <v>76</v>
      </c>
      <c r="K742" t="s">
        <v>77</v>
      </c>
      <c r="L742">
        <v>23.19</v>
      </c>
      <c r="M742">
        <v>2.319</v>
      </c>
      <c r="N742">
        <v>20.870999999999999</v>
      </c>
      <c r="O7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2" s="9" t="str">
        <f ca="1">IF(OR(ISNUMBER(Table13[[#This Row],[Order_Date]])=FALSE,Table13[[#This Row],[Order_Date]]&lt;DATE(2000,1,1),Table13[[#This Row],[Order_Date]]&gt;TODAY()),"YES","NO")</f>
        <v>NO</v>
      </c>
      <c r="Q742" s="9">
        <f>IF(Table13[[#This Row],[Order_Status]] = "Cancelled",0,IF(Table13[[#This Row],[Order_Status]] = "Returned",Table13[[#This Row],[Net_Sales]] * -1,Table13[[#This Row],[Net_Sales]]))</f>
        <v>20.870999999999999</v>
      </c>
      <c r="R742" s="9" t="str">
        <f>IF(Table13[[#This Row],[Gross_Sales]]&gt;=500, "YES","NO")</f>
        <v>NO</v>
      </c>
    </row>
    <row r="743" spans="1:18" x14ac:dyDescent="0.3">
      <c r="A743">
        <v>100738</v>
      </c>
      <c r="B743" s="8">
        <v>45322.708333333343</v>
      </c>
      <c r="C743" t="s">
        <v>14</v>
      </c>
      <c r="D743" t="s">
        <v>25</v>
      </c>
      <c r="E743" t="s">
        <v>69</v>
      </c>
      <c r="F743" t="s">
        <v>71</v>
      </c>
      <c r="G743">
        <v>4</v>
      </c>
      <c r="H743">
        <v>101.02</v>
      </c>
      <c r="I743">
        <v>0</v>
      </c>
      <c r="J743" t="s">
        <v>76</v>
      </c>
      <c r="K743" t="s">
        <v>77</v>
      </c>
      <c r="L743">
        <v>404.08</v>
      </c>
      <c r="M743">
        <v>0</v>
      </c>
      <c r="N743">
        <v>404.08</v>
      </c>
      <c r="O7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3" s="9" t="str">
        <f ca="1">IF(OR(ISNUMBER(Table13[[#This Row],[Order_Date]])=FALSE,Table13[[#This Row],[Order_Date]]&lt;DATE(2000,1,1),Table13[[#This Row],[Order_Date]]&gt;TODAY()),"YES","NO")</f>
        <v>NO</v>
      </c>
      <c r="Q743" s="9">
        <f>IF(Table13[[#This Row],[Order_Status]] = "Cancelled",0,IF(Table13[[#This Row],[Order_Status]] = "Returned",Table13[[#This Row],[Net_Sales]] * -1,Table13[[#This Row],[Net_Sales]]))</f>
        <v>404.08</v>
      </c>
      <c r="R743" s="9" t="str">
        <f>IF(Table13[[#This Row],[Gross_Sales]]&gt;=500, "YES","NO")</f>
        <v>NO</v>
      </c>
    </row>
    <row r="744" spans="1:18" x14ac:dyDescent="0.3">
      <c r="A744">
        <v>100739</v>
      </c>
      <c r="B744" s="8">
        <v>45322.75</v>
      </c>
      <c r="C744" t="s">
        <v>14</v>
      </c>
      <c r="D744" t="s">
        <v>62</v>
      </c>
      <c r="E744" t="s">
        <v>67</v>
      </c>
      <c r="F744" t="s">
        <v>71</v>
      </c>
      <c r="G744">
        <v>1</v>
      </c>
      <c r="H744">
        <v>117.09</v>
      </c>
      <c r="I744">
        <v>10</v>
      </c>
      <c r="J744" t="s">
        <v>76</v>
      </c>
      <c r="K744" t="s">
        <v>77</v>
      </c>
      <c r="L744">
        <v>117.09</v>
      </c>
      <c r="M744">
        <v>11.709</v>
      </c>
      <c r="N744">
        <v>105.381</v>
      </c>
      <c r="O7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4" s="9" t="str">
        <f ca="1">IF(OR(ISNUMBER(Table13[[#This Row],[Order_Date]])=FALSE,Table13[[#This Row],[Order_Date]]&lt;DATE(2000,1,1),Table13[[#This Row],[Order_Date]]&gt;TODAY()),"YES","NO")</f>
        <v>NO</v>
      </c>
      <c r="Q744" s="9">
        <f>IF(Table13[[#This Row],[Order_Status]] = "Cancelled",0,IF(Table13[[#This Row],[Order_Status]] = "Returned",Table13[[#This Row],[Net_Sales]] * -1,Table13[[#This Row],[Net_Sales]]))</f>
        <v>105.381</v>
      </c>
      <c r="R744" s="9" t="str">
        <f>IF(Table13[[#This Row],[Gross_Sales]]&gt;=500, "YES","NO")</f>
        <v>NO</v>
      </c>
    </row>
    <row r="745" spans="1:18" x14ac:dyDescent="0.3">
      <c r="A745">
        <v>100740</v>
      </c>
      <c r="B745" s="8">
        <v>45322.791666666657</v>
      </c>
      <c r="C745" t="s">
        <v>15</v>
      </c>
      <c r="D745" t="s">
        <v>16</v>
      </c>
      <c r="E745" t="s">
        <v>69</v>
      </c>
      <c r="F745" t="s">
        <v>71</v>
      </c>
      <c r="G745">
        <v>1</v>
      </c>
      <c r="H745">
        <v>20.58</v>
      </c>
      <c r="I745">
        <v>10</v>
      </c>
      <c r="J745" t="s">
        <v>75</v>
      </c>
      <c r="K745" t="s">
        <v>77</v>
      </c>
      <c r="L745">
        <v>20.58</v>
      </c>
      <c r="M745">
        <v>2.0579999999999998</v>
      </c>
      <c r="N745">
        <v>18.521999999999998</v>
      </c>
      <c r="O7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5" s="9" t="str">
        <f ca="1">IF(OR(ISNUMBER(Table13[[#This Row],[Order_Date]])=FALSE,Table13[[#This Row],[Order_Date]]&lt;DATE(2000,1,1),Table13[[#This Row],[Order_Date]]&gt;TODAY()),"YES","NO")</f>
        <v>NO</v>
      </c>
      <c r="Q745" s="9">
        <f>IF(Table13[[#This Row],[Order_Status]] = "Cancelled",0,IF(Table13[[#This Row],[Order_Status]] = "Returned",Table13[[#This Row],[Net_Sales]] * -1,Table13[[#This Row],[Net_Sales]]))</f>
        <v>18.521999999999998</v>
      </c>
      <c r="R745" s="9" t="str">
        <f>IF(Table13[[#This Row],[Gross_Sales]]&gt;=500, "YES","NO")</f>
        <v>NO</v>
      </c>
    </row>
    <row r="746" spans="1:18" x14ac:dyDescent="0.3">
      <c r="A746">
        <v>100741</v>
      </c>
      <c r="B746" s="8">
        <v>45322.833333333343</v>
      </c>
      <c r="C746" t="s">
        <v>14</v>
      </c>
      <c r="D746" t="s">
        <v>35</v>
      </c>
      <c r="E746" t="s">
        <v>69</v>
      </c>
      <c r="F746" t="s">
        <v>72</v>
      </c>
      <c r="G746">
        <v>5</v>
      </c>
      <c r="H746">
        <v>31.62</v>
      </c>
      <c r="I746">
        <v>0</v>
      </c>
      <c r="J746" t="s">
        <v>74</v>
      </c>
      <c r="K746" t="s">
        <v>77</v>
      </c>
      <c r="L746">
        <v>158.1</v>
      </c>
      <c r="M746">
        <v>0</v>
      </c>
      <c r="N746">
        <v>158.1</v>
      </c>
      <c r="O7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6" s="9" t="str">
        <f ca="1">IF(OR(ISNUMBER(Table13[[#This Row],[Order_Date]])=FALSE,Table13[[#This Row],[Order_Date]]&lt;DATE(2000,1,1),Table13[[#This Row],[Order_Date]]&gt;TODAY()),"YES","NO")</f>
        <v>NO</v>
      </c>
      <c r="Q746" s="9">
        <f>IF(Table13[[#This Row],[Order_Status]] = "Cancelled",0,IF(Table13[[#This Row],[Order_Status]] = "Returned",Table13[[#This Row],[Net_Sales]] * -1,Table13[[#This Row],[Net_Sales]]))</f>
        <v>158.1</v>
      </c>
      <c r="R746" s="9" t="str">
        <f>IF(Table13[[#This Row],[Gross_Sales]]&gt;=500, "YES","NO")</f>
        <v>NO</v>
      </c>
    </row>
    <row r="747" spans="1:18" x14ac:dyDescent="0.3">
      <c r="A747">
        <v>100742</v>
      </c>
      <c r="B747" s="8">
        <v>45322.875</v>
      </c>
      <c r="C747" t="s">
        <v>15</v>
      </c>
      <c r="D747" t="s">
        <v>62</v>
      </c>
      <c r="E747" t="s">
        <v>67</v>
      </c>
      <c r="F747" t="s">
        <v>71</v>
      </c>
      <c r="G747">
        <v>1</v>
      </c>
      <c r="H747">
        <v>104.87</v>
      </c>
      <c r="I747">
        <v>10</v>
      </c>
      <c r="J747" t="s">
        <v>75</v>
      </c>
      <c r="K747" t="s">
        <v>77</v>
      </c>
      <c r="L747">
        <v>104.87</v>
      </c>
      <c r="M747">
        <v>10.487</v>
      </c>
      <c r="N747">
        <v>94.38300000000001</v>
      </c>
      <c r="O7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7" s="9" t="str">
        <f ca="1">IF(OR(ISNUMBER(Table13[[#This Row],[Order_Date]])=FALSE,Table13[[#This Row],[Order_Date]]&lt;DATE(2000,1,1),Table13[[#This Row],[Order_Date]]&gt;TODAY()),"YES","NO")</f>
        <v>NO</v>
      </c>
      <c r="Q747" s="9">
        <f>IF(Table13[[#This Row],[Order_Status]] = "Cancelled",0,IF(Table13[[#This Row],[Order_Status]] = "Returned",Table13[[#This Row],[Net_Sales]] * -1,Table13[[#This Row],[Net_Sales]]))</f>
        <v>94.38300000000001</v>
      </c>
      <c r="R747" s="9" t="str">
        <f>IF(Table13[[#This Row],[Gross_Sales]]&gt;=500, "YES","NO")</f>
        <v>NO</v>
      </c>
    </row>
    <row r="748" spans="1:18" x14ac:dyDescent="0.3">
      <c r="A748">
        <v>100743</v>
      </c>
      <c r="B748" s="8">
        <v>45322.916666666657</v>
      </c>
      <c r="C748" t="s">
        <v>15</v>
      </c>
      <c r="D748" t="s">
        <v>44</v>
      </c>
      <c r="E748" t="s">
        <v>66</v>
      </c>
      <c r="F748" t="s">
        <v>71</v>
      </c>
      <c r="G748">
        <v>4</v>
      </c>
      <c r="H748">
        <v>111.54</v>
      </c>
      <c r="I748">
        <v>5</v>
      </c>
      <c r="J748" t="s">
        <v>75</v>
      </c>
      <c r="K748" t="s">
        <v>77</v>
      </c>
      <c r="L748">
        <v>446.16</v>
      </c>
      <c r="M748">
        <v>22.308</v>
      </c>
      <c r="N748">
        <v>423.85199999999998</v>
      </c>
      <c r="O7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8" s="9" t="str">
        <f ca="1">IF(OR(ISNUMBER(Table13[[#This Row],[Order_Date]])=FALSE,Table13[[#This Row],[Order_Date]]&lt;DATE(2000,1,1),Table13[[#This Row],[Order_Date]]&gt;TODAY()),"YES","NO")</f>
        <v>NO</v>
      </c>
      <c r="Q748" s="9">
        <f>IF(Table13[[#This Row],[Order_Status]] = "Cancelled",0,IF(Table13[[#This Row],[Order_Status]] = "Returned",Table13[[#This Row],[Net_Sales]] * -1,Table13[[#This Row],[Net_Sales]]))</f>
        <v>423.85199999999998</v>
      </c>
      <c r="R748" s="9" t="str">
        <f>IF(Table13[[#This Row],[Gross_Sales]]&gt;=500, "YES","NO")</f>
        <v>NO</v>
      </c>
    </row>
    <row r="749" spans="1:18" x14ac:dyDescent="0.3">
      <c r="A749">
        <v>100744</v>
      </c>
      <c r="B749" s="8">
        <v>45322.958333333343</v>
      </c>
      <c r="C749" t="s">
        <v>14</v>
      </c>
      <c r="D749" t="s">
        <v>17</v>
      </c>
      <c r="E749" t="s">
        <v>69</v>
      </c>
      <c r="F749" t="s">
        <v>71</v>
      </c>
      <c r="G749">
        <v>5</v>
      </c>
      <c r="H749">
        <v>53.26</v>
      </c>
      <c r="I749">
        <v>15</v>
      </c>
      <c r="J749" t="s">
        <v>73</v>
      </c>
      <c r="K749" t="s">
        <v>77</v>
      </c>
      <c r="L749">
        <v>266.3</v>
      </c>
      <c r="M749">
        <v>39.945</v>
      </c>
      <c r="N749">
        <v>226.35499999999999</v>
      </c>
      <c r="O7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49" s="9" t="str">
        <f ca="1">IF(OR(ISNUMBER(Table13[[#This Row],[Order_Date]])=FALSE,Table13[[#This Row],[Order_Date]]&lt;DATE(2000,1,1),Table13[[#This Row],[Order_Date]]&gt;TODAY()),"YES","NO")</f>
        <v>NO</v>
      </c>
      <c r="Q749" s="9">
        <f>IF(Table13[[#This Row],[Order_Status]] = "Cancelled",0,IF(Table13[[#This Row],[Order_Status]] = "Returned",Table13[[#This Row],[Net_Sales]] * -1,Table13[[#This Row],[Net_Sales]]))</f>
        <v>226.35499999999999</v>
      </c>
      <c r="R749" s="9" t="str">
        <f>IF(Table13[[#This Row],[Gross_Sales]]&gt;=500, "YES","NO")</f>
        <v>NO</v>
      </c>
    </row>
    <row r="750" spans="1:18" x14ac:dyDescent="0.3">
      <c r="A750">
        <v>100745</v>
      </c>
      <c r="B750" s="8">
        <v>45323</v>
      </c>
      <c r="C750" t="s">
        <v>14</v>
      </c>
      <c r="D750" t="s">
        <v>41</v>
      </c>
      <c r="E750" t="s">
        <v>69</v>
      </c>
      <c r="F750" t="s">
        <v>71</v>
      </c>
      <c r="G750">
        <v>3</v>
      </c>
      <c r="H750">
        <v>10.82</v>
      </c>
      <c r="I750">
        <v>15</v>
      </c>
      <c r="J750" t="s">
        <v>76</v>
      </c>
      <c r="K750" t="s">
        <v>77</v>
      </c>
      <c r="L750">
        <v>32.46</v>
      </c>
      <c r="M750">
        <v>4.8689999999999998</v>
      </c>
      <c r="N750">
        <v>27.591000000000001</v>
      </c>
      <c r="O7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0" s="9" t="str">
        <f ca="1">IF(OR(ISNUMBER(Table13[[#This Row],[Order_Date]])=FALSE,Table13[[#This Row],[Order_Date]]&lt;DATE(2000,1,1),Table13[[#This Row],[Order_Date]]&gt;TODAY()),"YES","NO")</f>
        <v>NO</v>
      </c>
      <c r="Q750" s="9">
        <f>IF(Table13[[#This Row],[Order_Status]] = "Cancelled",0,IF(Table13[[#This Row],[Order_Status]] = "Returned",Table13[[#This Row],[Net_Sales]] * -1,Table13[[#This Row],[Net_Sales]]))</f>
        <v>27.591000000000001</v>
      </c>
      <c r="R750" s="9" t="str">
        <f>IF(Table13[[#This Row],[Gross_Sales]]&gt;=500, "YES","NO")</f>
        <v>NO</v>
      </c>
    </row>
    <row r="751" spans="1:18" x14ac:dyDescent="0.3">
      <c r="A751">
        <v>100746</v>
      </c>
      <c r="B751" s="8">
        <v>45323.041666666657</v>
      </c>
      <c r="C751" t="s">
        <v>15</v>
      </c>
      <c r="D751" t="s">
        <v>31</v>
      </c>
      <c r="E751" t="s">
        <v>66</v>
      </c>
      <c r="F751" t="s">
        <v>71</v>
      </c>
      <c r="G751">
        <v>1</v>
      </c>
      <c r="H751">
        <v>9.5299999999999994</v>
      </c>
      <c r="I751">
        <v>10</v>
      </c>
      <c r="J751" t="s">
        <v>75</v>
      </c>
      <c r="K751" t="s">
        <v>77</v>
      </c>
      <c r="L751">
        <v>9.5299999999999994</v>
      </c>
      <c r="M751">
        <v>0.95299999999999996</v>
      </c>
      <c r="N751">
        <v>8.577</v>
      </c>
      <c r="O7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1" s="9" t="str">
        <f ca="1">IF(OR(ISNUMBER(Table13[[#This Row],[Order_Date]])=FALSE,Table13[[#This Row],[Order_Date]]&lt;DATE(2000,1,1),Table13[[#This Row],[Order_Date]]&gt;TODAY()),"YES","NO")</f>
        <v>NO</v>
      </c>
      <c r="Q751" s="9">
        <f>IF(Table13[[#This Row],[Order_Status]] = "Cancelled",0,IF(Table13[[#This Row],[Order_Status]] = "Returned",Table13[[#This Row],[Net_Sales]] * -1,Table13[[#This Row],[Net_Sales]]))</f>
        <v>8.577</v>
      </c>
      <c r="R751" s="9" t="str">
        <f>IF(Table13[[#This Row],[Gross_Sales]]&gt;=500, "YES","NO")</f>
        <v>NO</v>
      </c>
    </row>
    <row r="752" spans="1:18" x14ac:dyDescent="0.3">
      <c r="A752">
        <v>100747</v>
      </c>
      <c r="B752" s="8">
        <v>45323.083333333343</v>
      </c>
      <c r="C752" t="s">
        <v>14</v>
      </c>
      <c r="D752" t="s">
        <v>17</v>
      </c>
      <c r="E752" t="s">
        <v>69</v>
      </c>
      <c r="F752" t="s">
        <v>71</v>
      </c>
      <c r="G752">
        <v>2</v>
      </c>
      <c r="H752">
        <v>71</v>
      </c>
      <c r="I752">
        <v>0</v>
      </c>
      <c r="J752" t="s">
        <v>76</v>
      </c>
      <c r="K752" t="s">
        <v>77</v>
      </c>
      <c r="L752">
        <v>142</v>
      </c>
      <c r="M752">
        <v>0</v>
      </c>
      <c r="N752">
        <v>142</v>
      </c>
      <c r="O7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2" s="9" t="str">
        <f ca="1">IF(OR(ISNUMBER(Table13[[#This Row],[Order_Date]])=FALSE,Table13[[#This Row],[Order_Date]]&lt;DATE(2000,1,1),Table13[[#This Row],[Order_Date]]&gt;TODAY()),"YES","NO")</f>
        <v>NO</v>
      </c>
      <c r="Q752" s="9">
        <f>IF(Table13[[#This Row],[Order_Status]] = "Cancelled",0,IF(Table13[[#This Row],[Order_Status]] = "Returned",Table13[[#This Row],[Net_Sales]] * -1,Table13[[#This Row],[Net_Sales]]))</f>
        <v>142</v>
      </c>
      <c r="R752" s="9" t="str">
        <f>IF(Table13[[#This Row],[Gross_Sales]]&gt;=500, "YES","NO")</f>
        <v>NO</v>
      </c>
    </row>
    <row r="753" spans="1:18" x14ac:dyDescent="0.3">
      <c r="A753">
        <v>100748</v>
      </c>
      <c r="B753" s="8">
        <v>45323.125</v>
      </c>
      <c r="C753" t="s">
        <v>14</v>
      </c>
      <c r="D753" t="s">
        <v>17</v>
      </c>
      <c r="E753" t="s">
        <v>69</v>
      </c>
      <c r="F753" t="s">
        <v>71</v>
      </c>
      <c r="G753">
        <v>1</v>
      </c>
      <c r="H753">
        <v>50.18</v>
      </c>
      <c r="I753">
        <v>0</v>
      </c>
      <c r="J753" t="s">
        <v>75</v>
      </c>
      <c r="K753" t="s">
        <v>78</v>
      </c>
      <c r="L753">
        <v>50.18</v>
      </c>
      <c r="M753">
        <v>0</v>
      </c>
      <c r="N753">
        <v>50.18</v>
      </c>
      <c r="O7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53" s="9" t="str">
        <f ca="1">IF(OR(ISNUMBER(Table13[[#This Row],[Order_Date]])=FALSE,Table13[[#This Row],[Order_Date]]&lt;DATE(2000,1,1),Table13[[#This Row],[Order_Date]]&gt;TODAY()),"YES","NO")</f>
        <v>NO</v>
      </c>
      <c r="Q753" s="9">
        <f>IF(Table13[[#This Row],[Order_Status]] = "Cancelled",0,IF(Table13[[#This Row],[Order_Status]] = "Returned",Table13[[#This Row],[Net_Sales]] * -1,Table13[[#This Row],[Net_Sales]]))</f>
        <v>-50.18</v>
      </c>
      <c r="R753" s="9" t="str">
        <f>IF(Table13[[#This Row],[Gross_Sales]]&gt;=500, "YES","NO")</f>
        <v>NO</v>
      </c>
    </row>
    <row r="754" spans="1:18" x14ac:dyDescent="0.3">
      <c r="A754">
        <v>100749</v>
      </c>
      <c r="B754" s="8">
        <v>45323.166666666657</v>
      </c>
      <c r="C754" t="s">
        <v>14</v>
      </c>
      <c r="D754" t="s">
        <v>54</v>
      </c>
      <c r="E754" t="s">
        <v>69</v>
      </c>
      <c r="F754" t="s">
        <v>71</v>
      </c>
      <c r="G754">
        <v>3</v>
      </c>
      <c r="H754">
        <v>8.3000000000000007</v>
      </c>
      <c r="I754">
        <v>5</v>
      </c>
      <c r="J754" t="s">
        <v>75</v>
      </c>
      <c r="K754" t="s">
        <v>77</v>
      </c>
      <c r="L754">
        <v>24.9</v>
      </c>
      <c r="M754">
        <v>1.2450000000000001</v>
      </c>
      <c r="N754">
        <v>23.655000000000001</v>
      </c>
      <c r="O7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4" s="9" t="str">
        <f ca="1">IF(OR(ISNUMBER(Table13[[#This Row],[Order_Date]])=FALSE,Table13[[#This Row],[Order_Date]]&lt;DATE(2000,1,1),Table13[[#This Row],[Order_Date]]&gt;TODAY()),"YES","NO")</f>
        <v>NO</v>
      </c>
      <c r="Q754" s="9">
        <f>IF(Table13[[#This Row],[Order_Status]] = "Cancelled",0,IF(Table13[[#This Row],[Order_Status]] = "Returned",Table13[[#This Row],[Net_Sales]] * -1,Table13[[#This Row],[Net_Sales]]))</f>
        <v>23.655000000000001</v>
      </c>
      <c r="R754" s="9" t="str">
        <f>IF(Table13[[#This Row],[Gross_Sales]]&gt;=500, "YES","NO")</f>
        <v>NO</v>
      </c>
    </row>
    <row r="755" spans="1:18" x14ac:dyDescent="0.3">
      <c r="A755">
        <v>100750</v>
      </c>
      <c r="B755" s="8">
        <v>45323.208333333343</v>
      </c>
      <c r="C755" t="s">
        <v>15</v>
      </c>
      <c r="D755" t="s">
        <v>16</v>
      </c>
      <c r="E755" t="s">
        <v>70</v>
      </c>
      <c r="F755" t="s">
        <v>72</v>
      </c>
      <c r="G755">
        <v>5</v>
      </c>
      <c r="H755">
        <v>72.069999999999993</v>
      </c>
      <c r="I755">
        <v>0</v>
      </c>
      <c r="J755" t="s">
        <v>73</v>
      </c>
      <c r="K755" t="s">
        <v>77</v>
      </c>
      <c r="L755">
        <v>360.35</v>
      </c>
      <c r="M755">
        <v>0</v>
      </c>
      <c r="N755">
        <v>360.35</v>
      </c>
      <c r="O7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5" s="9" t="str">
        <f ca="1">IF(OR(ISNUMBER(Table13[[#This Row],[Order_Date]])=FALSE,Table13[[#This Row],[Order_Date]]&lt;DATE(2000,1,1),Table13[[#This Row],[Order_Date]]&gt;TODAY()),"YES","NO")</f>
        <v>NO</v>
      </c>
      <c r="Q755" s="9">
        <f>IF(Table13[[#This Row],[Order_Status]] = "Cancelled",0,IF(Table13[[#This Row],[Order_Status]] = "Returned",Table13[[#This Row],[Net_Sales]] * -1,Table13[[#This Row],[Net_Sales]]))</f>
        <v>360.35</v>
      </c>
      <c r="R755" s="9" t="str">
        <f>IF(Table13[[#This Row],[Gross_Sales]]&gt;=500, "YES","NO")</f>
        <v>NO</v>
      </c>
    </row>
    <row r="756" spans="1:18" x14ac:dyDescent="0.3">
      <c r="A756">
        <v>100751</v>
      </c>
      <c r="B756" s="8">
        <v>45323.25</v>
      </c>
      <c r="C756" t="s">
        <v>15</v>
      </c>
      <c r="D756" t="s">
        <v>36</v>
      </c>
      <c r="E756" t="s">
        <v>66</v>
      </c>
      <c r="F756" t="s">
        <v>71</v>
      </c>
      <c r="G756">
        <v>3</v>
      </c>
      <c r="H756">
        <v>6.3</v>
      </c>
      <c r="I756">
        <v>0</v>
      </c>
      <c r="J756" t="s">
        <v>74</v>
      </c>
      <c r="K756" t="s">
        <v>77</v>
      </c>
      <c r="L756">
        <v>18.899999999999999</v>
      </c>
      <c r="M756">
        <v>0</v>
      </c>
      <c r="N756">
        <v>18.899999999999999</v>
      </c>
      <c r="O7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6" s="9" t="str">
        <f ca="1">IF(OR(ISNUMBER(Table13[[#This Row],[Order_Date]])=FALSE,Table13[[#This Row],[Order_Date]]&lt;DATE(2000,1,1),Table13[[#This Row],[Order_Date]]&gt;TODAY()),"YES","NO")</f>
        <v>NO</v>
      </c>
      <c r="Q756" s="9">
        <f>IF(Table13[[#This Row],[Order_Status]] = "Cancelled",0,IF(Table13[[#This Row],[Order_Status]] = "Returned",Table13[[#This Row],[Net_Sales]] * -1,Table13[[#This Row],[Net_Sales]]))</f>
        <v>18.899999999999999</v>
      </c>
      <c r="R756" s="9" t="str">
        <f>IF(Table13[[#This Row],[Gross_Sales]]&gt;=500, "YES","NO")</f>
        <v>NO</v>
      </c>
    </row>
    <row r="757" spans="1:18" x14ac:dyDescent="0.3">
      <c r="A757">
        <v>100752</v>
      </c>
      <c r="B757" s="8">
        <v>45323.291666666657</v>
      </c>
      <c r="C757" t="s">
        <v>14</v>
      </c>
      <c r="D757" t="s">
        <v>30</v>
      </c>
      <c r="E757" t="s">
        <v>69</v>
      </c>
      <c r="F757" t="s">
        <v>72</v>
      </c>
      <c r="G757">
        <v>2</v>
      </c>
      <c r="H757">
        <v>95.55</v>
      </c>
      <c r="I757">
        <v>5</v>
      </c>
      <c r="J757" t="s">
        <v>74</v>
      </c>
      <c r="K757" t="s">
        <v>78</v>
      </c>
      <c r="L757">
        <v>191.1</v>
      </c>
      <c r="M757">
        <v>9.5549999999999997</v>
      </c>
      <c r="N757">
        <v>181.54499999999999</v>
      </c>
      <c r="O7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57" s="9" t="str">
        <f ca="1">IF(OR(ISNUMBER(Table13[[#This Row],[Order_Date]])=FALSE,Table13[[#This Row],[Order_Date]]&lt;DATE(2000,1,1),Table13[[#This Row],[Order_Date]]&gt;TODAY()),"YES","NO")</f>
        <v>NO</v>
      </c>
      <c r="Q757" s="9">
        <f>IF(Table13[[#This Row],[Order_Status]] = "Cancelled",0,IF(Table13[[#This Row],[Order_Status]] = "Returned",Table13[[#This Row],[Net_Sales]] * -1,Table13[[#This Row],[Net_Sales]]))</f>
        <v>-181.54499999999999</v>
      </c>
      <c r="R757" s="9" t="str">
        <f>IF(Table13[[#This Row],[Gross_Sales]]&gt;=500, "YES","NO")</f>
        <v>NO</v>
      </c>
    </row>
    <row r="758" spans="1:18" x14ac:dyDescent="0.3">
      <c r="A758">
        <v>100753</v>
      </c>
      <c r="B758" s="8">
        <v>45323.333333333343</v>
      </c>
      <c r="C758" t="s">
        <v>15</v>
      </c>
      <c r="D758" t="s">
        <v>62</v>
      </c>
      <c r="E758" t="s">
        <v>66</v>
      </c>
      <c r="F758" t="s">
        <v>71</v>
      </c>
      <c r="G758">
        <v>4</v>
      </c>
      <c r="H758">
        <v>40.24</v>
      </c>
      <c r="I758">
        <v>10</v>
      </c>
      <c r="J758" t="s">
        <v>75</v>
      </c>
      <c r="K758" t="s">
        <v>78</v>
      </c>
      <c r="L758">
        <v>160.96</v>
      </c>
      <c r="M758">
        <v>16.096</v>
      </c>
      <c r="N758">
        <v>144.864</v>
      </c>
      <c r="O7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58" s="9" t="str">
        <f ca="1">IF(OR(ISNUMBER(Table13[[#This Row],[Order_Date]])=FALSE,Table13[[#This Row],[Order_Date]]&lt;DATE(2000,1,1),Table13[[#This Row],[Order_Date]]&gt;TODAY()),"YES","NO")</f>
        <v>NO</v>
      </c>
      <c r="Q758" s="9">
        <f>IF(Table13[[#This Row],[Order_Status]] = "Cancelled",0,IF(Table13[[#This Row],[Order_Status]] = "Returned",Table13[[#This Row],[Net_Sales]] * -1,Table13[[#This Row],[Net_Sales]]))</f>
        <v>-144.864</v>
      </c>
      <c r="R758" s="9" t="str">
        <f>IF(Table13[[#This Row],[Gross_Sales]]&gt;=500, "YES","NO")</f>
        <v>NO</v>
      </c>
    </row>
    <row r="759" spans="1:18" x14ac:dyDescent="0.3">
      <c r="A759">
        <v>100754</v>
      </c>
      <c r="B759" s="8">
        <v>45323.375</v>
      </c>
      <c r="C759" t="s">
        <v>15</v>
      </c>
      <c r="D759" t="s">
        <v>54</v>
      </c>
      <c r="E759" t="s">
        <v>68</v>
      </c>
      <c r="F759" t="s">
        <v>71</v>
      </c>
      <c r="G759">
        <v>1</v>
      </c>
      <c r="H759">
        <v>9.6300000000000008</v>
      </c>
      <c r="I759">
        <v>15</v>
      </c>
      <c r="J759" t="s">
        <v>73</v>
      </c>
      <c r="K759" t="s">
        <v>77</v>
      </c>
      <c r="L759">
        <v>9.6300000000000008</v>
      </c>
      <c r="M759">
        <v>1.4444999999999999</v>
      </c>
      <c r="N759">
        <v>8.1855000000000011</v>
      </c>
      <c r="O7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59" s="9" t="str">
        <f ca="1">IF(OR(ISNUMBER(Table13[[#This Row],[Order_Date]])=FALSE,Table13[[#This Row],[Order_Date]]&lt;DATE(2000,1,1),Table13[[#This Row],[Order_Date]]&gt;TODAY()),"YES","NO")</f>
        <v>NO</v>
      </c>
      <c r="Q759" s="9">
        <f>IF(Table13[[#This Row],[Order_Status]] = "Cancelled",0,IF(Table13[[#This Row],[Order_Status]] = "Returned",Table13[[#This Row],[Net_Sales]] * -1,Table13[[#This Row],[Net_Sales]]))</f>
        <v>8.1855000000000011</v>
      </c>
      <c r="R759" s="9" t="str">
        <f>IF(Table13[[#This Row],[Gross_Sales]]&gt;=500, "YES","NO")</f>
        <v>NO</v>
      </c>
    </row>
    <row r="760" spans="1:18" x14ac:dyDescent="0.3">
      <c r="A760">
        <v>100755</v>
      </c>
      <c r="B760" s="8">
        <v>45323.416666666657</v>
      </c>
      <c r="C760" t="s">
        <v>15</v>
      </c>
      <c r="D760" t="s">
        <v>61</v>
      </c>
      <c r="E760" t="s">
        <v>68</v>
      </c>
      <c r="F760" t="s">
        <v>71</v>
      </c>
      <c r="G760">
        <v>5</v>
      </c>
      <c r="H760">
        <v>72.66</v>
      </c>
      <c r="I760">
        <v>5</v>
      </c>
      <c r="J760" t="s">
        <v>76</v>
      </c>
      <c r="K760" t="s">
        <v>78</v>
      </c>
      <c r="L760">
        <v>363.3</v>
      </c>
      <c r="M760">
        <v>18.164999999999999</v>
      </c>
      <c r="N760">
        <v>345.13499999999988</v>
      </c>
      <c r="O7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60" s="9" t="str">
        <f ca="1">IF(OR(ISNUMBER(Table13[[#This Row],[Order_Date]])=FALSE,Table13[[#This Row],[Order_Date]]&lt;DATE(2000,1,1),Table13[[#This Row],[Order_Date]]&gt;TODAY()),"YES","NO")</f>
        <v>NO</v>
      </c>
      <c r="Q760" s="9">
        <f>IF(Table13[[#This Row],[Order_Status]] = "Cancelled",0,IF(Table13[[#This Row],[Order_Status]] = "Returned",Table13[[#This Row],[Net_Sales]] * -1,Table13[[#This Row],[Net_Sales]]))</f>
        <v>-345.13499999999988</v>
      </c>
      <c r="R760" s="9" t="str">
        <f>IF(Table13[[#This Row],[Gross_Sales]]&gt;=500, "YES","NO")</f>
        <v>NO</v>
      </c>
    </row>
    <row r="761" spans="1:18" x14ac:dyDescent="0.3">
      <c r="A761">
        <v>100756</v>
      </c>
      <c r="B761" s="8">
        <v>45323.458333333343</v>
      </c>
      <c r="C761" t="s">
        <v>15</v>
      </c>
      <c r="D761" t="s">
        <v>30</v>
      </c>
      <c r="E761" t="s">
        <v>69</v>
      </c>
      <c r="F761" t="s">
        <v>71</v>
      </c>
      <c r="G761">
        <v>4</v>
      </c>
      <c r="H761">
        <v>50.73</v>
      </c>
      <c r="I761">
        <v>10</v>
      </c>
      <c r="J761" t="s">
        <v>76</v>
      </c>
      <c r="K761" t="s">
        <v>77</v>
      </c>
      <c r="L761">
        <v>202.92</v>
      </c>
      <c r="M761">
        <v>20.292000000000002</v>
      </c>
      <c r="N761">
        <v>182.62799999999999</v>
      </c>
      <c r="O7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1" s="9" t="str">
        <f ca="1">IF(OR(ISNUMBER(Table13[[#This Row],[Order_Date]])=FALSE,Table13[[#This Row],[Order_Date]]&lt;DATE(2000,1,1),Table13[[#This Row],[Order_Date]]&gt;TODAY()),"YES","NO")</f>
        <v>NO</v>
      </c>
      <c r="Q761" s="9">
        <f>IF(Table13[[#This Row],[Order_Status]] = "Cancelled",0,IF(Table13[[#This Row],[Order_Status]] = "Returned",Table13[[#This Row],[Net_Sales]] * -1,Table13[[#This Row],[Net_Sales]]))</f>
        <v>182.62799999999999</v>
      </c>
      <c r="R761" s="9" t="str">
        <f>IF(Table13[[#This Row],[Gross_Sales]]&gt;=500, "YES","NO")</f>
        <v>NO</v>
      </c>
    </row>
    <row r="762" spans="1:18" x14ac:dyDescent="0.3">
      <c r="A762">
        <v>100757</v>
      </c>
      <c r="B762" s="8">
        <v>45323.5</v>
      </c>
      <c r="C762" t="s">
        <v>15</v>
      </c>
      <c r="D762" t="s">
        <v>56</v>
      </c>
      <c r="E762" t="s">
        <v>66</v>
      </c>
      <c r="F762" t="s">
        <v>72</v>
      </c>
      <c r="G762">
        <v>3</v>
      </c>
      <c r="H762">
        <v>116.99</v>
      </c>
      <c r="I762">
        <v>5</v>
      </c>
      <c r="J762" t="s">
        <v>75</v>
      </c>
      <c r="K762" t="s">
        <v>77</v>
      </c>
      <c r="L762">
        <v>350.97</v>
      </c>
      <c r="M762">
        <v>17.548500000000001</v>
      </c>
      <c r="N762">
        <v>333.42149999999998</v>
      </c>
      <c r="O7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2" s="9" t="str">
        <f ca="1">IF(OR(ISNUMBER(Table13[[#This Row],[Order_Date]])=FALSE,Table13[[#This Row],[Order_Date]]&lt;DATE(2000,1,1),Table13[[#This Row],[Order_Date]]&gt;TODAY()),"YES","NO")</f>
        <v>NO</v>
      </c>
      <c r="Q762" s="9">
        <f>IF(Table13[[#This Row],[Order_Status]] = "Cancelled",0,IF(Table13[[#This Row],[Order_Status]] = "Returned",Table13[[#This Row],[Net_Sales]] * -1,Table13[[#This Row],[Net_Sales]]))</f>
        <v>333.42149999999998</v>
      </c>
      <c r="R762" s="9" t="str">
        <f>IF(Table13[[#This Row],[Gross_Sales]]&gt;=500, "YES","NO")</f>
        <v>NO</v>
      </c>
    </row>
    <row r="763" spans="1:18" x14ac:dyDescent="0.3">
      <c r="A763">
        <v>100758</v>
      </c>
      <c r="B763" s="8">
        <v>45323.541666666657</v>
      </c>
      <c r="C763" t="s">
        <v>14</v>
      </c>
      <c r="D763" t="s">
        <v>25</v>
      </c>
      <c r="E763" t="s">
        <v>66</v>
      </c>
      <c r="F763" t="s">
        <v>71</v>
      </c>
      <c r="G763">
        <v>5</v>
      </c>
      <c r="H763">
        <v>67.58</v>
      </c>
      <c r="I763">
        <v>10</v>
      </c>
      <c r="J763" t="s">
        <v>74</v>
      </c>
      <c r="K763" t="s">
        <v>77</v>
      </c>
      <c r="L763">
        <v>337.9</v>
      </c>
      <c r="M763">
        <v>33.79</v>
      </c>
      <c r="N763">
        <v>304.11</v>
      </c>
      <c r="O7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3" s="9" t="str">
        <f ca="1">IF(OR(ISNUMBER(Table13[[#This Row],[Order_Date]])=FALSE,Table13[[#This Row],[Order_Date]]&lt;DATE(2000,1,1),Table13[[#This Row],[Order_Date]]&gt;TODAY()),"YES","NO")</f>
        <v>NO</v>
      </c>
      <c r="Q763" s="9">
        <f>IF(Table13[[#This Row],[Order_Status]] = "Cancelled",0,IF(Table13[[#This Row],[Order_Status]] = "Returned",Table13[[#This Row],[Net_Sales]] * -1,Table13[[#This Row],[Net_Sales]]))</f>
        <v>304.11</v>
      </c>
      <c r="R763" s="9" t="str">
        <f>IF(Table13[[#This Row],[Gross_Sales]]&gt;=500, "YES","NO")</f>
        <v>NO</v>
      </c>
    </row>
    <row r="764" spans="1:18" x14ac:dyDescent="0.3">
      <c r="A764">
        <v>100759</v>
      </c>
      <c r="B764" s="8">
        <v>45323.583333333343</v>
      </c>
      <c r="C764" t="s">
        <v>14</v>
      </c>
      <c r="D764" t="s">
        <v>48</v>
      </c>
      <c r="E764" t="s">
        <v>66</v>
      </c>
      <c r="F764" t="s">
        <v>71</v>
      </c>
      <c r="G764">
        <v>4</v>
      </c>
      <c r="H764">
        <v>36.65</v>
      </c>
      <c r="I764">
        <v>5</v>
      </c>
      <c r="J764" t="s">
        <v>73</v>
      </c>
      <c r="K764" t="s">
        <v>77</v>
      </c>
      <c r="L764">
        <v>146.6</v>
      </c>
      <c r="M764">
        <v>7.33</v>
      </c>
      <c r="N764">
        <v>139.27000000000001</v>
      </c>
      <c r="O7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4" s="9" t="str">
        <f ca="1">IF(OR(ISNUMBER(Table13[[#This Row],[Order_Date]])=FALSE,Table13[[#This Row],[Order_Date]]&lt;DATE(2000,1,1),Table13[[#This Row],[Order_Date]]&gt;TODAY()),"YES","NO")</f>
        <v>NO</v>
      </c>
      <c r="Q764" s="9">
        <f>IF(Table13[[#This Row],[Order_Status]] = "Cancelled",0,IF(Table13[[#This Row],[Order_Status]] = "Returned",Table13[[#This Row],[Net_Sales]] * -1,Table13[[#This Row],[Net_Sales]]))</f>
        <v>139.27000000000001</v>
      </c>
      <c r="R764" s="9" t="str">
        <f>IF(Table13[[#This Row],[Gross_Sales]]&gt;=500, "YES","NO")</f>
        <v>NO</v>
      </c>
    </row>
    <row r="765" spans="1:18" x14ac:dyDescent="0.3">
      <c r="A765">
        <v>100760</v>
      </c>
      <c r="B765" s="8">
        <v>45323.625</v>
      </c>
      <c r="C765" t="s">
        <v>14</v>
      </c>
      <c r="D765" t="s">
        <v>34</v>
      </c>
      <c r="E765" t="s">
        <v>70</v>
      </c>
      <c r="F765" t="s">
        <v>72</v>
      </c>
      <c r="G765">
        <v>5</v>
      </c>
      <c r="H765">
        <v>86.59</v>
      </c>
      <c r="I765">
        <v>10</v>
      </c>
      <c r="J765" t="s">
        <v>74</v>
      </c>
      <c r="K765" t="s">
        <v>78</v>
      </c>
      <c r="L765">
        <v>432.95</v>
      </c>
      <c r="M765">
        <v>43.295000000000009</v>
      </c>
      <c r="N765">
        <v>389.65499999999997</v>
      </c>
      <c r="O7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65" s="9" t="str">
        <f ca="1">IF(OR(ISNUMBER(Table13[[#This Row],[Order_Date]])=FALSE,Table13[[#This Row],[Order_Date]]&lt;DATE(2000,1,1),Table13[[#This Row],[Order_Date]]&gt;TODAY()),"YES","NO")</f>
        <v>NO</v>
      </c>
      <c r="Q765" s="9">
        <f>IF(Table13[[#This Row],[Order_Status]] = "Cancelled",0,IF(Table13[[#This Row],[Order_Status]] = "Returned",Table13[[#This Row],[Net_Sales]] * -1,Table13[[#This Row],[Net_Sales]]))</f>
        <v>-389.65499999999997</v>
      </c>
      <c r="R765" s="9" t="str">
        <f>IF(Table13[[#This Row],[Gross_Sales]]&gt;=500, "YES","NO")</f>
        <v>NO</v>
      </c>
    </row>
    <row r="766" spans="1:18" x14ac:dyDescent="0.3">
      <c r="A766">
        <v>100761</v>
      </c>
      <c r="B766" s="8">
        <v>45323.666666666657</v>
      </c>
      <c r="C766" t="s">
        <v>15</v>
      </c>
      <c r="D766" t="s">
        <v>50</v>
      </c>
      <c r="E766" t="s">
        <v>68</v>
      </c>
      <c r="F766" t="s">
        <v>72</v>
      </c>
      <c r="G766">
        <v>2</v>
      </c>
      <c r="H766">
        <v>36.22</v>
      </c>
      <c r="I766">
        <v>5</v>
      </c>
      <c r="J766" t="s">
        <v>76</v>
      </c>
      <c r="K766" t="s">
        <v>77</v>
      </c>
      <c r="L766">
        <v>72.44</v>
      </c>
      <c r="M766">
        <v>3.6219999999999999</v>
      </c>
      <c r="N766">
        <v>68.817999999999998</v>
      </c>
      <c r="O7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6" s="9" t="str">
        <f ca="1">IF(OR(ISNUMBER(Table13[[#This Row],[Order_Date]])=FALSE,Table13[[#This Row],[Order_Date]]&lt;DATE(2000,1,1),Table13[[#This Row],[Order_Date]]&gt;TODAY()),"YES","NO")</f>
        <v>NO</v>
      </c>
      <c r="Q766" s="9">
        <f>IF(Table13[[#This Row],[Order_Status]] = "Cancelled",0,IF(Table13[[#This Row],[Order_Status]] = "Returned",Table13[[#This Row],[Net_Sales]] * -1,Table13[[#This Row],[Net_Sales]]))</f>
        <v>68.817999999999998</v>
      </c>
      <c r="R766" s="9" t="str">
        <f>IF(Table13[[#This Row],[Gross_Sales]]&gt;=500, "YES","NO")</f>
        <v>NO</v>
      </c>
    </row>
    <row r="767" spans="1:18" x14ac:dyDescent="0.3">
      <c r="A767">
        <v>100762</v>
      </c>
      <c r="B767" s="8">
        <v>45323.708333333343</v>
      </c>
      <c r="C767" t="s">
        <v>15</v>
      </c>
      <c r="D767" t="s">
        <v>58</v>
      </c>
      <c r="E767" t="s">
        <v>66</v>
      </c>
      <c r="F767" t="s">
        <v>71</v>
      </c>
      <c r="G767">
        <v>2</v>
      </c>
      <c r="H767">
        <v>108.99</v>
      </c>
      <c r="I767">
        <v>10</v>
      </c>
      <c r="J767" t="s">
        <v>74</v>
      </c>
      <c r="K767" t="s">
        <v>79</v>
      </c>
      <c r="L767">
        <v>217.98</v>
      </c>
      <c r="M767">
        <v>21.797999999999998</v>
      </c>
      <c r="N767">
        <v>196.18199999999999</v>
      </c>
      <c r="O7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67" s="9" t="str">
        <f ca="1">IF(OR(ISNUMBER(Table13[[#This Row],[Order_Date]])=FALSE,Table13[[#This Row],[Order_Date]]&lt;DATE(2000,1,1),Table13[[#This Row],[Order_Date]]&gt;TODAY()),"YES","NO")</f>
        <v>NO</v>
      </c>
      <c r="Q767" s="9">
        <f>IF(Table13[[#This Row],[Order_Status]] = "Cancelled",0,IF(Table13[[#This Row],[Order_Status]] = "Returned",Table13[[#This Row],[Net_Sales]] * -1,Table13[[#This Row],[Net_Sales]]))</f>
        <v>0</v>
      </c>
      <c r="R767" s="9" t="str">
        <f>IF(Table13[[#This Row],[Gross_Sales]]&gt;=500, "YES","NO")</f>
        <v>NO</v>
      </c>
    </row>
    <row r="768" spans="1:18" x14ac:dyDescent="0.3">
      <c r="A768">
        <v>100763</v>
      </c>
      <c r="B768" s="8">
        <v>45323.75</v>
      </c>
      <c r="C768" t="s">
        <v>14</v>
      </c>
      <c r="D768" t="s">
        <v>58</v>
      </c>
      <c r="E768" t="s">
        <v>66</v>
      </c>
      <c r="F768" t="s">
        <v>72</v>
      </c>
      <c r="G768">
        <v>1</v>
      </c>
      <c r="H768">
        <v>48.09</v>
      </c>
      <c r="I768">
        <v>5</v>
      </c>
      <c r="J768" t="s">
        <v>76</v>
      </c>
      <c r="K768" t="s">
        <v>77</v>
      </c>
      <c r="L768">
        <v>48.09</v>
      </c>
      <c r="M768">
        <v>2.404500000000001</v>
      </c>
      <c r="N768">
        <v>45.685499999999998</v>
      </c>
      <c r="O7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8" s="9" t="str">
        <f ca="1">IF(OR(ISNUMBER(Table13[[#This Row],[Order_Date]])=FALSE,Table13[[#This Row],[Order_Date]]&lt;DATE(2000,1,1),Table13[[#This Row],[Order_Date]]&gt;TODAY()),"YES","NO")</f>
        <v>NO</v>
      </c>
      <c r="Q768" s="9">
        <f>IF(Table13[[#This Row],[Order_Status]] = "Cancelled",0,IF(Table13[[#This Row],[Order_Status]] = "Returned",Table13[[#This Row],[Net_Sales]] * -1,Table13[[#This Row],[Net_Sales]]))</f>
        <v>45.685499999999998</v>
      </c>
      <c r="R768" s="9" t="str">
        <f>IF(Table13[[#This Row],[Gross_Sales]]&gt;=500, "YES","NO")</f>
        <v>NO</v>
      </c>
    </row>
    <row r="769" spans="1:18" x14ac:dyDescent="0.3">
      <c r="A769">
        <v>100764</v>
      </c>
      <c r="B769" s="8">
        <v>45323.791666666657</v>
      </c>
      <c r="C769" t="s">
        <v>15</v>
      </c>
      <c r="D769" t="s">
        <v>33</v>
      </c>
      <c r="E769" t="s">
        <v>70</v>
      </c>
      <c r="F769" t="s">
        <v>72</v>
      </c>
      <c r="G769">
        <v>1</v>
      </c>
      <c r="H769">
        <v>68.23</v>
      </c>
      <c r="I769">
        <v>15</v>
      </c>
      <c r="J769" t="s">
        <v>73</v>
      </c>
      <c r="K769" t="s">
        <v>77</v>
      </c>
      <c r="L769">
        <v>68.23</v>
      </c>
      <c r="M769">
        <v>10.234500000000001</v>
      </c>
      <c r="N769">
        <v>57.995500000000007</v>
      </c>
      <c r="O7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69" s="9" t="str">
        <f ca="1">IF(OR(ISNUMBER(Table13[[#This Row],[Order_Date]])=FALSE,Table13[[#This Row],[Order_Date]]&lt;DATE(2000,1,1),Table13[[#This Row],[Order_Date]]&gt;TODAY()),"YES","NO")</f>
        <v>NO</v>
      </c>
      <c r="Q769" s="9">
        <f>IF(Table13[[#This Row],[Order_Status]] = "Cancelled",0,IF(Table13[[#This Row],[Order_Status]] = "Returned",Table13[[#This Row],[Net_Sales]] * -1,Table13[[#This Row],[Net_Sales]]))</f>
        <v>57.995500000000007</v>
      </c>
      <c r="R769" s="9" t="str">
        <f>IF(Table13[[#This Row],[Gross_Sales]]&gt;=500, "YES","NO")</f>
        <v>NO</v>
      </c>
    </row>
    <row r="770" spans="1:18" x14ac:dyDescent="0.3">
      <c r="A770">
        <v>100765</v>
      </c>
      <c r="B770" s="8">
        <v>45323.833333333343</v>
      </c>
      <c r="C770" t="s">
        <v>14</v>
      </c>
      <c r="D770" t="s">
        <v>47</v>
      </c>
      <c r="E770" t="s">
        <v>70</v>
      </c>
      <c r="F770" t="s">
        <v>72</v>
      </c>
      <c r="G770">
        <v>2</v>
      </c>
      <c r="H770">
        <v>10.82</v>
      </c>
      <c r="I770">
        <v>15</v>
      </c>
      <c r="J770" t="s">
        <v>73</v>
      </c>
      <c r="K770" t="s">
        <v>77</v>
      </c>
      <c r="L770">
        <v>21.64</v>
      </c>
      <c r="M770">
        <v>3.246</v>
      </c>
      <c r="N770">
        <v>18.393999999999998</v>
      </c>
      <c r="O7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0" s="9" t="str">
        <f ca="1">IF(OR(ISNUMBER(Table13[[#This Row],[Order_Date]])=FALSE,Table13[[#This Row],[Order_Date]]&lt;DATE(2000,1,1),Table13[[#This Row],[Order_Date]]&gt;TODAY()),"YES","NO")</f>
        <v>NO</v>
      </c>
      <c r="Q770" s="9">
        <f>IF(Table13[[#This Row],[Order_Status]] = "Cancelled",0,IF(Table13[[#This Row],[Order_Status]] = "Returned",Table13[[#This Row],[Net_Sales]] * -1,Table13[[#This Row],[Net_Sales]]))</f>
        <v>18.393999999999998</v>
      </c>
      <c r="R770" s="9" t="str">
        <f>IF(Table13[[#This Row],[Gross_Sales]]&gt;=500, "YES","NO")</f>
        <v>NO</v>
      </c>
    </row>
    <row r="771" spans="1:18" x14ac:dyDescent="0.3">
      <c r="A771">
        <v>100766</v>
      </c>
      <c r="B771" s="8">
        <v>45323.875</v>
      </c>
      <c r="C771" t="s">
        <v>14</v>
      </c>
      <c r="D771" t="s">
        <v>44</v>
      </c>
      <c r="E771" t="s">
        <v>66</v>
      </c>
      <c r="F771" t="s">
        <v>71</v>
      </c>
      <c r="G771">
        <v>5</v>
      </c>
      <c r="H771">
        <v>54</v>
      </c>
      <c r="I771">
        <v>0</v>
      </c>
      <c r="J771" t="s">
        <v>75</v>
      </c>
      <c r="K771" t="s">
        <v>77</v>
      </c>
      <c r="L771">
        <v>270</v>
      </c>
      <c r="M771">
        <v>0</v>
      </c>
      <c r="N771">
        <v>270</v>
      </c>
      <c r="O7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1" s="9" t="str">
        <f ca="1">IF(OR(ISNUMBER(Table13[[#This Row],[Order_Date]])=FALSE,Table13[[#This Row],[Order_Date]]&lt;DATE(2000,1,1),Table13[[#This Row],[Order_Date]]&gt;TODAY()),"YES","NO")</f>
        <v>NO</v>
      </c>
      <c r="Q771" s="9">
        <f>IF(Table13[[#This Row],[Order_Status]] = "Cancelled",0,IF(Table13[[#This Row],[Order_Status]] = "Returned",Table13[[#This Row],[Net_Sales]] * -1,Table13[[#This Row],[Net_Sales]]))</f>
        <v>270</v>
      </c>
      <c r="R771" s="9" t="str">
        <f>IF(Table13[[#This Row],[Gross_Sales]]&gt;=500, "YES","NO")</f>
        <v>NO</v>
      </c>
    </row>
    <row r="772" spans="1:18" x14ac:dyDescent="0.3">
      <c r="A772">
        <v>100767</v>
      </c>
      <c r="B772" s="8">
        <v>45323.916666666657</v>
      </c>
      <c r="C772" t="s">
        <v>14</v>
      </c>
      <c r="D772" t="s">
        <v>57</v>
      </c>
      <c r="E772" t="s">
        <v>67</v>
      </c>
      <c r="F772" t="s">
        <v>71</v>
      </c>
      <c r="G772">
        <v>2</v>
      </c>
      <c r="H772">
        <v>100.72</v>
      </c>
      <c r="I772">
        <v>10</v>
      </c>
      <c r="J772" t="s">
        <v>75</v>
      </c>
      <c r="K772" t="s">
        <v>77</v>
      </c>
      <c r="L772">
        <v>201.44</v>
      </c>
      <c r="M772">
        <v>20.143999999999998</v>
      </c>
      <c r="N772">
        <v>181.29599999999999</v>
      </c>
      <c r="O7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2" s="9" t="str">
        <f ca="1">IF(OR(ISNUMBER(Table13[[#This Row],[Order_Date]])=FALSE,Table13[[#This Row],[Order_Date]]&lt;DATE(2000,1,1),Table13[[#This Row],[Order_Date]]&gt;TODAY()),"YES","NO")</f>
        <v>NO</v>
      </c>
      <c r="Q772" s="9">
        <f>IF(Table13[[#This Row],[Order_Status]] = "Cancelled",0,IF(Table13[[#This Row],[Order_Status]] = "Returned",Table13[[#This Row],[Net_Sales]] * -1,Table13[[#This Row],[Net_Sales]]))</f>
        <v>181.29599999999999</v>
      </c>
      <c r="R772" s="9" t="str">
        <f>IF(Table13[[#This Row],[Gross_Sales]]&gt;=500, "YES","NO")</f>
        <v>NO</v>
      </c>
    </row>
    <row r="773" spans="1:18" x14ac:dyDescent="0.3">
      <c r="A773">
        <v>100768</v>
      </c>
      <c r="B773" s="8">
        <v>45323.958333333343</v>
      </c>
      <c r="C773" t="s">
        <v>15</v>
      </c>
      <c r="D773" t="s">
        <v>51</v>
      </c>
      <c r="E773" t="s">
        <v>66</v>
      </c>
      <c r="F773" t="s">
        <v>71</v>
      </c>
      <c r="G773">
        <v>1</v>
      </c>
      <c r="H773">
        <v>97.65</v>
      </c>
      <c r="I773">
        <v>5</v>
      </c>
      <c r="J773" t="s">
        <v>74</v>
      </c>
      <c r="K773" t="s">
        <v>77</v>
      </c>
      <c r="L773">
        <v>97.65</v>
      </c>
      <c r="M773">
        <v>4.8825000000000003</v>
      </c>
      <c r="N773">
        <v>92.767500000000013</v>
      </c>
      <c r="O7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3" s="9" t="str">
        <f ca="1">IF(OR(ISNUMBER(Table13[[#This Row],[Order_Date]])=FALSE,Table13[[#This Row],[Order_Date]]&lt;DATE(2000,1,1),Table13[[#This Row],[Order_Date]]&gt;TODAY()),"YES","NO")</f>
        <v>NO</v>
      </c>
      <c r="Q773" s="9">
        <f>IF(Table13[[#This Row],[Order_Status]] = "Cancelled",0,IF(Table13[[#This Row],[Order_Status]] = "Returned",Table13[[#This Row],[Net_Sales]] * -1,Table13[[#This Row],[Net_Sales]]))</f>
        <v>92.767500000000013</v>
      </c>
      <c r="R773" s="9" t="str">
        <f>IF(Table13[[#This Row],[Gross_Sales]]&gt;=500, "YES","NO")</f>
        <v>NO</v>
      </c>
    </row>
    <row r="774" spans="1:18" x14ac:dyDescent="0.3">
      <c r="A774">
        <v>100769</v>
      </c>
      <c r="B774" s="8">
        <v>45324</v>
      </c>
      <c r="C774" t="s">
        <v>15</v>
      </c>
      <c r="D774" t="s">
        <v>50</v>
      </c>
      <c r="E774" t="s">
        <v>66</v>
      </c>
      <c r="F774" t="s">
        <v>72</v>
      </c>
      <c r="G774">
        <v>2</v>
      </c>
      <c r="H774">
        <v>30.8</v>
      </c>
      <c r="I774">
        <v>10</v>
      </c>
      <c r="J774" t="s">
        <v>73</v>
      </c>
      <c r="K774" t="s">
        <v>79</v>
      </c>
      <c r="L774">
        <v>61.6</v>
      </c>
      <c r="M774">
        <v>6.16</v>
      </c>
      <c r="N774">
        <v>55.44</v>
      </c>
      <c r="O7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74" s="9" t="str">
        <f ca="1">IF(OR(ISNUMBER(Table13[[#This Row],[Order_Date]])=FALSE,Table13[[#This Row],[Order_Date]]&lt;DATE(2000,1,1),Table13[[#This Row],[Order_Date]]&gt;TODAY()),"YES","NO")</f>
        <v>NO</v>
      </c>
      <c r="Q774" s="9">
        <f>IF(Table13[[#This Row],[Order_Status]] = "Cancelled",0,IF(Table13[[#This Row],[Order_Status]] = "Returned",Table13[[#This Row],[Net_Sales]] * -1,Table13[[#This Row],[Net_Sales]]))</f>
        <v>0</v>
      </c>
      <c r="R774" s="9" t="str">
        <f>IF(Table13[[#This Row],[Gross_Sales]]&gt;=500, "YES","NO")</f>
        <v>NO</v>
      </c>
    </row>
    <row r="775" spans="1:18" x14ac:dyDescent="0.3">
      <c r="A775">
        <v>100770</v>
      </c>
      <c r="B775" s="8">
        <v>45324.041666666657</v>
      </c>
      <c r="C775" t="s">
        <v>14</v>
      </c>
      <c r="D775" t="s">
        <v>58</v>
      </c>
      <c r="E775" t="s">
        <v>70</v>
      </c>
      <c r="F775" t="s">
        <v>71</v>
      </c>
      <c r="G775">
        <v>2</v>
      </c>
      <c r="H775">
        <v>31</v>
      </c>
      <c r="I775">
        <v>15</v>
      </c>
      <c r="J775" t="s">
        <v>73</v>
      </c>
      <c r="K775" t="s">
        <v>77</v>
      </c>
      <c r="L775">
        <v>62</v>
      </c>
      <c r="M775">
        <v>9.2999999999999989</v>
      </c>
      <c r="N775">
        <v>52.7</v>
      </c>
      <c r="O7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5" s="9" t="str">
        <f ca="1">IF(OR(ISNUMBER(Table13[[#This Row],[Order_Date]])=FALSE,Table13[[#This Row],[Order_Date]]&lt;DATE(2000,1,1),Table13[[#This Row],[Order_Date]]&gt;TODAY()),"YES","NO")</f>
        <v>NO</v>
      </c>
      <c r="Q775" s="9">
        <f>IF(Table13[[#This Row],[Order_Status]] = "Cancelled",0,IF(Table13[[#This Row],[Order_Status]] = "Returned",Table13[[#This Row],[Net_Sales]] * -1,Table13[[#This Row],[Net_Sales]]))</f>
        <v>52.7</v>
      </c>
      <c r="R775" s="9" t="str">
        <f>IF(Table13[[#This Row],[Gross_Sales]]&gt;=500, "YES","NO")</f>
        <v>NO</v>
      </c>
    </row>
    <row r="776" spans="1:18" x14ac:dyDescent="0.3">
      <c r="A776">
        <v>100771</v>
      </c>
      <c r="B776" s="8">
        <v>45324.083333333343</v>
      </c>
      <c r="C776" t="s">
        <v>14</v>
      </c>
      <c r="D776" t="s">
        <v>38</v>
      </c>
      <c r="E776" t="s">
        <v>70</v>
      </c>
      <c r="F776" t="s">
        <v>72</v>
      </c>
      <c r="G776">
        <v>5</v>
      </c>
      <c r="H776">
        <v>98.99</v>
      </c>
      <c r="I776">
        <v>10</v>
      </c>
      <c r="J776" t="s">
        <v>75</v>
      </c>
      <c r="K776" t="s">
        <v>77</v>
      </c>
      <c r="L776">
        <v>494.95</v>
      </c>
      <c r="M776">
        <v>49.494999999999997</v>
      </c>
      <c r="N776">
        <v>445.45499999999998</v>
      </c>
      <c r="O7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6" s="9" t="str">
        <f ca="1">IF(OR(ISNUMBER(Table13[[#This Row],[Order_Date]])=FALSE,Table13[[#This Row],[Order_Date]]&lt;DATE(2000,1,1),Table13[[#This Row],[Order_Date]]&gt;TODAY()),"YES","NO")</f>
        <v>NO</v>
      </c>
      <c r="Q776" s="9">
        <f>IF(Table13[[#This Row],[Order_Status]] = "Cancelled",0,IF(Table13[[#This Row],[Order_Status]] = "Returned",Table13[[#This Row],[Net_Sales]] * -1,Table13[[#This Row],[Net_Sales]]))</f>
        <v>445.45499999999998</v>
      </c>
      <c r="R776" s="9" t="str">
        <f>IF(Table13[[#This Row],[Gross_Sales]]&gt;=500, "YES","NO")</f>
        <v>NO</v>
      </c>
    </row>
    <row r="777" spans="1:18" x14ac:dyDescent="0.3">
      <c r="A777">
        <v>100772</v>
      </c>
      <c r="B777" s="8">
        <v>45324.125</v>
      </c>
      <c r="C777" t="s">
        <v>14</v>
      </c>
      <c r="D777" t="s">
        <v>16</v>
      </c>
      <c r="E777" t="s">
        <v>66</v>
      </c>
      <c r="F777" t="s">
        <v>71</v>
      </c>
      <c r="G777">
        <v>4</v>
      </c>
      <c r="H777">
        <v>112</v>
      </c>
      <c r="I777">
        <v>5</v>
      </c>
      <c r="J777" t="s">
        <v>76</v>
      </c>
      <c r="K777" t="s">
        <v>77</v>
      </c>
      <c r="L777">
        <v>448</v>
      </c>
      <c r="M777">
        <v>22.4</v>
      </c>
      <c r="N777">
        <v>425.6</v>
      </c>
      <c r="O7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7" s="9" t="str">
        <f ca="1">IF(OR(ISNUMBER(Table13[[#This Row],[Order_Date]])=FALSE,Table13[[#This Row],[Order_Date]]&lt;DATE(2000,1,1),Table13[[#This Row],[Order_Date]]&gt;TODAY()),"YES","NO")</f>
        <v>NO</v>
      </c>
      <c r="Q777" s="9">
        <f>IF(Table13[[#This Row],[Order_Status]] = "Cancelled",0,IF(Table13[[#This Row],[Order_Status]] = "Returned",Table13[[#This Row],[Net_Sales]] * -1,Table13[[#This Row],[Net_Sales]]))</f>
        <v>425.6</v>
      </c>
      <c r="R777" s="9" t="str">
        <f>IF(Table13[[#This Row],[Gross_Sales]]&gt;=500, "YES","NO")</f>
        <v>NO</v>
      </c>
    </row>
    <row r="778" spans="1:18" x14ac:dyDescent="0.3">
      <c r="A778">
        <v>100773</v>
      </c>
      <c r="B778" s="8">
        <v>45324.166666666657</v>
      </c>
      <c r="C778" t="s">
        <v>14</v>
      </c>
      <c r="D778" t="s">
        <v>32</v>
      </c>
      <c r="E778" t="s">
        <v>66</v>
      </c>
      <c r="F778" t="s">
        <v>71</v>
      </c>
      <c r="G778">
        <v>1</v>
      </c>
      <c r="H778">
        <v>15.97</v>
      </c>
      <c r="I778">
        <v>10</v>
      </c>
      <c r="J778" t="s">
        <v>74</v>
      </c>
      <c r="K778" t="s">
        <v>77</v>
      </c>
      <c r="L778">
        <v>15.97</v>
      </c>
      <c r="M778">
        <v>1.597</v>
      </c>
      <c r="N778">
        <v>14.372999999999999</v>
      </c>
      <c r="O7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78" s="9" t="str">
        <f ca="1">IF(OR(ISNUMBER(Table13[[#This Row],[Order_Date]])=FALSE,Table13[[#This Row],[Order_Date]]&lt;DATE(2000,1,1),Table13[[#This Row],[Order_Date]]&gt;TODAY()),"YES","NO")</f>
        <v>NO</v>
      </c>
      <c r="Q778" s="9">
        <f>IF(Table13[[#This Row],[Order_Status]] = "Cancelled",0,IF(Table13[[#This Row],[Order_Status]] = "Returned",Table13[[#This Row],[Net_Sales]] * -1,Table13[[#This Row],[Net_Sales]]))</f>
        <v>14.372999999999999</v>
      </c>
      <c r="R778" s="9" t="str">
        <f>IF(Table13[[#This Row],[Gross_Sales]]&gt;=500, "YES","NO")</f>
        <v>NO</v>
      </c>
    </row>
    <row r="779" spans="1:18" x14ac:dyDescent="0.3">
      <c r="A779">
        <v>100774</v>
      </c>
      <c r="B779" s="8">
        <v>45324.208333333343</v>
      </c>
      <c r="C779" t="s">
        <v>15</v>
      </c>
      <c r="D779" t="s">
        <v>38</v>
      </c>
      <c r="E779" t="s">
        <v>66</v>
      </c>
      <c r="F779" t="s">
        <v>72</v>
      </c>
      <c r="G779">
        <v>5</v>
      </c>
      <c r="H779">
        <v>56.76</v>
      </c>
      <c r="I779">
        <v>5</v>
      </c>
      <c r="J779" t="s">
        <v>74</v>
      </c>
      <c r="K779" t="s">
        <v>78</v>
      </c>
      <c r="L779">
        <v>283.8</v>
      </c>
      <c r="M779">
        <v>14.19</v>
      </c>
      <c r="N779">
        <v>269.61</v>
      </c>
      <c r="O7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79" s="9" t="str">
        <f ca="1">IF(OR(ISNUMBER(Table13[[#This Row],[Order_Date]])=FALSE,Table13[[#This Row],[Order_Date]]&lt;DATE(2000,1,1),Table13[[#This Row],[Order_Date]]&gt;TODAY()),"YES","NO")</f>
        <v>NO</v>
      </c>
      <c r="Q779" s="9">
        <f>IF(Table13[[#This Row],[Order_Status]] = "Cancelled",0,IF(Table13[[#This Row],[Order_Status]] = "Returned",Table13[[#This Row],[Net_Sales]] * -1,Table13[[#This Row],[Net_Sales]]))</f>
        <v>-269.61</v>
      </c>
      <c r="R779" s="9" t="str">
        <f>IF(Table13[[#This Row],[Gross_Sales]]&gt;=500, "YES","NO")</f>
        <v>NO</v>
      </c>
    </row>
    <row r="780" spans="1:18" x14ac:dyDescent="0.3">
      <c r="A780">
        <v>100775</v>
      </c>
      <c r="B780" s="8">
        <v>45324.25</v>
      </c>
      <c r="C780" t="s">
        <v>15</v>
      </c>
      <c r="D780" t="s">
        <v>29</v>
      </c>
      <c r="E780" t="s">
        <v>70</v>
      </c>
      <c r="F780" t="s">
        <v>71</v>
      </c>
      <c r="G780">
        <v>2</v>
      </c>
      <c r="H780">
        <v>43.81</v>
      </c>
      <c r="I780">
        <v>15</v>
      </c>
      <c r="J780" t="s">
        <v>75</v>
      </c>
      <c r="K780" t="s">
        <v>77</v>
      </c>
      <c r="L780">
        <v>87.62</v>
      </c>
      <c r="M780">
        <v>13.143000000000001</v>
      </c>
      <c r="N780">
        <v>74.477000000000004</v>
      </c>
      <c r="O7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0" s="9" t="str">
        <f ca="1">IF(OR(ISNUMBER(Table13[[#This Row],[Order_Date]])=FALSE,Table13[[#This Row],[Order_Date]]&lt;DATE(2000,1,1),Table13[[#This Row],[Order_Date]]&gt;TODAY()),"YES","NO")</f>
        <v>NO</v>
      </c>
      <c r="Q780" s="9">
        <f>IF(Table13[[#This Row],[Order_Status]] = "Cancelled",0,IF(Table13[[#This Row],[Order_Status]] = "Returned",Table13[[#This Row],[Net_Sales]] * -1,Table13[[#This Row],[Net_Sales]]))</f>
        <v>74.477000000000004</v>
      </c>
      <c r="R780" s="9" t="str">
        <f>IF(Table13[[#This Row],[Gross_Sales]]&gt;=500, "YES","NO")</f>
        <v>NO</v>
      </c>
    </row>
    <row r="781" spans="1:18" x14ac:dyDescent="0.3">
      <c r="A781">
        <v>100776</v>
      </c>
      <c r="B781" s="8">
        <v>45324.291666666657</v>
      </c>
      <c r="C781" t="s">
        <v>14</v>
      </c>
      <c r="D781" t="s">
        <v>57</v>
      </c>
      <c r="E781" t="s">
        <v>66</v>
      </c>
      <c r="F781" t="s">
        <v>72</v>
      </c>
      <c r="G781">
        <v>2</v>
      </c>
      <c r="H781">
        <v>105.13</v>
      </c>
      <c r="I781">
        <v>15</v>
      </c>
      <c r="J781" t="s">
        <v>73</v>
      </c>
      <c r="K781" t="s">
        <v>77</v>
      </c>
      <c r="L781">
        <v>210.26</v>
      </c>
      <c r="M781">
        <v>31.539000000000001</v>
      </c>
      <c r="N781">
        <v>178.721</v>
      </c>
      <c r="O7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1" s="9" t="str">
        <f ca="1">IF(OR(ISNUMBER(Table13[[#This Row],[Order_Date]])=FALSE,Table13[[#This Row],[Order_Date]]&lt;DATE(2000,1,1),Table13[[#This Row],[Order_Date]]&gt;TODAY()),"YES","NO")</f>
        <v>NO</v>
      </c>
      <c r="Q781" s="9">
        <f>IF(Table13[[#This Row],[Order_Status]] = "Cancelled",0,IF(Table13[[#This Row],[Order_Status]] = "Returned",Table13[[#This Row],[Net_Sales]] * -1,Table13[[#This Row],[Net_Sales]]))</f>
        <v>178.721</v>
      </c>
      <c r="R781" s="9" t="str">
        <f>IF(Table13[[#This Row],[Gross_Sales]]&gt;=500, "YES","NO")</f>
        <v>NO</v>
      </c>
    </row>
    <row r="782" spans="1:18" x14ac:dyDescent="0.3">
      <c r="A782">
        <v>100777</v>
      </c>
      <c r="B782" s="8">
        <v>45324.333333333343</v>
      </c>
      <c r="C782" t="s">
        <v>14</v>
      </c>
      <c r="D782" t="s">
        <v>63</v>
      </c>
      <c r="E782" t="s">
        <v>66</v>
      </c>
      <c r="F782" t="s">
        <v>72</v>
      </c>
      <c r="G782">
        <v>4</v>
      </c>
      <c r="H782">
        <v>14.61</v>
      </c>
      <c r="I782">
        <v>15</v>
      </c>
      <c r="J782" t="s">
        <v>75</v>
      </c>
      <c r="K782" t="s">
        <v>77</v>
      </c>
      <c r="L782">
        <v>58.44</v>
      </c>
      <c r="M782">
        <v>8.766</v>
      </c>
      <c r="N782">
        <v>49.673999999999999</v>
      </c>
      <c r="O7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2" s="9" t="str">
        <f ca="1">IF(OR(ISNUMBER(Table13[[#This Row],[Order_Date]])=FALSE,Table13[[#This Row],[Order_Date]]&lt;DATE(2000,1,1),Table13[[#This Row],[Order_Date]]&gt;TODAY()),"YES","NO")</f>
        <v>NO</v>
      </c>
      <c r="Q782" s="9">
        <f>IF(Table13[[#This Row],[Order_Status]] = "Cancelled",0,IF(Table13[[#This Row],[Order_Status]] = "Returned",Table13[[#This Row],[Net_Sales]] * -1,Table13[[#This Row],[Net_Sales]]))</f>
        <v>49.673999999999999</v>
      </c>
      <c r="R782" s="9" t="str">
        <f>IF(Table13[[#This Row],[Gross_Sales]]&gt;=500, "YES","NO")</f>
        <v>NO</v>
      </c>
    </row>
    <row r="783" spans="1:18" x14ac:dyDescent="0.3">
      <c r="A783">
        <v>100778</v>
      </c>
      <c r="B783" s="8">
        <v>45324.375</v>
      </c>
      <c r="C783" t="s">
        <v>15</v>
      </c>
      <c r="D783" t="s">
        <v>60</v>
      </c>
      <c r="E783" t="s">
        <v>69</v>
      </c>
      <c r="F783" t="s">
        <v>71</v>
      </c>
      <c r="G783">
        <v>1</v>
      </c>
      <c r="H783">
        <v>29.28</v>
      </c>
      <c r="I783">
        <v>0</v>
      </c>
      <c r="J783" t="s">
        <v>75</v>
      </c>
      <c r="K783" t="s">
        <v>77</v>
      </c>
      <c r="L783">
        <v>29.28</v>
      </c>
      <c r="M783">
        <v>0</v>
      </c>
      <c r="N783">
        <v>29.28</v>
      </c>
      <c r="O7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3" s="9" t="str">
        <f ca="1">IF(OR(ISNUMBER(Table13[[#This Row],[Order_Date]])=FALSE,Table13[[#This Row],[Order_Date]]&lt;DATE(2000,1,1),Table13[[#This Row],[Order_Date]]&gt;TODAY()),"YES","NO")</f>
        <v>NO</v>
      </c>
      <c r="Q783" s="9">
        <f>IF(Table13[[#This Row],[Order_Status]] = "Cancelled",0,IF(Table13[[#This Row],[Order_Status]] = "Returned",Table13[[#This Row],[Net_Sales]] * -1,Table13[[#This Row],[Net_Sales]]))</f>
        <v>29.28</v>
      </c>
      <c r="R783" s="9" t="str">
        <f>IF(Table13[[#This Row],[Gross_Sales]]&gt;=500, "YES","NO")</f>
        <v>NO</v>
      </c>
    </row>
    <row r="784" spans="1:18" x14ac:dyDescent="0.3">
      <c r="A784">
        <v>100779</v>
      </c>
      <c r="B784" s="8">
        <v>45324.416666666657</v>
      </c>
      <c r="C784" t="s">
        <v>15</v>
      </c>
      <c r="D784" t="s">
        <v>51</v>
      </c>
      <c r="E784" t="s">
        <v>67</v>
      </c>
      <c r="F784" t="s">
        <v>72</v>
      </c>
      <c r="G784">
        <v>1</v>
      </c>
      <c r="H784">
        <v>91.53</v>
      </c>
      <c r="I784">
        <v>15</v>
      </c>
      <c r="J784" t="s">
        <v>75</v>
      </c>
      <c r="K784" t="s">
        <v>77</v>
      </c>
      <c r="L784">
        <v>91.53</v>
      </c>
      <c r="M784">
        <v>13.7295</v>
      </c>
      <c r="N784">
        <v>77.8005</v>
      </c>
      <c r="O7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4" s="9" t="str">
        <f ca="1">IF(OR(ISNUMBER(Table13[[#This Row],[Order_Date]])=FALSE,Table13[[#This Row],[Order_Date]]&lt;DATE(2000,1,1),Table13[[#This Row],[Order_Date]]&gt;TODAY()),"YES","NO")</f>
        <v>NO</v>
      </c>
      <c r="Q784" s="9">
        <f>IF(Table13[[#This Row],[Order_Status]] = "Cancelled",0,IF(Table13[[#This Row],[Order_Status]] = "Returned",Table13[[#This Row],[Net_Sales]] * -1,Table13[[#This Row],[Net_Sales]]))</f>
        <v>77.8005</v>
      </c>
      <c r="R784" s="9" t="str">
        <f>IF(Table13[[#This Row],[Gross_Sales]]&gt;=500, "YES","NO")</f>
        <v>NO</v>
      </c>
    </row>
    <row r="785" spans="1:18" x14ac:dyDescent="0.3">
      <c r="A785">
        <v>100780</v>
      </c>
      <c r="B785" s="8">
        <v>45324.458333333343</v>
      </c>
      <c r="C785" t="s">
        <v>14</v>
      </c>
      <c r="D785" t="s">
        <v>55</v>
      </c>
      <c r="E785" t="s">
        <v>68</v>
      </c>
      <c r="F785" t="s">
        <v>71</v>
      </c>
      <c r="G785">
        <v>3</v>
      </c>
      <c r="H785">
        <v>10.9</v>
      </c>
      <c r="I785">
        <v>10</v>
      </c>
      <c r="J785" t="s">
        <v>75</v>
      </c>
      <c r="K785" t="s">
        <v>77</v>
      </c>
      <c r="L785">
        <v>32.700000000000003</v>
      </c>
      <c r="M785">
        <v>3.27</v>
      </c>
      <c r="N785">
        <v>29.43</v>
      </c>
      <c r="O7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5" s="9" t="str">
        <f ca="1">IF(OR(ISNUMBER(Table13[[#This Row],[Order_Date]])=FALSE,Table13[[#This Row],[Order_Date]]&lt;DATE(2000,1,1),Table13[[#This Row],[Order_Date]]&gt;TODAY()),"YES","NO")</f>
        <v>NO</v>
      </c>
      <c r="Q785" s="9">
        <f>IF(Table13[[#This Row],[Order_Status]] = "Cancelled",0,IF(Table13[[#This Row],[Order_Status]] = "Returned",Table13[[#This Row],[Net_Sales]] * -1,Table13[[#This Row],[Net_Sales]]))</f>
        <v>29.43</v>
      </c>
      <c r="R785" s="9" t="str">
        <f>IF(Table13[[#This Row],[Gross_Sales]]&gt;=500, "YES","NO")</f>
        <v>NO</v>
      </c>
    </row>
    <row r="786" spans="1:18" x14ac:dyDescent="0.3">
      <c r="A786">
        <v>100781</v>
      </c>
      <c r="B786" s="8">
        <v>45324.5</v>
      </c>
      <c r="C786" t="s">
        <v>14</v>
      </c>
      <c r="D786" t="s">
        <v>46</v>
      </c>
      <c r="E786" t="s">
        <v>67</v>
      </c>
      <c r="F786" t="s">
        <v>71</v>
      </c>
      <c r="G786">
        <v>1</v>
      </c>
      <c r="H786">
        <v>61.64</v>
      </c>
      <c r="I786">
        <v>0</v>
      </c>
      <c r="J786" t="s">
        <v>76</v>
      </c>
      <c r="K786" t="s">
        <v>77</v>
      </c>
      <c r="L786">
        <v>61.64</v>
      </c>
      <c r="M786">
        <v>0</v>
      </c>
      <c r="N786">
        <v>61.64</v>
      </c>
      <c r="O7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6" s="9" t="str">
        <f ca="1">IF(OR(ISNUMBER(Table13[[#This Row],[Order_Date]])=FALSE,Table13[[#This Row],[Order_Date]]&lt;DATE(2000,1,1),Table13[[#This Row],[Order_Date]]&gt;TODAY()),"YES","NO")</f>
        <v>NO</v>
      </c>
      <c r="Q786" s="9">
        <f>IF(Table13[[#This Row],[Order_Status]] = "Cancelled",0,IF(Table13[[#This Row],[Order_Status]] = "Returned",Table13[[#This Row],[Net_Sales]] * -1,Table13[[#This Row],[Net_Sales]]))</f>
        <v>61.64</v>
      </c>
      <c r="R786" s="9" t="str">
        <f>IF(Table13[[#This Row],[Gross_Sales]]&gt;=500, "YES","NO")</f>
        <v>NO</v>
      </c>
    </row>
    <row r="787" spans="1:18" x14ac:dyDescent="0.3">
      <c r="A787">
        <v>100782</v>
      </c>
      <c r="B787" s="8">
        <v>45324.541666666657</v>
      </c>
      <c r="C787" t="s">
        <v>14</v>
      </c>
      <c r="D787" t="s">
        <v>40</v>
      </c>
      <c r="E787" t="s">
        <v>69</v>
      </c>
      <c r="F787" t="s">
        <v>72</v>
      </c>
      <c r="G787">
        <v>4</v>
      </c>
      <c r="H787">
        <v>55.84</v>
      </c>
      <c r="I787">
        <v>15</v>
      </c>
      <c r="J787" t="s">
        <v>76</v>
      </c>
      <c r="K787" t="s">
        <v>77</v>
      </c>
      <c r="L787">
        <v>223.36</v>
      </c>
      <c r="M787">
        <v>33.503999999999998</v>
      </c>
      <c r="N787">
        <v>189.85599999999999</v>
      </c>
      <c r="O7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7" s="9" t="str">
        <f ca="1">IF(OR(ISNUMBER(Table13[[#This Row],[Order_Date]])=FALSE,Table13[[#This Row],[Order_Date]]&lt;DATE(2000,1,1),Table13[[#This Row],[Order_Date]]&gt;TODAY()),"YES","NO")</f>
        <v>NO</v>
      </c>
      <c r="Q787" s="9">
        <f>IF(Table13[[#This Row],[Order_Status]] = "Cancelled",0,IF(Table13[[#This Row],[Order_Status]] = "Returned",Table13[[#This Row],[Net_Sales]] * -1,Table13[[#This Row],[Net_Sales]]))</f>
        <v>189.85599999999999</v>
      </c>
      <c r="R787" s="9" t="str">
        <f>IF(Table13[[#This Row],[Gross_Sales]]&gt;=500, "YES","NO")</f>
        <v>NO</v>
      </c>
    </row>
    <row r="788" spans="1:18" x14ac:dyDescent="0.3">
      <c r="A788">
        <v>100783</v>
      </c>
      <c r="B788" s="8">
        <v>45324.583333333343</v>
      </c>
      <c r="C788" t="s">
        <v>15</v>
      </c>
      <c r="D788" t="s">
        <v>16</v>
      </c>
      <c r="E788" t="s">
        <v>68</v>
      </c>
      <c r="F788" t="s">
        <v>71</v>
      </c>
      <c r="G788">
        <v>3</v>
      </c>
      <c r="H788">
        <v>43.46</v>
      </c>
      <c r="I788">
        <v>10</v>
      </c>
      <c r="J788" t="s">
        <v>73</v>
      </c>
      <c r="K788" t="s">
        <v>77</v>
      </c>
      <c r="L788">
        <v>130.38</v>
      </c>
      <c r="M788">
        <v>13.038</v>
      </c>
      <c r="N788">
        <v>117.342</v>
      </c>
      <c r="O7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8" s="9" t="str">
        <f ca="1">IF(OR(ISNUMBER(Table13[[#This Row],[Order_Date]])=FALSE,Table13[[#This Row],[Order_Date]]&lt;DATE(2000,1,1),Table13[[#This Row],[Order_Date]]&gt;TODAY()),"YES","NO")</f>
        <v>NO</v>
      </c>
      <c r="Q788" s="9">
        <f>IF(Table13[[#This Row],[Order_Status]] = "Cancelled",0,IF(Table13[[#This Row],[Order_Status]] = "Returned",Table13[[#This Row],[Net_Sales]] * -1,Table13[[#This Row],[Net_Sales]]))</f>
        <v>117.342</v>
      </c>
      <c r="R788" s="9" t="str">
        <f>IF(Table13[[#This Row],[Gross_Sales]]&gt;=500, "YES","NO")</f>
        <v>NO</v>
      </c>
    </row>
    <row r="789" spans="1:18" x14ac:dyDescent="0.3">
      <c r="A789">
        <v>100784</v>
      </c>
      <c r="B789" s="8">
        <v>45324.625</v>
      </c>
      <c r="C789" t="s">
        <v>15</v>
      </c>
      <c r="D789" t="s">
        <v>49</v>
      </c>
      <c r="E789" t="s">
        <v>66</v>
      </c>
      <c r="F789" t="s">
        <v>72</v>
      </c>
      <c r="G789">
        <v>3</v>
      </c>
      <c r="H789">
        <v>50.38</v>
      </c>
      <c r="I789">
        <v>10</v>
      </c>
      <c r="J789" t="s">
        <v>75</v>
      </c>
      <c r="K789" t="s">
        <v>77</v>
      </c>
      <c r="L789">
        <v>151.13999999999999</v>
      </c>
      <c r="M789">
        <v>15.114000000000001</v>
      </c>
      <c r="N789">
        <v>136.02600000000001</v>
      </c>
      <c r="O7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89" s="9" t="str">
        <f ca="1">IF(OR(ISNUMBER(Table13[[#This Row],[Order_Date]])=FALSE,Table13[[#This Row],[Order_Date]]&lt;DATE(2000,1,1),Table13[[#This Row],[Order_Date]]&gt;TODAY()),"YES","NO")</f>
        <v>NO</v>
      </c>
      <c r="Q789" s="9">
        <f>IF(Table13[[#This Row],[Order_Status]] = "Cancelled",0,IF(Table13[[#This Row],[Order_Status]] = "Returned",Table13[[#This Row],[Net_Sales]] * -1,Table13[[#This Row],[Net_Sales]]))</f>
        <v>136.02600000000001</v>
      </c>
      <c r="R789" s="9" t="str">
        <f>IF(Table13[[#This Row],[Gross_Sales]]&gt;=500, "YES","NO")</f>
        <v>NO</v>
      </c>
    </row>
    <row r="790" spans="1:18" x14ac:dyDescent="0.3">
      <c r="A790">
        <v>100785</v>
      </c>
      <c r="B790" s="8">
        <v>45324.666666666657</v>
      </c>
      <c r="C790" t="s">
        <v>15</v>
      </c>
      <c r="D790" t="s">
        <v>50</v>
      </c>
      <c r="E790" t="s">
        <v>69</v>
      </c>
      <c r="F790" t="s">
        <v>71</v>
      </c>
      <c r="G790">
        <v>2</v>
      </c>
      <c r="H790">
        <v>65.94</v>
      </c>
      <c r="I790">
        <v>10</v>
      </c>
      <c r="J790" t="s">
        <v>76</v>
      </c>
      <c r="K790" t="s">
        <v>77</v>
      </c>
      <c r="L790">
        <v>131.88</v>
      </c>
      <c r="M790">
        <v>13.188000000000001</v>
      </c>
      <c r="N790">
        <v>118.69199999999999</v>
      </c>
      <c r="O7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0" s="9" t="str">
        <f ca="1">IF(OR(ISNUMBER(Table13[[#This Row],[Order_Date]])=FALSE,Table13[[#This Row],[Order_Date]]&lt;DATE(2000,1,1),Table13[[#This Row],[Order_Date]]&gt;TODAY()),"YES","NO")</f>
        <v>NO</v>
      </c>
      <c r="Q790" s="9">
        <f>IF(Table13[[#This Row],[Order_Status]] = "Cancelled",0,IF(Table13[[#This Row],[Order_Status]] = "Returned",Table13[[#This Row],[Net_Sales]] * -1,Table13[[#This Row],[Net_Sales]]))</f>
        <v>118.69199999999999</v>
      </c>
      <c r="R790" s="9" t="str">
        <f>IF(Table13[[#This Row],[Gross_Sales]]&gt;=500, "YES","NO")</f>
        <v>NO</v>
      </c>
    </row>
    <row r="791" spans="1:18" x14ac:dyDescent="0.3">
      <c r="A791">
        <v>100786</v>
      </c>
      <c r="B791" s="8">
        <v>45324.708333333343</v>
      </c>
      <c r="C791" t="s">
        <v>14</v>
      </c>
      <c r="D791" t="s">
        <v>63</v>
      </c>
      <c r="E791" t="s">
        <v>66</v>
      </c>
      <c r="F791" t="s">
        <v>71</v>
      </c>
      <c r="G791">
        <v>2</v>
      </c>
      <c r="H791">
        <v>23.56</v>
      </c>
      <c r="I791">
        <v>5</v>
      </c>
      <c r="J791" t="s">
        <v>73</v>
      </c>
      <c r="K791" t="s">
        <v>77</v>
      </c>
      <c r="L791">
        <v>47.12</v>
      </c>
      <c r="M791">
        <v>2.3559999999999999</v>
      </c>
      <c r="N791">
        <v>44.764000000000003</v>
      </c>
      <c r="O7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1" s="9" t="str">
        <f ca="1">IF(OR(ISNUMBER(Table13[[#This Row],[Order_Date]])=FALSE,Table13[[#This Row],[Order_Date]]&lt;DATE(2000,1,1),Table13[[#This Row],[Order_Date]]&gt;TODAY()),"YES","NO")</f>
        <v>NO</v>
      </c>
      <c r="Q791" s="9">
        <f>IF(Table13[[#This Row],[Order_Status]] = "Cancelled",0,IF(Table13[[#This Row],[Order_Status]] = "Returned",Table13[[#This Row],[Net_Sales]] * -1,Table13[[#This Row],[Net_Sales]]))</f>
        <v>44.764000000000003</v>
      </c>
      <c r="R791" s="9" t="str">
        <f>IF(Table13[[#This Row],[Gross_Sales]]&gt;=500, "YES","NO")</f>
        <v>NO</v>
      </c>
    </row>
    <row r="792" spans="1:18" x14ac:dyDescent="0.3">
      <c r="A792">
        <v>100787</v>
      </c>
      <c r="B792" s="8">
        <v>45324.75</v>
      </c>
      <c r="C792" t="s">
        <v>14</v>
      </c>
      <c r="D792" t="s">
        <v>26</v>
      </c>
      <c r="E792" t="s">
        <v>70</v>
      </c>
      <c r="F792" t="s">
        <v>71</v>
      </c>
      <c r="G792">
        <v>1</v>
      </c>
      <c r="H792">
        <v>70.78</v>
      </c>
      <c r="I792">
        <v>0</v>
      </c>
      <c r="J792" t="s">
        <v>75</v>
      </c>
      <c r="K792" t="s">
        <v>77</v>
      </c>
      <c r="L792">
        <v>70.78</v>
      </c>
      <c r="M792">
        <v>0</v>
      </c>
      <c r="N792">
        <v>70.78</v>
      </c>
      <c r="O7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2" s="9" t="str">
        <f ca="1">IF(OR(ISNUMBER(Table13[[#This Row],[Order_Date]])=FALSE,Table13[[#This Row],[Order_Date]]&lt;DATE(2000,1,1),Table13[[#This Row],[Order_Date]]&gt;TODAY()),"YES","NO")</f>
        <v>NO</v>
      </c>
      <c r="Q792" s="9">
        <f>IF(Table13[[#This Row],[Order_Status]] = "Cancelled",0,IF(Table13[[#This Row],[Order_Status]] = "Returned",Table13[[#This Row],[Net_Sales]] * -1,Table13[[#This Row],[Net_Sales]]))</f>
        <v>70.78</v>
      </c>
      <c r="R792" s="9" t="str">
        <f>IF(Table13[[#This Row],[Gross_Sales]]&gt;=500, "YES","NO")</f>
        <v>NO</v>
      </c>
    </row>
    <row r="793" spans="1:18" x14ac:dyDescent="0.3">
      <c r="A793">
        <v>100788</v>
      </c>
      <c r="B793" s="8">
        <v>45324.791666666657</v>
      </c>
      <c r="C793" t="s">
        <v>15</v>
      </c>
      <c r="D793" t="s">
        <v>55</v>
      </c>
      <c r="E793" t="s">
        <v>69</v>
      </c>
      <c r="F793" t="s">
        <v>71</v>
      </c>
      <c r="G793">
        <v>3</v>
      </c>
      <c r="H793">
        <v>97.62</v>
      </c>
      <c r="I793">
        <v>10</v>
      </c>
      <c r="J793" t="s">
        <v>74</v>
      </c>
      <c r="K793" t="s">
        <v>77</v>
      </c>
      <c r="L793">
        <v>292.86</v>
      </c>
      <c r="M793">
        <v>29.286000000000001</v>
      </c>
      <c r="N793">
        <v>263.57400000000001</v>
      </c>
      <c r="O7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3" s="9" t="str">
        <f ca="1">IF(OR(ISNUMBER(Table13[[#This Row],[Order_Date]])=FALSE,Table13[[#This Row],[Order_Date]]&lt;DATE(2000,1,1),Table13[[#This Row],[Order_Date]]&gt;TODAY()),"YES","NO")</f>
        <v>NO</v>
      </c>
      <c r="Q793" s="9">
        <f>IF(Table13[[#This Row],[Order_Status]] = "Cancelled",0,IF(Table13[[#This Row],[Order_Status]] = "Returned",Table13[[#This Row],[Net_Sales]] * -1,Table13[[#This Row],[Net_Sales]]))</f>
        <v>263.57400000000001</v>
      </c>
      <c r="R793" s="9" t="str">
        <f>IF(Table13[[#This Row],[Gross_Sales]]&gt;=500, "YES","NO")</f>
        <v>NO</v>
      </c>
    </row>
    <row r="794" spans="1:18" x14ac:dyDescent="0.3">
      <c r="A794">
        <v>100789</v>
      </c>
      <c r="B794" s="8">
        <v>45324.833333333343</v>
      </c>
      <c r="C794" t="s">
        <v>15</v>
      </c>
      <c r="D794" t="s">
        <v>30</v>
      </c>
      <c r="E794" t="s">
        <v>70</v>
      </c>
      <c r="F794" t="s">
        <v>71</v>
      </c>
      <c r="G794">
        <v>2</v>
      </c>
      <c r="H794">
        <v>92.42</v>
      </c>
      <c r="I794">
        <v>5</v>
      </c>
      <c r="J794" t="s">
        <v>76</v>
      </c>
      <c r="K794" t="s">
        <v>78</v>
      </c>
      <c r="L794">
        <v>184.84</v>
      </c>
      <c r="M794">
        <v>9.2420000000000009</v>
      </c>
      <c r="N794">
        <v>175.59800000000001</v>
      </c>
      <c r="O7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94" s="9" t="str">
        <f ca="1">IF(OR(ISNUMBER(Table13[[#This Row],[Order_Date]])=FALSE,Table13[[#This Row],[Order_Date]]&lt;DATE(2000,1,1),Table13[[#This Row],[Order_Date]]&gt;TODAY()),"YES","NO")</f>
        <v>NO</v>
      </c>
      <c r="Q794" s="9">
        <f>IF(Table13[[#This Row],[Order_Status]] = "Cancelled",0,IF(Table13[[#This Row],[Order_Status]] = "Returned",Table13[[#This Row],[Net_Sales]] * -1,Table13[[#This Row],[Net_Sales]]))</f>
        <v>-175.59800000000001</v>
      </c>
      <c r="R794" s="9" t="str">
        <f>IF(Table13[[#This Row],[Gross_Sales]]&gt;=500, "YES","NO")</f>
        <v>NO</v>
      </c>
    </row>
    <row r="795" spans="1:18" x14ac:dyDescent="0.3">
      <c r="A795">
        <v>100790</v>
      </c>
      <c r="B795" s="8">
        <v>45324.875</v>
      </c>
      <c r="C795" t="s">
        <v>14</v>
      </c>
      <c r="D795" t="s">
        <v>27</v>
      </c>
      <c r="E795" t="s">
        <v>69</v>
      </c>
      <c r="F795" t="s">
        <v>72</v>
      </c>
      <c r="G795">
        <v>4</v>
      </c>
      <c r="H795">
        <v>22.7</v>
      </c>
      <c r="I795">
        <v>15</v>
      </c>
      <c r="J795" t="s">
        <v>73</v>
      </c>
      <c r="K795" t="s">
        <v>77</v>
      </c>
      <c r="L795">
        <v>90.8</v>
      </c>
      <c r="M795">
        <v>13.62</v>
      </c>
      <c r="N795">
        <v>77.179999999999993</v>
      </c>
      <c r="O7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5" s="9" t="str">
        <f ca="1">IF(OR(ISNUMBER(Table13[[#This Row],[Order_Date]])=FALSE,Table13[[#This Row],[Order_Date]]&lt;DATE(2000,1,1),Table13[[#This Row],[Order_Date]]&gt;TODAY()),"YES","NO")</f>
        <v>NO</v>
      </c>
      <c r="Q795" s="9">
        <f>IF(Table13[[#This Row],[Order_Status]] = "Cancelled",0,IF(Table13[[#This Row],[Order_Status]] = "Returned",Table13[[#This Row],[Net_Sales]] * -1,Table13[[#This Row],[Net_Sales]]))</f>
        <v>77.179999999999993</v>
      </c>
      <c r="R795" s="9" t="str">
        <f>IF(Table13[[#This Row],[Gross_Sales]]&gt;=500, "YES","NO")</f>
        <v>NO</v>
      </c>
    </row>
    <row r="796" spans="1:18" x14ac:dyDescent="0.3">
      <c r="A796">
        <v>100791</v>
      </c>
      <c r="B796" s="8">
        <v>45324.916666666657</v>
      </c>
      <c r="C796" t="s">
        <v>15</v>
      </c>
      <c r="D796" t="s">
        <v>30</v>
      </c>
      <c r="E796" t="s">
        <v>69</v>
      </c>
      <c r="F796" t="s">
        <v>72</v>
      </c>
      <c r="G796">
        <v>2</v>
      </c>
      <c r="H796">
        <v>22.16</v>
      </c>
      <c r="I796">
        <v>10</v>
      </c>
      <c r="J796" t="s">
        <v>74</v>
      </c>
      <c r="K796" t="s">
        <v>77</v>
      </c>
      <c r="L796">
        <v>44.32</v>
      </c>
      <c r="M796">
        <v>4.4320000000000004</v>
      </c>
      <c r="N796">
        <v>39.887999999999998</v>
      </c>
      <c r="O7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6" s="9" t="str">
        <f ca="1">IF(OR(ISNUMBER(Table13[[#This Row],[Order_Date]])=FALSE,Table13[[#This Row],[Order_Date]]&lt;DATE(2000,1,1),Table13[[#This Row],[Order_Date]]&gt;TODAY()),"YES","NO")</f>
        <v>NO</v>
      </c>
      <c r="Q796" s="9">
        <f>IF(Table13[[#This Row],[Order_Status]] = "Cancelled",0,IF(Table13[[#This Row],[Order_Status]] = "Returned",Table13[[#This Row],[Net_Sales]] * -1,Table13[[#This Row],[Net_Sales]]))</f>
        <v>39.887999999999998</v>
      </c>
      <c r="R796" s="9" t="str">
        <f>IF(Table13[[#This Row],[Gross_Sales]]&gt;=500, "YES","NO")</f>
        <v>NO</v>
      </c>
    </row>
    <row r="797" spans="1:18" x14ac:dyDescent="0.3">
      <c r="A797">
        <v>100792</v>
      </c>
      <c r="B797" s="8">
        <v>45324.958333333343</v>
      </c>
      <c r="C797" t="s">
        <v>15</v>
      </c>
      <c r="D797" t="s">
        <v>57</v>
      </c>
      <c r="E797" t="s">
        <v>70</v>
      </c>
      <c r="F797" t="s">
        <v>72</v>
      </c>
      <c r="G797">
        <v>2</v>
      </c>
      <c r="H797">
        <v>35.840000000000003</v>
      </c>
      <c r="I797">
        <v>5</v>
      </c>
      <c r="J797" t="s">
        <v>75</v>
      </c>
      <c r="K797" t="s">
        <v>79</v>
      </c>
      <c r="L797">
        <v>71.680000000000007</v>
      </c>
      <c r="M797">
        <v>3.584000000000001</v>
      </c>
      <c r="N797">
        <v>68.096000000000004</v>
      </c>
      <c r="O7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797" s="9" t="str">
        <f ca="1">IF(OR(ISNUMBER(Table13[[#This Row],[Order_Date]])=FALSE,Table13[[#This Row],[Order_Date]]&lt;DATE(2000,1,1),Table13[[#This Row],[Order_Date]]&gt;TODAY()),"YES","NO")</f>
        <v>NO</v>
      </c>
      <c r="Q797" s="9">
        <f>IF(Table13[[#This Row],[Order_Status]] = "Cancelled",0,IF(Table13[[#This Row],[Order_Status]] = "Returned",Table13[[#This Row],[Net_Sales]] * -1,Table13[[#This Row],[Net_Sales]]))</f>
        <v>0</v>
      </c>
      <c r="R797" s="9" t="str">
        <f>IF(Table13[[#This Row],[Gross_Sales]]&gt;=500, "YES","NO")</f>
        <v>NO</v>
      </c>
    </row>
    <row r="798" spans="1:18" x14ac:dyDescent="0.3">
      <c r="A798">
        <v>100793</v>
      </c>
      <c r="B798" s="8">
        <v>45325</v>
      </c>
      <c r="C798" t="s">
        <v>14</v>
      </c>
      <c r="D798" t="s">
        <v>59</v>
      </c>
      <c r="E798" t="s">
        <v>68</v>
      </c>
      <c r="F798" t="s">
        <v>72</v>
      </c>
      <c r="G798">
        <v>3</v>
      </c>
      <c r="H798">
        <v>46.52</v>
      </c>
      <c r="I798">
        <v>10</v>
      </c>
      <c r="J798" t="s">
        <v>75</v>
      </c>
      <c r="K798" t="s">
        <v>77</v>
      </c>
      <c r="L798">
        <v>139.56</v>
      </c>
      <c r="M798">
        <v>13.956</v>
      </c>
      <c r="N798">
        <v>125.604</v>
      </c>
      <c r="O7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8" s="9" t="str">
        <f ca="1">IF(OR(ISNUMBER(Table13[[#This Row],[Order_Date]])=FALSE,Table13[[#This Row],[Order_Date]]&lt;DATE(2000,1,1),Table13[[#This Row],[Order_Date]]&gt;TODAY()),"YES","NO")</f>
        <v>NO</v>
      </c>
      <c r="Q798" s="9">
        <f>IF(Table13[[#This Row],[Order_Status]] = "Cancelled",0,IF(Table13[[#This Row],[Order_Status]] = "Returned",Table13[[#This Row],[Net_Sales]] * -1,Table13[[#This Row],[Net_Sales]]))</f>
        <v>125.604</v>
      </c>
      <c r="R798" s="9" t="str">
        <f>IF(Table13[[#This Row],[Gross_Sales]]&gt;=500, "YES","NO")</f>
        <v>NO</v>
      </c>
    </row>
    <row r="799" spans="1:18" x14ac:dyDescent="0.3">
      <c r="A799">
        <v>100794</v>
      </c>
      <c r="B799" s="8">
        <v>45325.041666666657</v>
      </c>
      <c r="C799" t="s">
        <v>15</v>
      </c>
      <c r="D799" t="s">
        <v>41</v>
      </c>
      <c r="E799" t="s">
        <v>67</v>
      </c>
      <c r="F799" t="s">
        <v>72</v>
      </c>
      <c r="G799">
        <v>3</v>
      </c>
      <c r="H799">
        <v>51.97</v>
      </c>
      <c r="I799">
        <v>0</v>
      </c>
      <c r="J799" t="s">
        <v>75</v>
      </c>
      <c r="K799" t="s">
        <v>77</v>
      </c>
      <c r="L799">
        <v>155.91</v>
      </c>
      <c r="M799">
        <v>0</v>
      </c>
      <c r="N799">
        <v>155.91</v>
      </c>
      <c r="O7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799" s="9" t="str">
        <f ca="1">IF(OR(ISNUMBER(Table13[[#This Row],[Order_Date]])=FALSE,Table13[[#This Row],[Order_Date]]&lt;DATE(2000,1,1),Table13[[#This Row],[Order_Date]]&gt;TODAY()),"YES","NO")</f>
        <v>NO</v>
      </c>
      <c r="Q799" s="9">
        <f>IF(Table13[[#This Row],[Order_Status]] = "Cancelled",0,IF(Table13[[#This Row],[Order_Status]] = "Returned",Table13[[#This Row],[Net_Sales]] * -1,Table13[[#This Row],[Net_Sales]]))</f>
        <v>155.91</v>
      </c>
      <c r="R799" s="9" t="str">
        <f>IF(Table13[[#This Row],[Gross_Sales]]&gt;=500, "YES","NO")</f>
        <v>NO</v>
      </c>
    </row>
    <row r="800" spans="1:18" x14ac:dyDescent="0.3">
      <c r="A800">
        <v>100795</v>
      </c>
      <c r="B800" s="8">
        <v>45325.083333333343</v>
      </c>
      <c r="C800" t="s">
        <v>14</v>
      </c>
      <c r="D800" t="s">
        <v>45</v>
      </c>
      <c r="E800" t="s">
        <v>66</v>
      </c>
      <c r="F800" t="s">
        <v>72</v>
      </c>
      <c r="G800">
        <v>5</v>
      </c>
      <c r="H800">
        <v>83.17</v>
      </c>
      <c r="I800">
        <v>0</v>
      </c>
      <c r="J800" t="s">
        <v>76</v>
      </c>
      <c r="K800" t="s">
        <v>77</v>
      </c>
      <c r="L800">
        <v>415.85</v>
      </c>
      <c r="M800">
        <v>0</v>
      </c>
      <c r="N800">
        <v>415.85</v>
      </c>
      <c r="O8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0" s="9" t="str">
        <f ca="1">IF(OR(ISNUMBER(Table13[[#This Row],[Order_Date]])=FALSE,Table13[[#This Row],[Order_Date]]&lt;DATE(2000,1,1),Table13[[#This Row],[Order_Date]]&gt;TODAY()),"YES","NO")</f>
        <v>NO</v>
      </c>
      <c r="Q800" s="9">
        <f>IF(Table13[[#This Row],[Order_Status]] = "Cancelled",0,IF(Table13[[#This Row],[Order_Status]] = "Returned",Table13[[#This Row],[Net_Sales]] * -1,Table13[[#This Row],[Net_Sales]]))</f>
        <v>415.85</v>
      </c>
      <c r="R800" s="9" t="str">
        <f>IF(Table13[[#This Row],[Gross_Sales]]&gt;=500, "YES","NO")</f>
        <v>NO</v>
      </c>
    </row>
    <row r="801" spans="1:18" x14ac:dyDescent="0.3">
      <c r="A801">
        <v>100796</v>
      </c>
      <c r="B801" s="8">
        <v>45325.125</v>
      </c>
      <c r="C801" t="s">
        <v>14</v>
      </c>
      <c r="D801" t="s">
        <v>35</v>
      </c>
      <c r="E801" t="s">
        <v>69</v>
      </c>
      <c r="F801" t="s">
        <v>71</v>
      </c>
      <c r="G801">
        <v>4</v>
      </c>
      <c r="H801">
        <v>11.52</v>
      </c>
      <c r="I801">
        <v>15</v>
      </c>
      <c r="J801" t="s">
        <v>73</v>
      </c>
      <c r="K801" t="s">
        <v>77</v>
      </c>
      <c r="L801">
        <v>46.08</v>
      </c>
      <c r="M801">
        <v>6.9119999999999999</v>
      </c>
      <c r="N801">
        <v>39.167999999999999</v>
      </c>
      <c r="O8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1" s="9" t="str">
        <f ca="1">IF(OR(ISNUMBER(Table13[[#This Row],[Order_Date]])=FALSE,Table13[[#This Row],[Order_Date]]&lt;DATE(2000,1,1),Table13[[#This Row],[Order_Date]]&gt;TODAY()),"YES","NO")</f>
        <v>NO</v>
      </c>
      <c r="Q801" s="9">
        <f>IF(Table13[[#This Row],[Order_Status]] = "Cancelled",0,IF(Table13[[#This Row],[Order_Status]] = "Returned",Table13[[#This Row],[Net_Sales]] * -1,Table13[[#This Row],[Net_Sales]]))</f>
        <v>39.167999999999999</v>
      </c>
      <c r="R801" s="9" t="str">
        <f>IF(Table13[[#This Row],[Gross_Sales]]&gt;=500, "YES","NO")</f>
        <v>NO</v>
      </c>
    </row>
    <row r="802" spans="1:18" x14ac:dyDescent="0.3">
      <c r="A802">
        <v>100797</v>
      </c>
      <c r="B802" s="8">
        <v>45325.166666666657</v>
      </c>
      <c r="C802" t="s">
        <v>14</v>
      </c>
      <c r="D802" t="s">
        <v>41</v>
      </c>
      <c r="E802" t="s">
        <v>66</v>
      </c>
      <c r="F802" t="s">
        <v>71</v>
      </c>
      <c r="G802">
        <v>3</v>
      </c>
      <c r="H802">
        <v>8.99</v>
      </c>
      <c r="I802">
        <v>10</v>
      </c>
      <c r="J802" t="s">
        <v>74</v>
      </c>
      <c r="K802" t="s">
        <v>77</v>
      </c>
      <c r="L802">
        <v>26.97</v>
      </c>
      <c r="M802">
        <v>2.6970000000000001</v>
      </c>
      <c r="N802">
        <v>24.273</v>
      </c>
      <c r="O8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2" s="9" t="str">
        <f ca="1">IF(OR(ISNUMBER(Table13[[#This Row],[Order_Date]])=FALSE,Table13[[#This Row],[Order_Date]]&lt;DATE(2000,1,1),Table13[[#This Row],[Order_Date]]&gt;TODAY()),"YES","NO")</f>
        <v>NO</v>
      </c>
      <c r="Q802" s="9">
        <f>IF(Table13[[#This Row],[Order_Status]] = "Cancelled",0,IF(Table13[[#This Row],[Order_Status]] = "Returned",Table13[[#This Row],[Net_Sales]] * -1,Table13[[#This Row],[Net_Sales]]))</f>
        <v>24.273</v>
      </c>
      <c r="R802" s="9" t="str">
        <f>IF(Table13[[#This Row],[Gross_Sales]]&gt;=500, "YES","NO")</f>
        <v>NO</v>
      </c>
    </row>
    <row r="803" spans="1:18" x14ac:dyDescent="0.3">
      <c r="A803">
        <v>100798</v>
      </c>
      <c r="B803" s="8">
        <v>45325.208333333343</v>
      </c>
      <c r="C803" t="s">
        <v>14</v>
      </c>
      <c r="D803" t="s">
        <v>29</v>
      </c>
      <c r="E803" t="s">
        <v>70</v>
      </c>
      <c r="F803" t="s">
        <v>72</v>
      </c>
      <c r="G803">
        <v>1</v>
      </c>
      <c r="H803">
        <v>50.07</v>
      </c>
      <c r="I803">
        <v>5</v>
      </c>
      <c r="J803" t="s">
        <v>73</v>
      </c>
      <c r="K803" t="s">
        <v>77</v>
      </c>
      <c r="L803">
        <v>50.07</v>
      </c>
      <c r="M803">
        <v>2.5034999999999998</v>
      </c>
      <c r="N803">
        <v>47.566499999999998</v>
      </c>
      <c r="O8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3" s="9" t="str">
        <f ca="1">IF(OR(ISNUMBER(Table13[[#This Row],[Order_Date]])=FALSE,Table13[[#This Row],[Order_Date]]&lt;DATE(2000,1,1),Table13[[#This Row],[Order_Date]]&gt;TODAY()),"YES","NO")</f>
        <v>NO</v>
      </c>
      <c r="Q803" s="9">
        <f>IF(Table13[[#This Row],[Order_Status]] = "Cancelled",0,IF(Table13[[#This Row],[Order_Status]] = "Returned",Table13[[#This Row],[Net_Sales]] * -1,Table13[[#This Row],[Net_Sales]]))</f>
        <v>47.566499999999998</v>
      </c>
      <c r="R803" s="9" t="str">
        <f>IF(Table13[[#This Row],[Gross_Sales]]&gt;=500, "YES","NO")</f>
        <v>NO</v>
      </c>
    </row>
    <row r="804" spans="1:18" x14ac:dyDescent="0.3">
      <c r="A804">
        <v>100799</v>
      </c>
      <c r="B804" s="8">
        <v>45325.25</v>
      </c>
      <c r="C804" t="s">
        <v>14</v>
      </c>
      <c r="D804" t="s">
        <v>37</v>
      </c>
      <c r="E804" t="s">
        <v>66</v>
      </c>
      <c r="F804" t="s">
        <v>72</v>
      </c>
      <c r="G804">
        <v>4</v>
      </c>
      <c r="H804">
        <v>85.17</v>
      </c>
      <c r="I804">
        <v>15</v>
      </c>
      <c r="J804" t="s">
        <v>76</v>
      </c>
      <c r="K804" t="s">
        <v>79</v>
      </c>
      <c r="L804">
        <v>340.68</v>
      </c>
      <c r="M804">
        <v>51.101999999999997</v>
      </c>
      <c r="N804">
        <v>289.57799999999997</v>
      </c>
      <c r="O8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04" s="9" t="str">
        <f ca="1">IF(OR(ISNUMBER(Table13[[#This Row],[Order_Date]])=FALSE,Table13[[#This Row],[Order_Date]]&lt;DATE(2000,1,1),Table13[[#This Row],[Order_Date]]&gt;TODAY()),"YES","NO")</f>
        <v>NO</v>
      </c>
      <c r="Q804" s="9">
        <f>IF(Table13[[#This Row],[Order_Status]] = "Cancelled",0,IF(Table13[[#This Row],[Order_Status]] = "Returned",Table13[[#This Row],[Net_Sales]] * -1,Table13[[#This Row],[Net_Sales]]))</f>
        <v>0</v>
      </c>
      <c r="R804" s="9" t="str">
        <f>IF(Table13[[#This Row],[Gross_Sales]]&gt;=500, "YES","NO")</f>
        <v>NO</v>
      </c>
    </row>
    <row r="805" spans="1:18" x14ac:dyDescent="0.3">
      <c r="A805">
        <v>100800</v>
      </c>
      <c r="B805" s="8">
        <v>45325.291666666657</v>
      </c>
      <c r="C805" t="s">
        <v>14</v>
      </c>
      <c r="D805" t="s">
        <v>32</v>
      </c>
      <c r="E805" t="s">
        <v>70</v>
      </c>
      <c r="F805" t="s">
        <v>71</v>
      </c>
      <c r="G805">
        <v>4</v>
      </c>
      <c r="H805">
        <v>27.25</v>
      </c>
      <c r="I805">
        <v>10</v>
      </c>
      <c r="J805" t="s">
        <v>73</v>
      </c>
      <c r="K805" t="s">
        <v>77</v>
      </c>
      <c r="L805">
        <v>109</v>
      </c>
      <c r="M805">
        <v>10.9</v>
      </c>
      <c r="N805">
        <v>98.1</v>
      </c>
      <c r="O8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5" s="9" t="str">
        <f ca="1">IF(OR(ISNUMBER(Table13[[#This Row],[Order_Date]])=FALSE,Table13[[#This Row],[Order_Date]]&lt;DATE(2000,1,1),Table13[[#This Row],[Order_Date]]&gt;TODAY()),"YES","NO")</f>
        <v>NO</v>
      </c>
      <c r="Q805" s="9">
        <f>IF(Table13[[#This Row],[Order_Status]] = "Cancelled",0,IF(Table13[[#This Row],[Order_Status]] = "Returned",Table13[[#This Row],[Net_Sales]] * -1,Table13[[#This Row],[Net_Sales]]))</f>
        <v>98.1</v>
      </c>
      <c r="R805" s="9" t="str">
        <f>IF(Table13[[#This Row],[Gross_Sales]]&gt;=500, "YES","NO")</f>
        <v>NO</v>
      </c>
    </row>
    <row r="806" spans="1:18" x14ac:dyDescent="0.3">
      <c r="A806">
        <v>100801</v>
      </c>
      <c r="B806" s="8">
        <v>45325.333333333343</v>
      </c>
      <c r="C806" t="s">
        <v>14</v>
      </c>
      <c r="D806" t="s">
        <v>63</v>
      </c>
      <c r="E806" t="s">
        <v>66</v>
      </c>
      <c r="F806" t="s">
        <v>71</v>
      </c>
      <c r="G806">
        <v>3</v>
      </c>
      <c r="H806">
        <v>78.77</v>
      </c>
      <c r="I806">
        <v>15</v>
      </c>
      <c r="J806" t="s">
        <v>76</v>
      </c>
      <c r="K806" t="s">
        <v>77</v>
      </c>
      <c r="L806">
        <v>236.31</v>
      </c>
      <c r="M806">
        <v>35.4465</v>
      </c>
      <c r="N806">
        <v>200.86349999999999</v>
      </c>
      <c r="O8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6" s="9" t="str">
        <f ca="1">IF(OR(ISNUMBER(Table13[[#This Row],[Order_Date]])=FALSE,Table13[[#This Row],[Order_Date]]&lt;DATE(2000,1,1),Table13[[#This Row],[Order_Date]]&gt;TODAY()),"YES","NO")</f>
        <v>NO</v>
      </c>
      <c r="Q806" s="9">
        <f>IF(Table13[[#This Row],[Order_Status]] = "Cancelled",0,IF(Table13[[#This Row],[Order_Status]] = "Returned",Table13[[#This Row],[Net_Sales]] * -1,Table13[[#This Row],[Net_Sales]]))</f>
        <v>200.86349999999999</v>
      </c>
      <c r="R806" s="9" t="str">
        <f>IF(Table13[[#This Row],[Gross_Sales]]&gt;=500, "YES","NO")</f>
        <v>NO</v>
      </c>
    </row>
    <row r="807" spans="1:18" x14ac:dyDescent="0.3">
      <c r="A807">
        <v>100802</v>
      </c>
      <c r="B807" s="8">
        <v>45325.375</v>
      </c>
      <c r="C807" t="s">
        <v>15</v>
      </c>
      <c r="D807" t="s">
        <v>65</v>
      </c>
      <c r="E807" t="s">
        <v>67</v>
      </c>
      <c r="F807" t="s">
        <v>71</v>
      </c>
      <c r="G807">
        <v>4</v>
      </c>
      <c r="H807">
        <v>34.880000000000003</v>
      </c>
      <c r="I807">
        <v>5</v>
      </c>
      <c r="J807" t="s">
        <v>75</v>
      </c>
      <c r="K807" t="s">
        <v>77</v>
      </c>
      <c r="L807">
        <v>139.52000000000001</v>
      </c>
      <c r="M807">
        <v>6.9760000000000009</v>
      </c>
      <c r="N807">
        <v>132.54400000000001</v>
      </c>
      <c r="O8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7" s="9" t="str">
        <f ca="1">IF(OR(ISNUMBER(Table13[[#This Row],[Order_Date]])=FALSE,Table13[[#This Row],[Order_Date]]&lt;DATE(2000,1,1),Table13[[#This Row],[Order_Date]]&gt;TODAY()),"YES","NO")</f>
        <v>NO</v>
      </c>
      <c r="Q807" s="9">
        <f>IF(Table13[[#This Row],[Order_Status]] = "Cancelled",0,IF(Table13[[#This Row],[Order_Status]] = "Returned",Table13[[#This Row],[Net_Sales]] * -1,Table13[[#This Row],[Net_Sales]]))</f>
        <v>132.54400000000001</v>
      </c>
      <c r="R807" s="9" t="str">
        <f>IF(Table13[[#This Row],[Gross_Sales]]&gt;=500, "YES","NO")</f>
        <v>NO</v>
      </c>
    </row>
    <row r="808" spans="1:18" x14ac:dyDescent="0.3">
      <c r="A808">
        <v>100803</v>
      </c>
      <c r="B808" s="8">
        <v>45325.416666666657</v>
      </c>
      <c r="C808" t="s">
        <v>14</v>
      </c>
      <c r="D808" t="s">
        <v>16</v>
      </c>
      <c r="E808" t="s">
        <v>67</v>
      </c>
      <c r="F808" t="s">
        <v>72</v>
      </c>
      <c r="G808">
        <v>3</v>
      </c>
      <c r="H808">
        <v>106.9</v>
      </c>
      <c r="I808">
        <v>15</v>
      </c>
      <c r="J808" t="s">
        <v>74</v>
      </c>
      <c r="K808" t="s">
        <v>77</v>
      </c>
      <c r="L808">
        <v>320.7</v>
      </c>
      <c r="M808">
        <v>48.104999999999997</v>
      </c>
      <c r="N808">
        <v>272.59500000000003</v>
      </c>
      <c r="O8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8" s="9" t="str">
        <f ca="1">IF(OR(ISNUMBER(Table13[[#This Row],[Order_Date]])=FALSE,Table13[[#This Row],[Order_Date]]&lt;DATE(2000,1,1),Table13[[#This Row],[Order_Date]]&gt;TODAY()),"YES","NO")</f>
        <v>NO</v>
      </c>
      <c r="Q808" s="9">
        <f>IF(Table13[[#This Row],[Order_Status]] = "Cancelled",0,IF(Table13[[#This Row],[Order_Status]] = "Returned",Table13[[#This Row],[Net_Sales]] * -1,Table13[[#This Row],[Net_Sales]]))</f>
        <v>272.59500000000003</v>
      </c>
      <c r="R808" s="9" t="str">
        <f>IF(Table13[[#This Row],[Gross_Sales]]&gt;=500, "YES","NO")</f>
        <v>NO</v>
      </c>
    </row>
    <row r="809" spans="1:18" x14ac:dyDescent="0.3">
      <c r="A809">
        <v>100804</v>
      </c>
      <c r="B809" s="8">
        <v>45325.458333333343</v>
      </c>
      <c r="C809" t="s">
        <v>14</v>
      </c>
      <c r="D809" t="s">
        <v>49</v>
      </c>
      <c r="E809" t="s">
        <v>67</v>
      </c>
      <c r="F809" t="s">
        <v>72</v>
      </c>
      <c r="G809">
        <v>2</v>
      </c>
      <c r="H809">
        <v>108</v>
      </c>
      <c r="I809">
        <v>15</v>
      </c>
      <c r="J809" t="s">
        <v>75</v>
      </c>
      <c r="K809" t="s">
        <v>77</v>
      </c>
      <c r="L809">
        <v>216</v>
      </c>
      <c r="M809">
        <v>32.4</v>
      </c>
      <c r="N809">
        <v>183.6</v>
      </c>
      <c r="O8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09" s="9" t="str">
        <f ca="1">IF(OR(ISNUMBER(Table13[[#This Row],[Order_Date]])=FALSE,Table13[[#This Row],[Order_Date]]&lt;DATE(2000,1,1),Table13[[#This Row],[Order_Date]]&gt;TODAY()),"YES","NO")</f>
        <v>NO</v>
      </c>
      <c r="Q809" s="9">
        <f>IF(Table13[[#This Row],[Order_Status]] = "Cancelled",0,IF(Table13[[#This Row],[Order_Status]] = "Returned",Table13[[#This Row],[Net_Sales]] * -1,Table13[[#This Row],[Net_Sales]]))</f>
        <v>183.6</v>
      </c>
      <c r="R809" s="9" t="str">
        <f>IF(Table13[[#This Row],[Gross_Sales]]&gt;=500, "YES","NO")</f>
        <v>NO</v>
      </c>
    </row>
    <row r="810" spans="1:18" x14ac:dyDescent="0.3">
      <c r="A810">
        <v>100805</v>
      </c>
      <c r="B810" s="8">
        <v>45325.5</v>
      </c>
      <c r="C810" t="s">
        <v>15</v>
      </c>
      <c r="D810" t="s">
        <v>41</v>
      </c>
      <c r="E810" t="s">
        <v>67</v>
      </c>
      <c r="F810" t="s">
        <v>72</v>
      </c>
      <c r="G810">
        <v>5</v>
      </c>
      <c r="H810">
        <v>39.19</v>
      </c>
      <c r="I810">
        <v>15</v>
      </c>
      <c r="J810" t="s">
        <v>73</v>
      </c>
      <c r="K810" t="s">
        <v>77</v>
      </c>
      <c r="L810">
        <v>195.95</v>
      </c>
      <c r="M810">
        <v>29.392499999999998</v>
      </c>
      <c r="N810">
        <v>166.5575</v>
      </c>
      <c r="O8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0" s="9" t="str">
        <f ca="1">IF(OR(ISNUMBER(Table13[[#This Row],[Order_Date]])=FALSE,Table13[[#This Row],[Order_Date]]&lt;DATE(2000,1,1),Table13[[#This Row],[Order_Date]]&gt;TODAY()),"YES","NO")</f>
        <v>NO</v>
      </c>
      <c r="Q810" s="9">
        <f>IF(Table13[[#This Row],[Order_Status]] = "Cancelled",0,IF(Table13[[#This Row],[Order_Status]] = "Returned",Table13[[#This Row],[Net_Sales]] * -1,Table13[[#This Row],[Net_Sales]]))</f>
        <v>166.5575</v>
      </c>
      <c r="R810" s="9" t="str">
        <f>IF(Table13[[#This Row],[Gross_Sales]]&gt;=500, "YES","NO")</f>
        <v>NO</v>
      </c>
    </row>
    <row r="811" spans="1:18" x14ac:dyDescent="0.3">
      <c r="A811">
        <v>100806</v>
      </c>
      <c r="B811" s="8">
        <v>45325.541666666657</v>
      </c>
      <c r="C811" t="s">
        <v>15</v>
      </c>
      <c r="D811" t="s">
        <v>40</v>
      </c>
      <c r="E811" t="s">
        <v>67</v>
      </c>
      <c r="F811" t="s">
        <v>71</v>
      </c>
      <c r="G811">
        <v>2</v>
      </c>
      <c r="H811">
        <v>31.45</v>
      </c>
      <c r="I811">
        <v>10</v>
      </c>
      <c r="J811" t="s">
        <v>75</v>
      </c>
      <c r="K811" t="s">
        <v>77</v>
      </c>
      <c r="L811">
        <v>62.9</v>
      </c>
      <c r="M811">
        <v>6.29</v>
      </c>
      <c r="N811">
        <v>56.61</v>
      </c>
      <c r="O8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1" s="9" t="str">
        <f ca="1">IF(OR(ISNUMBER(Table13[[#This Row],[Order_Date]])=FALSE,Table13[[#This Row],[Order_Date]]&lt;DATE(2000,1,1),Table13[[#This Row],[Order_Date]]&gt;TODAY()),"YES","NO")</f>
        <v>NO</v>
      </c>
      <c r="Q811" s="9">
        <f>IF(Table13[[#This Row],[Order_Status]] = "Cancelled",0,IF(Table13[[#This Row],[Order_Status]] = "Returned",Table13[[#This Row],[Net_Sales]] * -1,Table13[[#This Row],[Net_Sales]]))</f>
        <v>56.61</v>
      </c>
      <c r="R811" s="9" t="str">
        <f>IF(Table13[[#This Row],[Gross_Sales]]&gt;=500, "YES","NO")</f>
        <v>NO</v>
      </c>
    </row>
    <row r="812" spans="1:18" x14ac:dyDescent="0.3">
      <c r="A812">
        <v>100807</v>
      </c>
      <c r="B812" s="8">
        <v>45325.583333333343</v>
      </c>
      <c r="C812" t="s">
        <v>15</v>
      </c>
      <c r="D812" t="s">
        <v>42</v>
      </c>
      <c r="E812" t="s">
        <v>67</v>
      </c>
      <c r="F812" t="s">
        <v>71</v>
      </c>
      <c r="G812">
        <v>3</v>
      </c>
      <c r="H812">
        <v>52.3</v>
      </c>
      <c r="I812">
        <v>5</v>
      </c>
      <c r="J812" t="s">
        <v>74</v>
      </c>
      <c r="K812" t="s">
        <v>77</v>
      </c>
      <c r="L812">
        <v>156.9</v>
      </c>
      <c r="M812">
        <v>7.8449999999999989</v>
      </c>
      <c r="N812">
        <v>149.05500000000001</v>
      </c>
      <c r="O8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2" s="9" t="str">
        <f ca="1">IF(OR(ISNUMBER(Table13[[#This Row],[Order_Date]])=FALSE,Table13[[#This Row],[Order_Date]]&lt;DATE(2000,1,1),Table13[[#This Row],[Order_Date]]&gt;TODAY()),"YES","NO")</f>
        <v>NO</v>
      </c>
      <c r="Q812" s="9">
        <f>IF(Table13[[#This Row],[Order_Status]] = "Cancelled",0,IF(Table13[[#This Row],[Order_Status]] = "Returned",Table13[[#This Row],[Net_Sales]] * -1,Table13[[#This Row],[Net_Sales]]))</f>
        <v>149.05500000000001</v>
      </c>
      <c r="R812" s="9" t="str">
        <f>IF(Table13[[#This Row],[Gross_Sales]]&gt;=500, "YES","NO")</f>
        <v>NO</v>
      </c>
    </row>
    <row r="813" spans="1:18" x14ac:dyDescent="0.3">
      <c r="A813">
        <v>100808</v>
      </c>
      <c r="B813" s="8">
        <v>45325.625</v>
      </c>
      <c r="C813" t="s">
        <v>14</v>
      </c>
      <c r="D813" t="s">
        <v>65</v>
      </c>
      <c r="E813" t="s">
        <v>70</v>
      </c>
      <c r="F813" t="s">
        <v>72</v>
      </c>
      <c r="G813">
        <v>3</v>
      </c>
      <c r="H813">
        <v>32.659999999999997</v>
      </c>
      <c r="I813">
        <v>0</v>
      </c>
      <c r="J813" t="s">
        <v>75</v>
      </c>
      <c r="K813" t="s">
        <v>78</v>
      </c>
      <c r="L813">
        <v>97.97999999999999</v>
      </c>
      <c r="M813">
        <v>0</v>
      </c>
      <c r="N813">
        <v>97.97999999999999</v>
      </c>
      <c r="O8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13" s="9" t="str">
        <f ca="1">IF(OR(ISNUMBER(Table13[[#This Row],[Order_Date]])=FALSE,Table13[[#This Row],[Order_Date]]&lt;DATE(2000,1,1),Table13[[#This Row],[Order_Date]]&gt;TODAY()),"YES","NO")</f>
        <v>NO</v>
      </c>
      <c r="Q813" s="9">
        <f>IF(Table13[[#This Row],[Order_Status]] = "Cancelled",0,IF(Table13[[#This Row],[Order_Status]] = "Returned",Table13[[#This Row],[Net_Sales]] * -1,Table13[[#This Row],[Net_Sales]]))</f>
        <v>-97.97999999999999</v>
      </c>
      <c r="R813" s="9" t="str">
        <f>IF(Table13[[#This Row],[Gross_Sales]]&gt;=500, "YES","NO")</f>
        <v>NO</v>
      </c>
    </row>
    <row r="814" spans="1:18" x14ac:dyDescent="0.3">
      <c r="A814">
        <v>100809</v>
      </c>
      <c r="B814" s="8">
        <v>45325.666666666657</v>
      </c>
      <c r="C814" t="s">
        <v>15</v>
      </c>
      <c r="D814" t="s">
        <v>52</v>
      </c>
      <c r="E814" t="s">
        <v>69</v>
      </c>
      <c r="F814" t="s">
        <v>72</v>
      </c>
      <c r="G814">
        <v>2</v>
      </c>
      <c r="H814">
        <v>82.32</v>
      </c>
      <c r="I814">
        <v>10</v>
      </c>
      <c r="J814" t="s">
        <v>74</v>
      </c>
      <c r="K814" t="s">
        <v>78</v>
      </c>
      <c r="L814">
        <v>164.64</v>
      </c>
      <c r="M814">
        <v>16.463999999999999</v>
      </c>
      <c r="N814">
        <v>148.17599999999999</v>
      </c>
      <c r="O8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14" s="9" t="str">
        <f ca="1">IF(OR(ISNUMBER(Table13[[#This Row],[Order_Date]])=FALSE,Table13[[#This Row],[Order_Date]]&lt;DATE(2000,1,1),Table13[[#This Row],[Order_Date]]&gt;TODAY()),"YES","NO")</f>
        <v>NO</v>
      </c>
      <c r="Q814" s="9">
        <f>IF(Table13[[#This Row],[Order_Status]] = "Cancelled",0,IF(Table13[[#This Row],[Order_Status]] = "Returned",Table13[[#This Row],[Net_Sales]] * -1,Table13[[#This Row],[Net_Sales]]))</f>
        <v>-148.17599999999999</v>
      </c>
      <c r="R814" s="9" t="str">
        <f>IF(Table13[[#This Row],[Gross_Sales]]&gt;=500, "YES","NO")</f>
        <v>NO</v>
      </c>
    </row>
    <row r="815" spans="1:18" x14ac:dyDescent="0.3">
      <c r="A815">
        <v>100810</v>
      </c>
      <c r="B815" s="8">
        <v>45325.708333333343</v>
      </c>
      <c r="C815" t="s">
        <v>14</v>
      </c>
      <c r="D815" t="s">
        <v>59</v>
      </c>
      <c r="E815" t="s">
        <v>66</v>
      </c>
      <c r="F815" t="s">
        <v>71</v>
      </c>
      <c r="G815">
        <v>1</v>
      </c>
      <c r="H815">
        <v>100</v>
      </c>
      <c r="I815">
        <v>0</v>
      </c>
      <c r="J815" t="s">
        <v>74</v>
      </c>
      <c r="K815" t="s">
        <v>77</v>
      </c>
      <c r="L815">
        <v>100</v>
      </c>
      <c r="M815">
        <v>0</v>
      </c>
      <c r="N815">
        <v>100</v>
      </c>
      <c r="O8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5" s="9" t="str">
        <f ca="1">IF(OR(ISNUMBER(Table13[[#This Row],[Order_Date]])=FALSE,Table13[[#This Row],[Order_Date]]&lt;DATE(2000,1,1),Table13[[#This Row],[Order_Date]]&gt;TODAY()),"YES","NO")</f>
        <v>NO</v>
      </c>
      <c r="Q815" s="9">
        <f>IF(Table13[[#This Row],[Order_Status]] = "Cancelled",0,IF(Table13[[#This Row],[Order_Status]] = "Returned",Table13[[#This Row],[Net_Sales]] * -1,Table13[[#This Row],[Net_Sales]]))</f>
        <v>100</v>
      </c>
      <c r="R815" s="9" t="str">
        <f>IF(Table13[[#This Row],[Gross_Sales]]&gt;=500, "YES","NO")</f>
        <v>NO</v>
      </c>
    </row>
    <row r="816" spans="1:18" x14ac:dyDescent="0.3">
      <c r="A816">
        <v>100811</v>
      </c>
      <c r="B816" s="8">
        <v>45325.75</v>
      </c>
      <c r="C816" t="s">
        <v>14</v>
      </c>
      <c r="D816" t="s">
        <v>65</v>
      </c>
      <c r="E816" t="s">
        <v>67</v>
      </c>
      <c r="F816" t="s">
        <v>71</v>
      </c>
      <c r="G816">
        <v>1</v>
      </c>
      <c r="H816">
        <v>82.41</v>
      </c>
      <c r="I816">
        <v>0</v>
      </c>
      <c r="J816" t="s">
        <v>75</v>
      </c>
      <c r="K816" t="s">
        <v>77</v>
      </c>
      <c r="L816">
        <v>82.41</v>
      </c>
      <c r="M816">
        <v>0</v>
      </c>
      <c r="N816">
        <v>82.41</v>
      </c>
      <c r="O8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6" s="9" t="str">
        <f ca="1">IF(OR(ISNUMBER(Table13[[#This Row],[Order_Date]])=FALSE,Table13[[#This Row],[Order_Date]]&lt;DATE(2000,1,1),Table13[[#This Row],[Order_Date]]&gt;TODAY()),"YES","NO")</f>
        <v>NO</v>
      </c>
      <c r="Q816" s="9">
        <f>IF(Table13[[#This Row],[Order_Status]] = "Cancelled",0,IF(Table13[[#This Row],[Order_Status]] = "Returned",Table13[[#This Row],[Net_Sales]] * -1,Table13[[#This Row],[Net_Sales]]))</f>
        <v>82.41</v>
      </c>
      <c r="R816" s="9" t="str">
        <f>IF(Table13[[#This Row],[Gross_Sales]]&gt;=500, "YES","NO")</f>
        <v>NO</v>
      </c>
    </row>
    <row r="817" spans="1:18" x14ac:dyDescent="0.3">
      <c r="A817">
        <v>100812</v>
      </c>
      <c r="B817" s="8">
        <v>45325.791666666657</v>
      </c>
      <c r="C817" t="s">
        <v>14</v>
      </c>
      <c r="D817" t="s">
        <v>17</v>
      </c>
      <c r="E817" t="s">
        <v>70</v>
      </c>
      <c r="F817" t="s">
        <v>71</v>
      </c>
      <c r="G817">
        <v>1</v>
      </c>
      <c r="H817">
        <v>99.8</v>
      </c>
      <c r="I817">
        <v>10</v>
      </c>
      <c r="J817" t="s">
        <v>76</v>
      </c>
      <c r="K817" t="s">
        <v>77</v>
      </c>
      <c r="L817">
        <v>99.8</v>
      </c>
      <c r="M817">
        <v>9.98</v>
      </c>
      <c r="N817">
        <v>89.82</v>
      </c>
      <c r="O8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7" s="9" t="str">
        <f ca="1">IF(OR(ISNUMBER(Table13[[#This Row],[Order_Date]])=FALSE,Table13[[#This Row],[Order_Date]]&lt;DATE(2000,1,1),Table13[[#This Row],[Order_Date]]&gt;TODAY()),"YES","NO")</f>
        <v>NO</v>
      </c>
      <c r="Q817" s="9">
        <f>IF(Table13[[#This Row],[Order_Status]] = "Cancelled",0,IF(Table13[[#This Row],[Order_Status]] = "Returned",Table13[[#This Row],[Net_Sales]] * -1,Table13[[#This Row],[Net_Sales]]))</f>
        <v>89.82</v>
      </c>
      <c r="R817" s="9" t="str">
        <f>IF(Table13[[#This Row],[Gross_Sales]]&gt;=500, "YES","NO")</f>
        <v>NO</v>
      </c>
    </row>
    <row r="818" spans="1:18" x14ac:dyDescent="0.3">
      <c r="A818">
        <v>100813</v>
      </c>
      <c r="B818" s="8">
        <v>45325.833333333343</v>
      </c>
      <c r="C818" t="s">
        <v>14</v>
      </c>
      <c r="D818" t="s">
        <v>22</v>
      </c>
      <c r="E818" t="s">
        <v>70</v>
      </c>
      <c r="F818" t="s">
        <v>71</v>
      </c>
      <c r="G818">
        <v>3</v>
      </c>
      <c r="H818">
        <v>50.65</v>
      </c>
      <c r="I818">
        <v>10</v>
      </c>
      <c r="J818" t="s">
        <v>73</v>
      </c>
      <c r="K818" t="s">
        <v>78</v>
      </c>
      <c r="L818">
        <v>151.94999999999999</v>
      </c>
      <c r="M818">
        <v>15.195</v>
      </c>
      <c r="N818">
        <v>136.755</v>
      </c>
      <c r="O8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18" s="9" t="str">
        <f ca="1">IF(OR(ISNUMBER(Table13[[#This Row],[Order_Date]])=FALSE,Table13[[#This Row],[Order_Date]]&lt;DATE(2000,1,1),Table13[[#This Row],[Order_Date]]&gt;TODAY()),"YES","NO")</f>
        <v>NO</v>
      </c>
      <c r="Q818" s="9">
        <f>IF(Table13[[#This Row],[Order_Status]] = "Cancelled",0,IF(Table13[[#This Row],[Order_Status]] = "Returned",Table13[[#This Row],[Net_Sales]] * -1,Table13[[#This Row],[Net_Sales]]))</f>
        <v>-136.755</v>
      </c>
      <c r="R818" s="9" t="str">
        <f>IF(Table13[[#This Row],[Gross_Sales]]&gt;=500, "YES","NO")</f>
        <v>NO</v>
      </c>
    </row>
    <row r="819" spans="1:18" x14ac:dyDescent="0.3">
      <c r="A819">
        <v>100814</v>
      </c>
      <c r="B819" s="8">
        <v>45325.875</v>
      </c>
      <c r="C819" t="s">
        <v>15</v>
      </c>
      <c r="D819" t="s">
        <v>55</v>
      </c>
      <c r="E819" t="s">
        <v>70</v>
      </c>
      <c r="F819" t="s">
        <v>72</v>
      </c>
      <c r="G819">
        <v>4</v>
      </c>
      <c r="H819">
        <v>22.98</v>
      </c>
      <c r="I819">
        <v>5</v>
      </c>
      <c r="J819" t="s">
        <v>76</v>
      </c>
      <c r="K819" t="s">
        <v>77</v>
      </c>
      <c r="L819">
        <v>91.92</v>
      </c>
      <c r="M819">
        <v>4.5960000000000001</v>
      </c>
      <c r="N819">
        <v>87.323999999999998</v>
      </c>
      <c r="O8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19" s="9" t="str">
        <f ca="1">IF(OR(ISNUMBER(Table13[[#This Row],[Order_Date]])=FALSE,Table13[[#This Row],[Order_Date]]&lt;DATE(2000,1,1),Table13[[#This Row],[Order_Date]]&gt;TODAY()),"YES","NO")</f>
        <v>NO</v>
      </c>
      <c r="Q819" s="9">
        <f>IF(Table13[[#This Row],[Order_Status]] = "Cancelled",0,IF(Table13[[#This Row],[Order_Status]] = "Returned",Table13[[#This Row],[Net_Sales]] * -1,Table13[[#This Row],[Net_Sales]]))</f>
        <v>87.323999999999998</v>
      </c>
      <c r="R819" s="9" t="str">
        <f>IF(Table13[[#This Row],[Gross_Sales]]&gt;=500, "YES","NO")</f>
        <v>NO</v>
      </c>
    </row>
    <row r="820" spans="1:18" x14ac:dyDescent="0.3">
      <c r="A820">
        <v>100815</v>
      </c>
      <c r="B820" s="8">
        <v>45325.916666666657</v>
      </c>
      <c r="C820" t="s">
        <v>15</v>
      </c>
      <c r="D820" t="s">
        <v>34</v>
      </c>
      <c r="E820" t="s">
        <v>69</v>
      </c>
      <c r="F820" t="s">
        <v>71</v>
      </c>
      <c r="G820">
        <v>3</v>
      </c>
      <c r="H820">
        <v>89.86</v>
      </c>
      <c r="I820">
        <v>5</v>
      </c>
      <c r="J820" t="s">
        <v>76</v>
      </c>
      <c r="K820" t="s">
        <v>77</v>
      </c>
      <c r="L820">
        <v>269.58</v>
      </c>
      <c r="M820">
        <v>13.478999999999999</v>
      </c>
      <c r="N820">
        <v>256.101</v>
      </c>
      <c r="O8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0" s="9" t="str">
        <f ca="1">IF(OR(ISNUMBER(Table13[[#This Row],[Order_Date]])=FALSE,Table13[[#This Row],[Order_Date]]&lt;DATE(2000,1,1),Table13[[#This Row],[Order_Date]]&gt;TODAY()),"YES","NO")</f>
        <v>NO</v>
      </c>
      <c r="Q820" s="9">
        <f>IF(Table13[[#This Row],[Order_Status]] = "Cancelled",0,IF(Table13[[#This Row],[Order_Status]] = "Returned",Table13[[#This Row],[Net_Sales]] * -1,Table13[[#This Row],[Net_Sales]]))</f>
        <v>256.101</v>
      </c>
      <c r="R820" s="9" t="str">
        <f>IF(Table13[[#This Row],[Gross_Sales]]&gt;=500, "YES","NO")</f>
        <v>NO</v>
      </c>
    </row>
    <row r="821" spans="1:18" x14ac:dyDescent="0.3">
      <c r="A821">
        <v>100816</v>
      </c>
      <c r="B821" s="8">
        <v>45325.958333333343</v>
      </c>
      <c r="C821" t="s">
        <v>14</v>
      </c>
      <c r="D821" t="s">
        <v>49</v>
      </c>
      <c r="E821" t="s">
        <v>66</v>
      </c>
      <c r="F821" t="s">
        <v>71</v>
      </c>
      <c r="G821">
        <v>4</v>
      </c>
      <c r="H821">
        <v>46.45</v>
      </c>
      <c r="I821">
        <v>15</v>
      </c>
      <c r="J821" t="s">
        <v>75</v>
      </c>
      <c r="K821" t="s">
        <v>77</v>
      </c>
      <c r="L821">
        <v>185.8</v>
      </c>
      <c r="M821">
        <v>27.87</v>
      </c>
      <c r="N821">
        <v>157.93</v>
      </c>
      <c r="O8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1" s="9" t="str">
        <f ca="1">IF(OR(ISNUMBER(Table13[[#This Row],[Order_Date]])=FALSE,Table13[[#This Row],[Order_Date]]&lt;DATE(2000,1,1),Table13[[#This Row],[Order_Date]]&gt;TODAY()),"YES","NO")</f>
        <v>NO</v>
      </c>
      <c r="Q821" s="9">
        <f>IF(Table13[[#This Row],[Order_Status]] = "Cancelled",0,IF(Table13[[#This Row],[Order_Status]] = "Returned",Table13[[#This Row],[Net_Sales]] * -1,Table13[[#This Row],[Net_Sales]]))</f>
        <v>157.93</v>
      </c>
      <c r="R821" s="9" t="str">
        <f>IF(Table13[[#This Row],[Gross_Sales]]&gt;=500, "YES","NO")</f>
        <v>NO</v>
      </c>
    </row>
    <row r="822" spans="1:18" x14ac:dyDescent="0.3">
      <c r="A822">
        <v>100817</v>
      </c>
      <c r="B822" s="8">
        <v>45326</v>
      </c>
      <c r="C822" t="s">
        <v>14</v>
      </c>
      <c r="D822" t="s">
        <v>23</v>
      </c>
      <c r="E822" t="s">
        <v>69</v>
      </c>
      <c r="F822" t="s">
        <v>71</v>
      </c>
      <c r="G822">
        <v>2</v>
      </c>
      <c r="H822">
        <v>82.2</v>
      </c>
      <c r="I822">
        <v>0</v>
      </c>
      <c r="J822" t="s">
        <v>73</v>
      </c>
      <c r="K822" t="s">
        <v>77</v>
      </c>
      <c r="L822">
        <v>164.4</v>
      </c>
      <c r="M822">
        <v>0</v>
      </c>
      <c r="N822">
        <v>164.4</v>
      </c>
      <c r="O8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2" s="9" t="str">
        <f ca="1">IF(OR(ISNUMBER(Table13[[#This Row],[Order_Date]])=FALSE,Table13[[#This Row],[Order_Date]]&lt;DATE(2000,1,1),Table13[[#This Row],[Order_Date]]&gt;TODAY()),"YES","NO")</f>
        <v>NO</v>
      </c>
      <c r="Q822" s="9">
        <f>IF(Table13[[#This Row],[Order_Status]] = "Cancelled",0,IF(Table13[[#This Row],[Order_Status]] = "Returned",Table13[[#This Row],[Net_Sales]] * -1,Table13[[#This Row],[Net_Sales]]))</f>
        <v>164.4</v>
      </c>
      <c r="R822" s="9" t="str">
        <f>IF(Table13[[#This Row],[Gross_Sales]]&gt;=500, "YES","NO")</f>
        <v>NO</v>
      </c>
    </row>
    <row r="823" spans="1:18" x14ac:dyDescent="0.3">
      <c r="A823">
        <v>100818</v>
      </c>
      <c r="B823" s="8">
        <v>45326.041666666657</v>
      </c>
      <c r="C823" t="s">
        <v>14</v>
      </c>
      <c r="D823" t="s">
        <v>27</v>
      </c>
      <c r="E823" t="s">
        <v>68</v>
      </c>
      <c r="F823" t="s">
        <v>72</v>
      </c>
      <c r="G823">
        <v>5</v>
      </c>
      <c r="H823">
        <v>36.119999999999997</v>
      </c>
      <c r="I823">
        <v>5</v>
      </c>
      <c r="J823" t="s">
        <v>73</v>
      </c>
      <c r="K823" t="s">
        <v>77</v>
      </c>
      <c r="L823">
        <v>180.6</v>
      </c>
      <c r="M823">
        <v>9.0299999999999994</v>
      </c>
      <c r="N823">
        <v>171.57</v>
      </c>
      <c r="O8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3" s="9" t="str">
        <f ca="1">IF(OR(ISNUMBER(Table13[[#This Row],[Order_Date]])=FALSE,Table13[[#This Row],[Order_Date]]&lt;DATE(2000,1,1),Table13[[#This Row],[Order_Date]]&gt;TODAY()),"YES","NO")</f>
        <v>NO</v>
      </c>
      <c r="Q823" s="9">
        <f>IF(Table13[[#This Row],[Order_Status]] = "Cancelled",0,IF(Table13[[#This Row],[Order_Status]] = "Returned",Table13[[#This Row],[Net_Sales]] * -1,Table13[[#This Row],[Net_Sales]]))</f>
        <v>171.57</v>
      </c>
      <c r="R823" s="9" t="str">
        <f>IF(Table13[[#This Row],[Gross_Sales]]&gt;=500, "YES","NO")</f>
        <v>NO</v>
      </c>
    </row>
    <row r="824" spans="1:18" x14ac:dyDescent="0.3">
      <c r="A824">
        <v>100819</v>
      </c>
      <c r="B824" s="8">
        <v>45326.083333333343</v>
      </c>
      <c r="C824" t="s">
        <v>15</v>
      </c>
      <c r="D824" t="s">
        <v>46</v>
      </c>
      <c r="E824" t="s">
        <v>70</v>
      </c>
      <c r="F824" t="s">
        <v>72</v>
      </c>
      <c r="G824">
        <v>4</v>
      </c>
      <c r="H824">
        <v>14.34</v>
      </c>
      <c r="I824">
        <v>15</v>
      </c>
      <c r="J824" t="s">
        <v>76</v>
      </c>
      <c r="K824" t="s">
        <v>77</v>
      </c>
      <c r="L824">
        <v>57.36</v>
      </c>
      <c r="M824">
        <v>8.6039999999999992</v>
      </c>
      <c r="N824">
        <v>48.756</v>
      </c>
      <c r="O8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4" s="9" t="str">
        <f ca="1">IF(OR(ISNUMBER(Table13[[#This Row],[Order_Date]])=FALSE,Table13[[#This Row],[Order_Date]]&lt;DATE(2000,1,1),Table13[[#This Row],[Order_Date]]&gt;TODAY()),"YES","NO")</f>
        <v>NO</v>
      </c>
      <c r="Q824" s="9">
        <f>IF(Table13[[#This Row],[Order_Status]] = "Cancelled",0,IF(Table13[[#This Row],[Order_Status]] = "Returned",Table13[[#This Row],[Net_Sales]] * -1,Table13[[#This Row],[Net_Sales]]))</f>
        <v>48.756</v>
      </c>
      <c r="R824" s="9" t="str">
        <f>IF(Table13[[#This Row],[Gross_Sales]]&gt;=500, "YES","NO")</f>
        <v>NO</v>
      </c>
    </row>
    <row r="825" spans="1:18" x14ac:dyDescent="0.3">
      <c r="A825">
        <v>100820</v>
      </c>
      <c r="B825" s="8">
        <v>45326.125</v>
      </c>
      <c r="C825" t="s">
        <v>14</v>
      </c>
      <c r="D825" t="s">
        <v>33</v>
      </c>
      <c r="E825" t="s">
        <v>68</v>
      </c>
      <c r="F825" t="s">
        <v>71</v>
      </c>
      <c r="G825">
        <v>1</v>
      </c>
      <c r="H825">
        <v>119.15</v>
      </c>
      <c r="I825">
        <v>5</v>
      </c>
      <c r="J825" t="s">
        <v>75</v>
      </c>
      <c r="K825" t="s">
        <v>77</v>
      </c>
      <c r="L825">
        <v>119.15</v>
      </c>
      <c r="M825">
        <v>5.9574999999999996</v>
      </c>
      <c r="N825">
        <v>113.1925</v>
      </c>
      <c r="O8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5" s="9" t="str">
        <f ca="1">IF(OR(ISNUMBER(Table13[[#This Row],[Order_Date]])=FALSE,Table13[[#This Row],[Order_Date]]&lt;DATE(2000,1,1),Table13[[#This Row],[Order_Date]]&gt;TODAY()),"YES","NO")</f>
        <v>NO</v>
      </c>
      <c r="Q825" s="9">
        <f>IF(Table13[[#This Row],[Order_Status]] = "Cancelled",0,IF(Table13[[#This Row],[Order_Status]] = "Returned",Table13[[#This Row],[Net_Sales]] * -1,Table13[[#This Row],[Net_Sales]]))</f>
        <v>113.1925</v>
      </c>
      <c r="R825" s="9" t="str">
        <f>IF(Table13[[#This Row],[Gross_Sales]]&gt;=500, "YES","NO")</f>
        <v>NO</v>
      </c>
    </row>
    <row r="826" spans="1:18" x14ac:dyDescent="0.3">
      <c r="A826">
        <v>100821</v>
      </c>
      <c r="B826" s="8">
        <v>45326.166666666657</v>
      </c>
      <c r="C826" t="s">
        <v>14</v>
      </c>
      <c r="D826" t="s">
        <v>56</v>
      </c>
      <c r="E826" t="s">
        <v>67</v>
      </c>
      <c r="F826" t="s">
        <v>71</v>
      </c>
      <c r="G826">
        <v>3</v>
      </c>
      <c r="H826">
        <v>22.96</v>
      </c>
      <c r="I826">
        <v>10</v>
      </c>
      <c r="J826" t="s">
        <v>73</v>
      </c>
      <c r="K826" t="s">
        <v>77</v>
      </c>
      <c r="L826">
        <v>68.88</v>
      </c>
      <c r="M826">
        <v>6.8879999999999999</v>
      </c>
      <c r="N826">
        <v>61.991999999999997</v>
      </c>
      <c r="O8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6" s="9" t="str">
        <f ca="1">IF(OR(ISNUMBER(Table13[[#This Row],[Order_Date]])=FALSE,Table13[[#This Row],[Order_Date]]&lt;DATE(2000,1,1),Table13[[#This Row],[Order_Date]]&gt;TODAY()),"YES","NO")</f>
        <v>NO</v>
      </c>
      <c r="Q826" s="9">
        <f>IF(Table13[[#This Row],[Order_Status]] = "Cancelled",0,IF(Table13[[#This Row],[Order_Status]] = "Returned",Table13[[#This Row],[Net_Sales]] * -1,Table13[[#This Row],[Net_Sales]]))</f>
        <v>61.991999999999997</v>
      </c>
      <c r="R826" s="9" t="str">
        <f>IF(Table13[[#This Row],[Gross_Sales]]&gt;=500, "YES","NO")</f>
        <v>NO</v>
      </c>
    </row>
    <row r="827" spans="1:18" x14ac:dyDescent="0.3">
      <c r="A827">
        <v>100822</v>
      </c>
      <c r="B827" s="8">
        <v>45326.208333333343</v>
      </c>
      <c r="C827" t="s">
        <v>15</v>
      </c>
      <c r="D827" t="s">
        <v>25</v>
      </c>
      <c r="E827" t="s">
        <v>67</v>
      </c>
      <c r="F827" t="s">
        <v>71</v>
      </c>
      <c r="G827">
        <v>2</v>
      </c>
      <c r="H827">
        <v>118.67</v>
      </c>
      <c r="I827">
        <v>5</v>
      </c>
      <c r="J827" t="s">
        <v>76</v>
      </c>
      <c r="K827" t="s">
        <v>77</v>
      </c>
      <c r="L827">
        <v>237.34</v>
      </c>
      <c r="M827">
        <v>11.867000000000001</v>
      </c>
      <c r="N827">
        <v>225.47300000000001</v>
      </c>
      <c r="O8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7" s="9" t="str">
        <f ca="1">IF(OR(ISNUMBER(Table13[[#This Row],[Order_Date]])=FALSE,Table13[[#This Row],[Order_Date]]&lt;DATE(2000,1,1),Table13[[#This Row],[Order_Date]]&gt;TODAY()),"YES","NO")</f>
        <v>NO</v>
      </c>
      <c r="Q827" s="9">
        <f>IF(Table13[[#This Row],[Order_Status]] = "Cancelled",0,IF(Table13[[#This Row],[Order_Status]] = "Returned",Table13[[#This Row],[Net_Sales]] * -1,Table13[[#This Row],[Net_Sales]]))</f>
        <v>225.47300000000001</v>
      </c>
      <c r="R827" s="9" t="str">
        <f>IF(Table13[[#This Row],[Gross_Sales]]&gt;=500, "YES","NO")</f>
        <v>NO</v>
      </c>
    </row>
    <row r="828" spans="1:18" x14ac:dyDescent="0.3">
      <c r="A828">
        <v>100823</v>
      </c>
      <c r="B828" s="8">
        <v>45326.25</v>
      </c>
      <c r="C828" t="s">
        <v>15</v>
      </c>
      <c r="D828" t="s">
        <v>27</v>
      </c>
      <c r="E828" t="s">
        <v>69</v>
      </c>
      <c r="F828" t="s">
        <v>72</v>
      </c>
      <c r="G828">
        <v>1</v>
      </c>
      <c r="H828">
        <v>117.39</v>
      </c>
      <c r="I828">
        <v>0</v>
      </c>
      <c r="J828" t="s">
        <v>73</v>
      </c>
      <c r="K828" t="s">
        <v>77</v>
      </c>
      <c r="L828">
        <v>117.39</v>
      </c>
      <c r="M828">
        <v>0</v>
      </c>
      <c r="N828">
        <v>117.39</v>
      </c>
      <c r="O8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28" s="9" t="str">
        <f ca="1">IF(OR(ISNUMBER(Table13[[#This Row],[Order_Date]])=FALSE,Table13[[#This Row],[Order_Date]]&lt;DATE(2000,1,1),Table13[[#This Row],[Order_Date]]&gt;TODAY()),"YES","NO")</f>
        <v>NO</v>
      </c>
      <c r="Q828" s="9">
        <f>IF(Table13[[#This Row],[Order_Status]] = "Cancelled",0,IF(Table13[[#This Row],[Order_Status]] = "Returned",Table13[[#This Row],[Net_Sales]] * -1,Table13[[#This Row],[Net_Sales]]))</f>
        <v>117.39</v>
      </c>
      <c r="R828" s="9" t="str">
        <f>IF(Table13[[#This Row],[Gross_Sales]]&gt;=500, "YES","NO")</f>
        <v>NO</v>
      </c>
    </row>
    <row r="829" spans="1:18" x14ac:dyDescent="0.3">
      <c r="A829">
        <v>100824</v>
      </c>
      <c r="B829" s="8">
        <v>45326.291666666657</v>
      </c>
      <c r="C829" t="s">
        <v>14</v>
      </c>
      <c r="D829" t="s">
        <v>61</v>
      </c>
      <c r="E829" t="s">
        <v>66</v>
      </c>
      <c r="F829" t="s">
        <v>72</v>
      </c>
      <c r="G829">
        <v>2</v>
      </c>
      <c r="H829">
        <v>96.29</v>
      </c>
      <c r="I829">
        <v>5</v>
      </c>
      <c r="J829" t="s">
        <v>75</v>
      </c>
      <c r="K829" t="s">
        <v>78</v>
      </c>
      <c r="L829">
        <v>192.58</v>
      </c>
      <c r="M829">
        <v>9.6290000000000013</v>
      </c>
      <c r="N829">
        <v>182.95099999999999</v>
      </c>
      <c r="O8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29" s="9" t="str">
        <f ca="1">IF(OR(ISNUMBER(Table13[[#This Row],[Order_Date]])=FALSE,Table13[[#This Row],[Order_Date]]&lt;DATE(2000,1,1),Table13[[#This Row],[Order_Date]]&gt;TODAY()),"YES","NO")</f>
        <v>NO</v>
      </c>
      <c r="Q829" s="9">
        <f>IF(Table13[[#This Row],[Order_Status]] = "Cancelled",0,IF(Table13[[#This Row],[Order_Status]] = "Returned",Table13[[#This Row],[Net_Sales]] * -1,Table13[[#This Row],[Net_Sales]]))</f>
        <v>-182.95099999999999</v>
      </c>
      <c r="R829" s="9" t="str">
        <f>IF(Table13[[#This Row],[Gross_Sales]]&gt;=500, "YES","NO")</f>
        <v>NO</v>
      </c>
    </row>
    <row r="830" spans="1:18" x14ac:dyDescent="0.3">
      <c r="A830">
        <v>100825</v>
      </c>
      <c r="B830" s="8">
        <v>45326.333333333343</v>
      </c>
      <c r="C830" t="s">
        <v>15</v>
      </c>
      <c r="D830" t="s">
        <v>56</v>
      </c>
      <c r="E830" t="s">
        <v>68</v>
      </c>
      <c r="F830" t="s">
        <v>72</v>
      </c>
      <c r="G830">
        <v>5</v>
      </c>
      <c r="H830">
        <v>80.83</v>
      </c>
      <c r="I830">
        <v>0</v>
      </c>
      <c r="J830" t="s">
        <v>75</v>
      </c>
      <c r="K830" t="s">
        <v>77</v>
      </c>
      <c r="L830">
        <v>404.15</v>
      </c>
      <c r="M830">
        <v>0</v>
      </c>
      <c r="N830">
        <v>404.15</v>
      </c>
      <c r="O8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0" s="9" t="str">
        <f ca="1">IF(OR(ISNUMBER(Table13[[#This Row],[Order_Date]])=FALSE,Table13[[#This Row],[Order_Date]]&lt;DATE(2000,1,1),Table13[[#This Row],[Order_Date]]&gt;TODAY()),"YES","NO")</f>
        <v>NO</v>
      </c>
      <c r="Q830" s="9">
        <f>IF(Table13[[#This Row],[Order_Status]] = "Cancelled",0,IF(Table13[[#This Row],[Order_Status]] = "Returned",Table13[[#This Row],[Net_Sales]] * -1,Table13[[#This Row],[Net_Sales]]))</f>
        <v>404.15</v>
      </c>
      <c r="R830" s="9" t="str">
        <f>IF(Table13[[#This Row],[Gross_Sales]]&gt;=500, "YES","NO")</f>
        <v>NO</v>
      </c>
    </row>
    <row r="831" spans="1:18" x14ac:dyDescent="0.3">
      <c r="A831">
        <v>100826</v>
      </c>
      <c r="B831" s="8">
        <v>45326.375</v>
      </c>
      <c r="C831" t="s">
        <v>15</v>
      </c>
      <c r="D831" t="s">
        <v>16</v>
      </c>
      <c r="E831" t="s">
        <v>66</v>
      </c>
      <c r="F831" t="s">
        <v>71</v>
      </c>
      <c r="G831">
        <v>3</v>
      </c>
      <c r="H831">
        <v>71.45</v>
      </c>
      <c r="I831">
        <v>10</v>
      </c>
      <c r="J831" t="s">
        <v>75</v>
      </c>
      <c r="K831" t="s">
        <v>78</v>
      </c>
      <c r="L831">
        <v>214.35</v>
      </c>
      <c r="M831">
        <v>21.434999999999999</v>
      </c>
      <c r="N831">
        <v>192.91499999999999</v>
      </c>
      <c r="O8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31" s="9" t="str">
        <f ca="1">IF(OR(ISNUMBER(Table13[[#This Row],[Order_Date]])=FALSE,Table13[[#This Row],[Order_Date]]&lt;DATE(2000,1,1),Table13[[#This Row],[Order_Date]]&gt;TODAY()),"YES","NO")</f>
        <v>NO</v>
      </c>
      <c r="Q831" s="9">
        <f>IF(Table13[[#This Row],[Order_Status]] = "Cancelled",0,IF(Table13[[#This Row],[Order_Status]] = "Returned",Table13[[#This Row],[Net_Sales]] * -1,Table13[[#This Row],[Net_Sales]]))</f>
        <v>-192.91499999999999</v>
      </c>
      <c r="R831" s="9" t="str">
        <f>IF(Table13[[#This Row],[Gross_Sales]]&gt;=500, "YES","NO")</f>
        <v>NO</v>
      </c>
    </row>
    <row r="832" spans="1:18" x14ac:dyDescent="0.3">
      <c r="A832">
        <v>100827</v>
      </c>
      <c r="B832" s="8">
        <v>45326.416666666657</v>
      </c>
      <c r="C832" t="s">
        <v>14</v>
      </c>
      <c r="D832" t="s">
        <v>52</v>
      </c>
      <c r="E832" t="s">
        <v>69</v>
      </c>
      <c r="F832" t="s">
        <v>72</v>
      </c>
      <c r="G832">
        <v>3</v>
      </c>
      <c r="H832">
        <v>104.6</v>
      </c>
      <c r="I832">
        <v>0</v>
      </c>
      <c r="J832" t="s">
        <v>73</v>
      </c>
      <c r="K832" t="s">
        <v>77</v>
      </c>
      <c r="L832">
        <v>313.8</v>
      </c>
      <c r="M832">
        <v>0</v>
      </c>
      <c r="N832">
        <v>313.8</v>
      </c>
      <c r="O8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2" s="9" t="str">
        <f ca="1">IF(OR(ISNUMBER(Table13[[#This Row],[Order_Date]])=FALSE,Table13[[#This Row],[Order_Date]]&lt;DATE(2000,1,1),Table13[[#This Row],[Order_Date]]&gt;TODAY()),"YES","NO")</f>
        <v>NO</v>
      </c>
      <c r="Q832" s="9">
        <f>IF(Table13[[#This Row],[Order_Status]] = "Cancelled",0,IF(Table13[[#This Row],[Order_Status]] = "Returned",Table13[[#This Row],[Net_Sales]] * -1,Table13[[#This Row],[Net_Sales]]))</f>
        <v>313.8</v>
      </c>
      <c r="R832" s="9" t="str">
        <f>IF(Table13[[#This Row],[Gross_Sales]]&gt;=500, "YES","NO")</f>
        <v>NO</v>
      </c>
    </row>
    <row r="833" spans="1:18" x14ac:dyDescent="0.3">
      <c r="A833">
        <v>100828</v>
      </c>
      <c r="B833" s="8">
        <v>45326.458333333343</v>
      </c>
      <c r="C833" t="s">
        <v>15</v>
      </c>
      <c r="D833" t="s">
        <v>46</v>
      </c>
      <c r="E833" t="s">
        <v>67</v>
      </c>
      <c r="F833" t="s">
        <v>71</v>
      </c>
      <c r="G833">
        <v>5</v>
      </c>
      <c r="H833">
        <v>38.29</v>
      </c>
      <c r="I833">
        <v>5</v>
      </c>
      <c r="J833" t="s">
        <v>74</v>
      </c>
      <c r="K833" t="s">
        <v>77</v>
      </c>
      <c r="L833">
        <v>191.45</v>
      </c>
      <c r="M833">
        <v>9.5724999999999998</v>
      </c>
      <c r="N833">
        <v>181.8775</v>
      </c>
      <c r="O8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3" s="9" t="str">
        <f ca="1">IF(OR(ISNUMBER(Table13[[#This Row],[Order_Date]])=FALSE,Table13[[#This Row],[Order_Date]]&lt;DATE(2000,1,1),Table13[[#This Row],[Order_Date]]&gt;TODAY()),"YES","NO")</f>
        <v>NO</v>
      </c>
      <c r="Q833" s="9">
        <f>IF(Table13[[#This Row],[Order_Status]] = "Cancelled",0,IF(Table13[[#This Row],[Order_Status]] = "Returned",Table13[[#This Row],[Net_Sales]] * -1,Table13[[#This Row],[Net_Sales]]))</f>
        <v>181.8775</v>
      </c>
      <c r="R833" s="9" t="str">
        <f>IF(Table13[[#This Row],[Gross_Sales]]&gt;=500, "YES","NO")</f>
        <v>NO</v>
      </c>
    </row>
    <row r="834" spans="1:18" x14ac:dyDescent="0.3">
      <c r="A834">
        <v>100829</v>
      </c>
      <c r="B834" s="8">
        <v>45326.5</v>
      </c>
      <c r="C834" t="s">
        <v>14</v>
      </c>
      <c r="D834" t="s">
        <v>60</v>
      </c>
      <c r="E834" t="s">
        <v>66</v>
      </c>
      <c r="F834" t="s">
        <v>71</v>
      </c>
      <c r="G834">
        <v>3</v>
      </c>
      <c r="H834">
        <v>58.78</v>
      </c>
      <c r="I834">
        <v>15</v>
      </c>
      <c r="J834" t="s">
        <v>73</v>
      </c>
      <c r="K834" t="s">
        <v>77</v>
      </c>
      <c r="L834">
        <v>176.34</v>
      </c>
      <c r="M834">
        <v>26.451000000000001</v>
      </c>
      <c r="N834">
        <v>149.88900000000001</v>
      </c>
      <c r="O8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4" s="9" t="str">
        <f ca="1">IF(OR(ISNUMBER(Table13[[#This Row],[Order_Date]])=FALSE,Table13[[#This Row],[Order_Date]]&lt;DATE(2000,1,1),Table13[[#This Row],[Order_Date]]&gt;TODAY()),"YES","NO")</f>
        <v>NO</v>
      </c>
      <c r="Q834" s="9">
        <f>IF(Table13[[#This Row],[Order_Status]] = "Cancelled",0,IF(Table13[[#This Row],[Order_Status]] = "Returned",Table13[[#This Row],[Net_Sales]] * -1,Table13[[#This Row],[Net_Sales]]))</f>
        <v>149.88900000000001</v>
      </c>
      <c r="R834" s="9" t="str">
        <f>IF(Table13[[#This Row],[Gross_Sales]]&gt;=500, "YES","NO")</f>
        <v>NO</v>
      </c>
    </row>
    <row r="835" spans="1:18" x14ac:dyDescent="0.3">
      <c r="A835">
        <v>100830</v>
      </c>
      <c r="B835" s="8">
        <v>45326.541666666657</v>
      </c>
      <c r="C835" t="s">
        <v>15</v>
      </c>
      <c r="D835" t="s">
        <v>25</v>
      </c>
      <c r="E835" t="s">
        <v>66</v>
      </c>
      <c r="F835" t="s">
        <v>71</v>
      </c>
      <c r="G835">
        <v>4</v>
      </c>
      <c r="H835">
        <v>76.23</v>
      </c>
      <c r="I835">
        <v>10</v>
      </c>
      <c r="J835" t="s">
        <v>74</v>
      </c>
      <c r="K835" t="s">
        <v>77</v>
      </c>
      <c r="L835">
        <v>304.92</v>
      </c>
      <c r="M835">
        <v>30.492000000000001</v>
      </c>
      <c r="N835">
        <v>274.428</v>
      </c>
      <c r="O8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5" s="9" t="str">
        <f ca="1">IF(OR(ISNUMBER(Table13[[#This Row],[Order_Date]])=FALSE,Table13[[#This Row],[Order_Date]]&lt;DATE(2000,1,1),Table13[[#This Row],[Order_Date]]&gt;TODAY()),"YES","NO")</f>
        <v>NO</v>
      </c>
      <c r="Q835" s="9">
        <f>IF(Table13[[#This Row],[Order_Status]] = "Cancelled",0,IF(Table13[[#This Row],[Order_Status]] = "Returned",Table13[[#This Row],[Net_Sales]] * -1,Table13[[#This Row],[Net_Sales]]))</f>
        <v>274.428</v>
      </c>
      <c r="R835" s="9" t="str">
        <f>IF(Table13[[#This Row],[Gross_Sales]]&gt;=500, "YES","NO")</f>
        <v>NO</v>
      </c>
    </row>
    <row r="836" spans="1:18" x14ac:dyDescent="0.3">
      <c r="A836">
        <v>100831</v>
      </c>
      <c r="B836" s="8">
        <v>45326.583333333343</v>
      </c>
      <c r="C836" t="s">
        <v>14</v>
      </c>
      <c r="D836" t="s">
        <v>58</v>
      </c>
      <c r="E836" t="s">
        <v>67</v>
      </c>
      <c r="F836" t="s">
        <v>72</v>
      </c>
      <c r="G836">
        <v>2</v>
      </c>
      <c r="H836">
        <v>52.29</v>
      </c>
      <c r="I836">
        <v>5</v>
      </c>
      <c r="J836" t="s">
        <v>75</v>
      </c>
      <c r="K836" t="s">
        <v>77</v>
      </c>
      <c r="L836">
        <v>104.58</v>
      </c>
      <c r="M836">
        <v>5.2290000000000001</v>
      </c>
      <c r="N836">
        <v>99.350999999999999</v>
      </c>
      <c r="O8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6" s="9" t="str">
        <f ca="1">IF(OR(ISNUMBER(Table13[[#This Row],[Order_Date]])=FALSE,Table13[[#This Row],[Order_Date]]&lt;DATE(2000,1,1),Table13[[#This Row],[Order_Date]]&gt;TODAY()),"YES","NO")</f>
        <v>NO</v>
      </c>
      <c r="Q836" s="9">
        <f>IF(Table13[[#This Row],[Order_Status]] = "Cancelled",0,IF(Table13[[#This Row],[Order_Status]] = "Returned",Table13[[#This Row],[Net_Sales]] * -1,Table13[[#This Row],[Net_Sales]]))</f>
        <v>99.350999999999999</v>
      </c>
      <c r="R836" s="9" t="str">
        <f>IF(Table13[[#This Row],[Gross_Sales]]&gt;=500, "YES","NO")</f>
        <v>NO</v>
      </c>
    </row>
    <row r="837" spans="1:18" x14ac:dyDescent="0.3">
      <c r="A837">
        <v>100832</v>
      </c>
      <c r="B837" s="8">
        <v>45326.625</v>
      </c>
      <c r="C837" t="s">
        <v>14</v>
      </c>
      <c r="D837" t="s">
        <v>35</v>
      </c>
      <c r="E837" t="s">
        <v>68</v>
      </c>
      <c r="F837" t="s">
        <v>71</v>
      </c>
      <c r="G837">
        <v>1</v>
      </c>
      <c r="H837">
        <v>54.16</v>
      </c>
      <c r="I837">
        <v>10</v>
      </c>
      <c r="J837" t="s">
        <v>76</v>
      </c>
      <c r="K837" t="s">
        <v>77</v>
      </c>
      <c r="L837">
        <v>54.16</v>
      </c>
      <c r="M837">
        <v>5.4160000000000004</v>
      </c>
      <c r="N837">
        <v>48.744</v>
      </c>
      <c r="O8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7" s="9" t="str">
        <f ca="1">IF(OR(ISNUMBER(Table13[[#This Row],[Order_Date]])=FALSE,Table13[[#This Row],[Order_Date]]&lt;DATE(2000,1,1),Table13[[#This Row],[Order_Date]]&gt;TODAY()),"YES","NO")</f>
        <v>NO</v>
      </c>
      <c r="Q837" s="9">
        <f>IF(Table13[[#This Row],[Order_Status]] = "Cancelled",0,IF(Table13[[#This Row],[Order_Status]] = "Returned",Table13[[#This Row],[Net_Sales]] * -1,Table13[[#This Row],[Net_Sales]]))</f>
        <v>48.744</v>
      </c>
      <c r="R837" s="9" t="str">
        <f>IF(Table13[[#This Row],[Gross_Sales]]&gt;=500, "YES","NO")</f>
        <v>NO</v>
      </c>
    </row>
    <row r="838" spans="1:18" x14ac:dyDescent="0.3">
      <c r="A838">
        <v>100833</v>
      </c>
      <c r="B838" s="8">
        <v>45326.666666666657</v>
      </c>
      <c r="C838" t="s">
        <v>14</v>
      </c>
      <c r="D838" t="s">
        <v>44</v>
      </c>
      <c r="E838" t="s">
        <v>67</v>
      </c>
      <c r="F838" t="s">
        <v>72</v>
      </c>
      <c r="G838">
        <v>5</v>
      </c>
      <c r="H838">
        <v>42.98</v>
      </c>
      <c r="I838">
        <v>10</v>
      </c>
      <c r="J838" t="s">
        <v>74</v>
      </c>
      <c r="K838" t="s">
        <v>77</v>
      </c>
      <c r="L838">
        <v>214.9</v>
      </c>
      <c r="M838">
        <v>21.49</v>
      </c>
      <c r="N838">
        <v>193.41</v>
      </c>
      <c r="O8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8" s="9" t="str">
        <f ca="1">IF(OR(ISNUMBER(Table13[[#This Row],[Order_Date]])=FALSE,Table13[[#This Row],[Order_Date]]&lt;DATE(2000,1,1),Table13[[#This Row],[Order_Date]]&gt;TODAY()),"YES","NO")</f>
        <v>NO</v>
      </c>
      <c r="Q838" s="9">
        <f>IF(Table13[[#This Row],[Order_Status]] = "Cancelled",0,IF(Table13[[#This Row],[Order_Status]] = "Returned",Table13[[#This Row],[Net_Sales]] * -1,Table13[[#This Row],[Net_Sales]]))</f>
        <v>193.41</v>
      </c>
      <c r="R838" s="9" t="str">
        <f>IF(Table13[[#This Row],[Gross_Sales]]&gt;=500, "YES","NO")</f>
        <v>NO</v>
      </c>
    </row>
    <row r="839" spans="1:18" x14ac:dyDescent="0.3">
      <c r="A839">
        <v>100834</v>
      </c>
      <c r="B839" s="8">
        <v>45326.708333333343</v>
      </c>
      <c r="C839" t="s">
        <v>15</v>
      </c>
      <c r="D839" t="s">
        <v>48</v>
      </c>
      <c r="E839" t="s">
        <v>66</v>
      </c>
      <c r="F839" t="s">
        <v>72</v>
      </c>
      <c r="G839">
        <v>4</v>
      </c>
      <c r="H839">
        <v>69.89</v>
      </c>
      <c r="I839">
        <v>5</v>
      </c>
      <c r="J839" t="s">
        <v>75</v>
      </c>
      <c r="K839" t="s">
        <v>77</v>
      </c>
      <c r="L839">
        <v>279.56</v>
      </c>
      <c r="M839">
        <v>13.978</v>
      </c>
      <c r="N839">
        <v>265.58199999999999</v>
      </c>
      <c r="O8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39" s="9" t="str">
        <f ca="1">IF(OR(ISNUMBER(Table13[[#This Row],[Order_Date]])=FALSE,Table13[[#This Row],[Order_Date]]&lt;DATE(2000,1,1),Table13[[#This Row],[Order_Date]]&gt;TODAY()),"YES","NO")</f>
        <v>NO</v>
      </c>
      <c r="Q839" s="9">
        <f>IF(Table13[[#This Row],[Order_Status]] = "Cancelled",0,IF(Table13[[#This Row],[Order_Status]] = "Returned",Table13[[#This Row],[Net_Sales]] * -1,Table13[[#This Row],[Net_Sales]]))</f>
        <v>265.58199999999999</v>
      </c>
      <c r="R839" s="9" t="str">
        <f>IF(Table13[[#This Row],[Gross_Sales]]&gt;=500, "YES","NO")</f>
        <v>NO</v>
      </c>
    </row>
    <row r="840" spans="1:18" x14ac:dyDescent="0.3">
      <c r="A840">
        <v>100835</v>
      </c>
      <c r="B840" s="8">
        <v>45326.75</v>
      </c>
      <c r="C840" t="s">
        <v>14</v>
      </c>
      <c r="D840" t="s">
        <v>50</v>
      </c>
      <c r="E840" t="s">
        <v>68</v>
      </c>
      <c r="F840" t="s">
        <v>71</v>
      </c>
      <c r="G840">
        <v>1</v>
      </c>
      <c r="H840">
        <v>102.82</v>
      </c>
      <c r="I840">
        <v>5</v>
      </c>
      <c r="J840" t="s">
        <v>75</v>
      </c>
      <c r="K840" t="s">
        <v>77</v>
      </c>
      <c r="L840">
        <v>102.82</v>
      </c>
      <c r="M840">
        <v>5.141</v>
      </c>
      <c r="N840">
        <v>97.678999999999988</v>
      </c>
      <c r="O8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0" s="9" t="str">
        <f ca="1">IF(OR(ISNUMBER(Table13[[#This Row],[Order_Date]])=FALSE,Table13[[#This Row],[Order_Date]]&lt;DATE(2000,1,1),Table13[[#This Row],[Order_Date]]&gt;TODAY()),"YES","NO")</f>
        <v>NO</v>
      </c>
      <c r="Q840" s="9">
        <f>IF(Table13[[#This Row],[Order_Status]] = "Cancelled",0,IF(Table13[[#This Row],[Order_Status]] = "Returned",Table13[[#This Row],[Net_Sales]] * -1,Table13[[#This Row],[Net_Sales]]))</f>
        <v>97.678999999999988</v>
      </c>
      <c r="R840" s="9" t="str">
        <f>IF(Table13[[#This Row],[Gross_Sales]]&gt;=500, "YES","NO")</f>
        <v>NO</v>
      </c>
    </row>
    <row r="841" spans="1:18" x14ac:dyDescent="0.3">
      <c r="A841">
        <v>100836</v>
      </c>
      <c r="B841" s="8">
        <v>45326.791666666657</v>
      </c>
      <c r="C841" t="s">
        <v>15</v>
      </c>
      <c r="D841" t="s">
        <v>62</v>
      </c>
      <c r="E841" t="s">
        <v>68</v>
      </c>
      <c r="F841" t="s">
        <v>71</v>
      </c>
      <c r="G841">
        <v>1</v>
      </c>
      <c r="H841">
        <v>28.18</v>
      </c>
      <c r="I841">
        <v>15</v>
      </c>
      <c r="J841" t="s">
        <v>74</v>
      </c>
      <c r="K841" t="s">
        <v>78</v>
      </c>
      <c r="L841">
        <v>28.18</v>
      </c>
      <c r="M841">
        <v>4.2269999999999994</v>
      </c>
      <c r="N841">
        <v>23.952999999999999</v>
      </c>
      <c r="O8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41" s="9" t="str">
        <f ca="1">IF(OR(ISNUMBER(Table13[[#This Row],[Order_Date]])=FALSE,Table13[[#This Row],[Order_Date]]&lt;DATE(2000,1,1),Table13[[#This Row],[Order_Date]]&gt;TODAY()),"YES","NO")</f>
        <v>NO</v>
      </c>
      <c r="Q841" s="9">
        <f>IF(Table13[[#This Row],[Order_Status]] = "Cancelled",0,IF(Table13[[#This Row],[Order_Status]] = "Returned",Table13[[#This Row],[Net_Sales]] * -1,Table13[[#This Row],[Net_Sales]]))</f>
        <v>-23.952999999999999</v>
      </c>
      <c r="R841" s="9" t="str">
        <f>IF(Table13[[#This Row],[Gross_Sales]]&gt;=500, "YES","NO")</f>
        <v>NO</v>
      </c>
    </row>
    <row r="842" spans="1:18" x14ac:dyDescent="0.3">
      <c r="A842">
        <v>100837</v>
      </c>
      <c r="B842" s="8">
        <v>45326.833333333343</v>
      </c>
      <c r="C842" t="s">
        <v>14</v>
      </c>
      <c r="D842" t="s">
        <v>54</v>
      </c>
      <c r="E842" t="s">
        <v>67</v>
      </c>
      <c r="F842" t="s">
        <v>72</v>
      </c>
      <c r="G842">
        <v>5</v>
      </c>
      <c r="H842">
        <v>112.46</v>
      </c>
      <c r="I842">
        <v>10</v>
      </c>
      <c r="J842" t="s">
        <v>76</v>
      </c>
      <c r="K842" t="s">
        <v>77</v>
      </c>
      <c r="L842">
        <v>562.29999999999995</v>
      </c>
      <c r="M842">
        <v>56.23</v>
      </c>
      <c r="N842">
        <v>506.06999999999988</v>
      </c>
      <c r="O8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2" s="9" t="str">
        <f ca="1">IF(OR(ISNUMBER(Table13[[#This Row],[Order_Date]])=FALSE,Table13[[#This Row],[Order_Date]]&lt;DATE(2000,1,1),Table13[[#This Row],[Order_Date]]&gt;TODAY()),"YES","NO")</f>
        <v>NO</v>
      </c>
      <c r="Q842" s="9">
        <f>IF(Table13[[#This Row],[Order_Status]] = "Cancelled",0,IF(Table13[[#This Row],[Order_Status]] = "Returned",Table13[[#This Row],[Net_Sales]] * -1,Table13[[#This Row],[Net_Sales]]))</f>
        <v>506.06999999999988</v>
      </c>
      <c r="R842" s="9" t="str">
        <f>IF(Table13[[#This Row],[Gross_Sales]]&gt;=500, "YES","NO")</f>
        <v>YES</v>
      </c>
    </row>
    <row r="843" spans="1:18" x14ac:dyDescent="0.3">
      <c r="A843">
        <v>100838</v>
      </c>
      <c r="B843" s="8">
        <v>45326.875</v>
      </c>
      <c r="C843" t="s">
        <v>14</v>
      </c>
      <c r="D843" t="s">
        <v>41</v>
      </c>
      <c r="E843" t="s">
        <v>66</v>
      </c>
      <c r="F843" t="s">
        <v>71</v>
      </c>
      <c r="G843">
        <v>4</v>
      </c>
      <c r="H843">
        <v>84.25</v>
      </c>
      <c r="I843">
        <v>10</v>
      </c>
      <c r="J843" t="s">
        <v>75</v>
      </c>
      <c r="K843" t="s">
        <v>79</v>
      </c>
      <c r="L843">
        <v>337</v>
      </c>
      <c r="M843">
        <v>33.700000000000003</v>
      </c>
      <c r="N843">
        <v>303.3</v>
      </c>
      <c r="O8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43" s="9" t="str">
        <f ca="1">IF(OR(ISNUMBER(Table13[[#This Row],[Order_Date]])=FALSE,Table13[[#This Row],[Order_Date]]&lt;DATE(2000,1,1),Table13[[#This Row],[Order_Date]]&gt;TODAY()),"YES","NO")</f>
        <v>NO</v>
      </c>
      <c r="Q843" s="9">
        <f>IF(Table13[[#This Row],[Order_Status]] = "Cancelled",0,IF(Table13[[#This Row],[Order_Status]] = "Returned",Table13[[#This Row],[Net_Sales]] * -1,Table13[[#This Row],[Net_Sales]]))</f>
        <v>0</v>
      </c>
      <c r="R843" s="9" t="str">
        <f>IF(Table13[[#This Row],[Gross_Sales]]&gt;=500, "YES","NO")</f>
        <v>NO</v>
      </c>
    </row>
    <row r="844" spans="1:18" x14ac:dyDescent="0.3">
      <c r="A844">
        <v>100839</v>
      </c>
      <c r="B844" s="8">
        <v>45326.916666666657</v>
      </c>
      <c r="C844" t="s">
        <v>15</v>
      </c>
      <c r="D844" t="s">
        <v>49</v>
      </c>
      <c r="E844" t="s">
        <v>69</v>
      </c>
      <c r="F844" t="s">
        <v>72</v>
      </c>
      <c r="G844">
        <v>1</v>
      </c>
      <c r="H844">
        <v>99.68</v>
      </c>
      <c r="I844">
        <v>5</v>
      </c>
      <c r="J844" t="s">
        <v>74</v>
      </c>
      <c r="K844" t="s">
        <v>77</v>
      </c>
      <c r="L844">
        <v>99.68</v>
      </c>
      <c r="M844">
        <v>4.9840000000000009</v>
      </c>
      <c r="N844">
        <v>94.696000000000012</v>
      </c>
      <c r="O8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4" s="9" t="str">
        <f ca="1">IF(OR(ISNUMBER(Table13[[#This Row],[Order_Date]])=FALSE,Table13[[#This Row],[Order_Date]]&lt;DATE(2000,1,1),Table13[[#This Row],[Order_Date]]&gt;TODAY()),"YES","NO")</f>
        <v>NO</v>
      </c>
      <c r="Q844" s="9">
        <f>IF(Table13[[#This Row],[Order_Status]] = "Cancelled",0,IF(Table13[[#This Row],[Order_Status]] = "Returned",Table13[[#This Row],[Net_Sales]] * -1,Table13[[#This Row],[Net_Sales]]))</f>
        <v>94.696000000000012</v>
      </c>
      <c r="R844" s="9" t="str">
        <f>IF(Table13[[#This Row],[Gross_Sales]]&gt;=500, "YES","NO")</f>
        <v>NO</v>
      </c>
    </row>
    <row r="845" spans="1:18" x14ac:dyDescent="0.3">
      <c r="A845">
        <v>100840</v>
      </c>
      <c r="B845" s="8">
        <v>45326.958333333343</v>
      </c>
      <c r="C845" t="s">
        <v>14</v>
      </c>
      <c r="D845" t="s">
        <v>58</v>
      </c>
      <c r="E845" t="s">
        <v>66</v>
      </c>
      <c r="F845" t="s">
        <v>71</v>
      </c>
      <c r="G845">
        <v>1</v>
      </c>
      <c r="H845">
        <v>68.959999999999994</v>
      </c>
      <c r="I845">
        <v>0</v>
      </c>
      <c r="J845" t="s">
        <v>76</v>
      </c>
      <c r="K845" t="s">
        <v>77</v>
      </c>
      <c r="L845">
        <v>68.959999999999994</v>
      </c>
      <c r="M845">
        <v>0</v>
      </c>
      <c r="N845">
        <v>68.959999999999994</v>
      </c>
      <c r="O8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5" s="9" t="str">
        <f ca="1">IF(OR(ISNUMBER(Table13[[#This Row],[Order_Date]])=FALSE,Table13[[#This Row],[Order_Date]]&lt;DATE(2000,1,1),Table13[[#This Row],[Order_Date]]&gt;TODAY()),"YES","NO")</f>
        <v>NO</v>
      </c>
      <c r="Q845" s="9">
        <f>IF(Table13[[#This Row],[Order_Status]] = "Cancelled",0,IF(Table13[[#This Row],[Order_Status]] = "Returned",Table13[[#This Row],[Net_Sales]] * -1,Table13[[#This Row],[Net_Sales]]))</f>
        <v>68.959999999999994</v>
      </c>
      <c r="R845" s="9" t="str">
        <f>IF(Table13[[#This Row],[Gross_Sales]]&gt;=500, "YES","NO")</f>
        <v>NO</v>
      </c>
    </row>
    <row r="846" spans="1:18" x14ac:dyDescent="0.3">
      <c r="A846">
        <v>100841</v>
      </c>
      <c r="B846" s="8">
        <v>45327</v>
      </c>
      <c r="C846" t="s">
        <v>14</v>
      </c>
      <c r="D846" t="s">
        <v>56</v>
      </c>
      <c r="E846" t="s">
        <v>70</v>
      </c>
      <c r="F846" t="s">
        <v>72</v>
      </c>
      <c r="G846">
        <v>4</v>
      </c>
      <c r="H846">
        <v>94.64</v>
      </c>
      <c r="I846">
        <v>5</v>
      </c>
      <c r="J846" t="s">
        <v>76</v>
      </c>
      <c r="K846" t="s">
        <v>77</v>
      </c>
      <c r="L846">
        <v>378.56</v>
      </c>
      <c r="M846">
        <v>18.928000000000001</v>
      </c>
      <c r="N846">
        <v>359.63200000000001</v>
      </c>
      <c r="O8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6" s="9" t="str">
        <f ca="1">IF(OR(ISNUMBER(Table13[[#This Row],[Order_Date]])=FALSE,Table13[[#This Row],[Order_Date]]&lt;DATE(2000,1,1),Table13[[#This Row],[Order_Date]]&gt;TODAY()),"YES","NO")</f>
        <v>NO</v>
      </c>
      <c r="Q846" s="9">
        <f>IF(Table13[[#This Row],[Order_Status]] = "Cancelled",0,IF(Table13[[#This Row],[Order_Status]] = "Returned",Table13[[#This Row],[Net_Sales]] * -1,Table13[[#This Row],[Net_Sales]]))</f>
        <v>359.63200000000001</v>
      </c>
      <c r="R846" s="9" t="str">
        <f>IF(Table13[[#This Row],[Gross_Sales]]&gt;=500, "YES","NO")</f>
        <v>NO</v>
      </c>
    </row>
    <row r="847" spans="1:18" x14ac:dyDescent="0.3">
      <c r="A847">
        <v>100842</v>
      </c>
      <c r="B847" s="8">
        <v>45327.041666666657</v>
      </c>
      <c r="C847" t="s">
        <v>15</v>
      </c>
      <c r="D847" t="s">
        <v>59</v>
      </c>
      <c r="E847" t="s">
        <v>69</v>
      </c>
      <c r="F847" t="s">
        <v>72</v>
      </c>
      <c r="G847">
        <v>3</v>
      </c>
      <c r="H847">
        <v>6.86</v>
      </c>
      <c r="I847">
        <v>10</v>
      </c>
      <c r="J847" t="s">
        <v>75</v>
      </c>
      <c r="K847" t="s">
        <v>77</v>
      </c>
      <c r="L847">
        <v>20.58</v>
      </c>
      <c r="M847">
        <v>2.0579999999999998</v>
      </c>
      <c r="N847">
        <v>18.521999999999998</v>
      </c>
      <c r="O8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7" s="9" t="str">
        <f ca="1">IF(OR(ISNUMBER(Table13[[#This Row],[Order_Date]])=FALSE,Table13[[#This Row],[Order_Date]]&lt;DATE(2000,1,1),Table13[[#This Row],[Order_Date]]&gt;TODAY()),"YES","NO")</f>
        <v>NO</v>
      </c>
      <c r="Q847" s="9">
        <f>IF(Table13[[#This Row],[Order_Status]] = "Cancelled",0,IF(Table13[[#This Row],[Order_Status]] = "Returned",Table13[[#This Row],[Net_Sales]] * -1,Table13[[#This Row],[Net_Sales]]))</f>
        <v>18.521999999999998</v>
      </c>
      <c r="R847" s="9" t="str">
        <f>IF(Table13[[#This Row],[Gross_Sales]]&gt;=500, "YES","NO")</f>
        <v>NO</v>
      </c>
    </row>
    <row r="848" spans="1:18" x14ac:dyDescent="0.3">
      <c r="A848">
        <v>100843</v>
      </c>
      <c r="B848" s="8">
        <v>45327.083333333343</v>
      </c>
      <c r="C848" t="s">
        <v>14</v>
      </c>
      <c r="D848" t="s">
        <v>38</v>
      </c>
      <c r="E848" t="s">
        <v>68</v>
      </c>
      <c r="F848" t="s">
        <v>72</v>
      </c>
      <c r="G848">
        <v>1</v>
      </c>
      <c r="H848">
        <v>99.11</v>
      </c>
      <c r="I848">
        <v>5</v>
      </c>
      <c r="J848" t="s">
        <v>73</v>
      </c>
      <c r="K848" t="s">
        <v>77</v>
      </c>
      <c r="L848">
        <v>99.11</v>
      </c>
      <c r="M848">
        <v>4.9555000000000007</v>
      </c>
      <c r="N848">
        <v>94.154499999999999</v>
      </c>
      <c r="O8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8" s="9" t="str">
        <f ca="1">IF(OR(ISNUMBER(Table13[[#This Row],[Order_Date]])=FALSE,Table13[[#This Row],[Order_Date]]&lt;DATE(2000,1,1),Table13[[#This Row],[Order_Date]]&gt;TODAY()),"YES","NO")</f>
        <v>NO</v>
      </c>
      <c r="Q848" s="9">
        <f>IF(Table13[[#This Row],[Order_Status]] = "Cancelled",0,IF(Table13[[#This Row],[Order_Status]] = "Returned",Table13[[#This Row],[Net_Sales]] * -1,Table13[[#This Row],[Net_Sales]]))</f>
        <v>94.154499999999999</v>
      </c>
      <c r="R848" s="9" t="str">
        <f>IF(Table13[[#This Row],[Gross_Sales]]&gt;=500, "YES","NO")</f>
        <v>NO</v>
      </c>
    </row>
    <row r="849" spans="1:18" x14ac:dyDescent="0.3">
      <c r="A849">
        <v>100844</v>
      </c>
      <c r="B849" s="8">
        <v>45327.125</v>
      </c>
      <c r="C849" t="s">
        <v>14</v>
      </c>
      <c r="D849" t="s">
        <v>53</v>
      </c>
      <c r="E849" t="s">
        <v>69</v>
      </c>
      <c r="F849" t="s">
        <v>72</v>
      </c>
      <c r="G849">
        <v>2</v>
      </c>
      <c r="H849">
        <v>9.6199999999999992</v>
      </c>
      <c r="I849">
        <v>15</v>
      </c>
      <c r="J849" t="s">
        <v>73</v>
      </c>
      <c r="K849" t="s">
        <v>77</v>
      </c>
      <c r="L849">
        <v>19.239999999999998</v>
      </c>
      <c r="M849">
        <v>2.8860000000000001</v>
      </c>
      <c r="N849">
        <v>16.353999999999999</v>
      </c>
      <c r="O8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49" s="9" t="str">
        <f ca="1">IF(OR(ISNUMBER(Table13[[#This Row],[Order_Date]])=FALSE,Table13[[#This Row],[Order_Date]]&lt;DATE(2000,1,1),Table13[[#This Row],[Order_Date]]&gt;TODAY()),"YES","NO")</f>
        <v>NO</v>
      </c>
      <c r="Q849" s="9">
        <f>IF(Table13[[#This Row],[Order_Status]] = "Cancelled",0,IF(Table13[[#This Row],[Order_Status]] = "Returned",Table13[[#This Row],[Net_Sales]] * -1,Table13[[#This Row],[Net_Sales]]))</f>
        <v>16.353999999999999</v>
      </c>
      <c r="R849" s="9" t="str">
        <f>IF(Table13[[#This Row],[Gross_Sales]]&gt;=500, "YES","NO")</f>
        <v>NO</v>
      </c>
    </row>
    <row r="850" spans="1:18" x14ac:dyDescent="0.3">
      <c r="A850">
        <v>100845</v>
      </c>
      <c r="B850" s="8">
        <v>45327.166666666657</v>
      </c>
      <c r="C850" t="s">
        <v>14</v>
      </c>
      <c r="D850" t="s">
        <v>23</v>
      </c>
      <c r="E850" t="s">
        <v>68</v>
      </c>
      <c r="F850" t="s">
        <v>71</v>
      </c>
      <c r="G850">
        <v>4</v>
      </c>
      <c r="H850">
        <v>107.34</v>
      </c>
      <c r="I850">
        <v>0</v>
      </c>
      <c r="J850" t="s">
        <v>75</v>
      </c>
      <c r="K850" t="s">
        <v>77</v>
      </c>
      <c r="L850">
        <v>429.36</v>
      </c>
      <c r="M850">
        <v>0</v>
      </c>
      <c r="N850">
        <v>429.36</v>
      </c>
      <c r="O8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0" s="9" t="str">
        <f ca="1">IF(OR(ISNUMBER(Table13[[#This Row],[Order_Date]])=FALSE,Table13[[#This Row],[Order_Date]]&lt;DATE(2000,1,1),Table13[[#This Row],[Order_Date]]&gt;TODAY()),"YES","NO")</f>
        <v>NO</v>
      </c>
      <c r="Q850" s="9">
        <f>IF(Table13[[#This Row],[Order_Status]] = "Cancelled",0,IF(Table13[[#This Row],[Order_Status]] = "Returned",Table13[[#This Row],[Net_Sales]] * -1,Table13[[#This Row],[Net_Sales]]))</f>
        <v>429.36</v>
      </c>
      <c r="R850" s="9" t="str">
        <f>IF(Table13[[#This Row],[Gross_Sales]]&gt;=500, "YES","NO")</f>
        <v>NO</v>
      </c>
    </row>
    <row r="851" spans="1:18" x14ac:dyDescent="0.3">
      <c r="A851">
        <v>100846</v>
      </c>
      <c r="B851" s="8">
        <v>45327.208333333343</v>
      </c>
      <c r="C851" t="s">
        <v>14</v>
      </c>
      <c r="D851" t="s">
        <v>42</v>
      </c>
      <c r="E851" t="s">
        <v>68</v>
      </c>
      <c r="F851" t="s">
        <v>71</v>
      </c>
      <c r="G851">
        <v>1</v>
      </c>
      <c r="H851">
        <v>119.08</v>
      </c>
      <c r="I851">
        <v>5</v>
      </c>
      <c r="J851" t="s">
        <v>76</v>
      </c>
      <c r="K851" t="s">
        <v>77</v>
      </c>
      <c r="L851">
        <v>119.08</v>
      </c>
      <c r="M851">
        <v>5.9540000000000006</v>
      </c>
      <c r="N851">
        <v>113.126</v>
      </c>
      <c r="O8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1" s="9" t="str">
        <f ca="1">IF(OR(ISNUMBER(Table13[[#This Row],[Order_Date]])=FALSE,Table13[[#This Row],[Order_Date]]&lt;DATE(2000,1,1),Table13[[#This Row],[Order_Date]]&gt;TODAY()),"YES","NO")</f>
        <v>NO</v>
      </c>
      <c r="Q851" s="9">
        <f>IF(Table13[[#This Row],[Order_Status]] = "Cancelled",0,IF(Table13[[#This Row],[Order_Status]] = "Returned",Table13[[#This Row],[Net_Sales]] * -1,Table13[[#This Row],[Net_Sales]]))</f>
        <v>113.126</v>
      </c>
      <c r="R851" s="9" t="str">
        <f>IF(Table13[[#This Row],[Gross_Sales]]&gt;=500, "YES","NO")</f>
        <v>NO</v>
      </c>
    </row>
    <row r="852" spans="1:18" x14ac:dyDescent="0.3">
      <c r="A852">
        <v>100847</v>
      </c>
      <c r="B852" s="8">
        <v>45327.25</v>
      </c>
      <c r="C852" t="s">
        <v>15</v>
      </c>
      <c r="D852" t="s">
        <v>30</v>
      </c>
      <c r="E852" t="s">
        <v>69</v>
      </c>
      <c r="F852" t="s">
        <v>72</v>
      </c>
      <c r="G852">
        <v>5</v>
      </c>
      <c r="H852">
        <v>38.82</v>
      </c>
      <c r="I852">
        <v>15</v>
      </c>
      <c r="J852" t="s">
        <v>75</v>
      </c>
      <c r="K852" t="s">
        <v>77</v>
      </c>
      <c r="L852">
        <v>194.1</v>
      </c>
      <c r="M852">
        <v>29.114999999999998</v>
      </c>
      <c r="N852">
        <v>164.98500000000001</v>
      </c>
      <c r="O8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2" s="9" t="str">
        <f ca="1">IF(OR(ISNUMBER(Table13[[#This Row],[Order_Date]])=FALSE,Table13[[#This Row],[Order_Date]]&lt;DATE(2000,1,1),Table13[[#This Row],[Order_Date]]&gt;TODAY()),"YES","NO")</f>
        <v>NO</v>
      </c>
      <c r="Q852" s="9">
        <f>IF(Table13[[#This Row],[Order_Status]] = "Cancelled",0,IF(Table13[[#This Row],[Order_Status]] = "Returned",Table13[[#This Row],[Net_Sales]] * -1,Table13[[#This Row],[Net_Sales]]))</f>
        <v>164.98500000000001</v>
      </c>
      <c r="R852" s="9" t="str">
        <f>IF(Table13[[#This Row],[Gross_Sales]]&gt;=500, "YES","NO")</f>
        <v>NO</v>
      </c>
    </row>
    <row r="853" spans="1:18" x14ac:dyDescent="0.3">
      <c r="A853">
        <v>100848</v>
      </c>
      <c r="B853" s="8">
        <v>45327.291666666657</v>
      </c>
      <c r="C853" t="s">
        <v>15</v>
      </c>
      <c r="D853" t="s">
        <v>20</v>
      </c>
      <c r="E853" t="s">
        <v>68</v>
      </c>
      <c r="F853" t="s">
        <v>72</v>
      </c>
      <c r="G853">
        <v>2</v>
      </c>
      <c r="H853">
        <v>29.19</v>
      </c>
      <c r="I853">
        <v>10</v>
      </c>
      <c r="J853" t="s">
        <v>74</v>
      </c>
      <c r="K853" t="s">
        <v>77</v>
      </c>
      <c r="L853">
        <v>58.38</v>
      </c>
      <c r="M853">
        <v>5.838000000000001</v>
      </c>
      <c r="N853">
        <v>52.542000000000002</v>
      </c>
      <c r="O8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3" s="9" t="str">
        <f ca="1">IF(OR(ISNUMBER(Table13[[#This Row],[Order_Date]])=FALSE,Table13[[#This Row],[Order_Date]]&lt;DATE(2000,1,1),Table13[[#This Row],[Order_Date]]&gt;TODAY()),"YES","NO")</f>
        <v>NO</v>
      </c>
      <c r="Q853" s="9">
        <f>IF(Table13[[#This Row],[Order_Status]] = "Cancelled",0,IF(Table13[[#This Row],[Order_Status]] = "Returned",Table13[[#This Row],[Net_Sales]] * -1,Table13[[#This Row],[Net_Sales]]))</f>
        <v>52.542000000000002</v>
      </c>
      <c r="R853" s="9" t="str">
        <f>IF(Table13[[#This Row],[Gross_Sales]]&gt;=500, "YES","NO")</f>
        <v>NO</v>
      </c>
    </row>
    <row r="854" spans="1:18" x14ac:dyDescent="0.3">
      <c r="A854">
        <v>100849</v>
      </c>
      <c r="B854" s="8">
        <v>45327.333333333343</v>
      </c>
      <c r="C854" t="s">
        <v>14</v>
      </c>
      <c r="D854" t="s">
        <v>27</v>
      </c>
      <c r="E854" t="s">
        <v>68</v>
      </c>
      <c r="F854" t="s">
        <v>71</v>
      </c>
      <c r="G854">
        <v>1</v>
      </c>
      <c r="H854">
        <v>93.02</v>
      </c>
      <c r="I854">
        <v>5</v>
      </c>
      <c r="J854" t="s">
        <v>73</v>
      </c>
      <c r="K854" t="s">
        <v>77</v>
      </c>
      <c r="L854">
        <v>93.02</v>
      </c>
      <c r="M854">
        <v>4.6509999999999998</v>
      </c>
      <c r="N854">
        <v>88.369</v>
      </c>
      <c r="O8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4" s="9" t="str">
        <f ca="1">IF(OR(ISNUMBER(Table13[[#This Row],[Order_Date]])=FALSE,Table13[[#This Row],[Order_Date]]&lt;DATE(2000,1,1),Table13[[#This Row],[Order_Date]]&gt;TODAY()),"YES","NO")</f>
        <v>NO</v>
      </c>
      <c r="Q854" s="9">
        <f>IF(Table13[[#This Row],[Order_Status]] = "Cancelled",0,IF(Table13[[#This Row],[Order_Status]] = "Returned",Table13[[#This Row],[Net_Sales]] * -1,Table13[[#This Row],[Net_Sales]]))</f>
        <v>88.369</v>
      </c>
      <c r="R854" s="9" t="str">
        <f>IF(Table13[[#This Row],[Gross_Sales]]&gt;=500, "YES","NO")</f>
        <v>NO</v>
      </c>
    </row>
    <row r="855" spans="1:18" x14ac:dyDescent="0.3">
      <c r="A855">
        <v>100850</v>
      </c>
      <c r="B855" s="8">
        <v>45327.375</v>
      </c>
      <c r="C855" t="s">
        <v>15</v>
      </c>
      <c r="D855" t="s">
        <v>18</v>
      </c>
      <c r="E855" t="s">
        <v>70</v>
      </c>
      <c r="F855" t="s">
        <v>71</v>
      </c>
      <c r="G855">
        <v>2</v>
      </c>
      <c r="H855">
        <v>34.1</v>
      </c>
      <c r="I855">
        <v>10</v>
      </c>
      <c r="J855" t="s">
        <v>74</v>
      </c>
      <c r="K855" t="s">
        <v>77</v>
      </c>
      <c r="L855">
        <v>68.2</v>
      </c>
      <c r="M855">
        <v>6.82</v>
      </c>
      <c r="N855">
        <v>61.38</v>
      </c>
      <c r="O8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5" s="9" t="str">
        <f ca="1">IF(OR(ISNUMBER(Table13[[#This Row],[Order_Date]])=FALSE,Table13[[#This Row],[Order_Date]]&lt;DATE(2000,1,1),Table13[[#This Row],[Order_Date]]&gt;TODAY()),"YES","NO")</f>
        <v>NO</v>
      </c>
      <c r="Q855" s="9">
        <f>IF(Table13[[#This Row],[Order_Status]] = "Cancelled",0,IF(Table13[[#This Row],[Order_Status]] = "Returned",Table13[[#This Row],[Net_Sales]] * -1,Table13[[#This Row],[Net_Sales]]))</f>
        <v>61.38</v>
      </c>
      <c r="R855" s="9" t="str">
        <f>IF(Table13[[#This Row],[Gross_Sales]]&gt;=500, "YES","NO")</f>
        <v>NO</v>
      </c>
    </row>
    <row r="856" spans="1:18" x14ac:dyDescent="0.3">
      <c r="A856">
        <v>100851</v>
      </c>
      <c r="B856" s="8">
        <v>45327.416666666657</v>
      </c>
      <c r="C856" t="s">
        <v>14</v>
      </c>
      <c r="D856" t="s">
        <v>63</v>
      </c>
      <c r="E856" t="s">
        <v>66</v>
      </c>
      <c r="F856" t="s">
        <v>71</v>
      </c>
      <c r="G856">
        <v>2</v>
      </c>
      <c r="H856">
        <v>104.54</v>
      </c>
      <c r="I856">
        <v>15</v>
      </c>
      <c r="J856" t="s">
        <v>75</v>
      </c>
      <c r="K856" t="s">
        <v>77</v>
      </c>
      <c r="L856">
        <v>209.08</v>
      </c>
      <c r="M856">
        <v>31.361999999999998</v>
      </c>
      <c r="N856">
        <v>177.71799999999999</v>
      </c>
      <c r="O8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6" s="9" t="str">
        <f ca="1">IF(OR(ISNUMBER(Table13[[#This Row],[Order_Date]])=FALSE,Table13[[#This Row],[Order_Date]]&lt;DATE(2000,1,1),Table13[[#This Row],[Order_Date]]&gt;TODAY()),"YES","NO")</f>
        <v>NO</v>
      </c>
      <c r="Q856" s="9">
        <f>IF(Table13[[#This Row],[Order_Status]] = "Cancelled",0,IF(Table13[[#This Row],[Order_Status]] = "Returned",Table13[[#This Row],[Net_Sales]] * -1,Table13[[#This Row],[Net_Sales]]))</f>
        <v>177.71799999999999</v>
      </c>
      <c r="R856" s="9" t="str">
        <f>IF(Table13[[#This Row],[Gross_Sales]]&gt;=500, "YES","NO")</f>
        <v>NO</v>
      </c>
    </row>
    <row r="857" spans="1:18" x14ac:dyDescent="0.3">
      <c r="A857">
        <v>100852</v>
      </c>
      <c r="B857" s="8">
        <v>45327.458333333343</v>
      </c>
      <c r="C857" t="s">
        <v>15</v>
      </c>
      <c r="D857" t="s">
        <v>35</v>
      </c>
      <c r="E857" t="s">
        <v>66</v>
      </c>
      <c r="F857" t="s">
        <v>71</v>
      </c>
      <c r="G857">
        <v>3</v>
      </c>
      <c r="H857">
        <v>16.829999999999998</v>
      </c>
      <c r="I857">
        <v>10</v>
      </c>
      <c r="J857" t="s">
        <v>75</v>
      </c>
      <c r="K857" t="s">
        <v>77</v>
      </c>
      <c r="L857">
        <v>50.489999999999988</v>
      </c>
      <c r="M857">
        <v>5.0489999999999986</v>
      </c>
      <c r="N857">
        <v>45.441000000000003</v>
      </c>
      <c r="O8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7" s="9" t="str">
        <f ca="1">IF(OR(ISNUMBER(Table13[[#This Row],[Order_Date]])=FALSE,Table13[[#This Row],[Order_Date]]&lt;DATE(2000,1,1),Table13[[#This Row],[Order_Date]]&gt;TODAY()),"YES","NO")</f>
        <v>NO</v>
      </c>
      <c r="Q857" s="9">
        <f>IF(Table13[[#This Row],[Order_Status]] = "Cancelled",0,IF(Table13[[#This Row],[Order_Status]] = "Returned",Table13[[#This Row],[Net_Sales]] * -1,Table13[[#This Row],[Net_Sales]]))</f>
        <v>45.441000000000003</v>
      </c>
      <c r="R857" s="9" t="str">
        <f>IF(Table13[[#This Row],[Gross_Sales]]&gt;=500, "YES","NO")</f>
        <v>NO</v>
      </c>
    </row>
    <row r="858" spans="1:18" x14ac:dyDescent="0.3">
      <c r="A858">
        <v>100853</v>
      </c>
      <c r="B858" s="8">
        <v>45327.5</v>
      </c>
      <c r="C858" t="s">
        <v>14</v>
      </c>
      <c r="D858" t="s">
        <v>61</v>
      </c>
      <c r="E858" t="s">
        <v>70</v>
      </c>
      <c r="F858" t="s">
        <v>71</v>
      </c>
      <c r="G858">
        <v>2</v>
      </c>
      <c r="H858">
        <v>19.48</v>
      </c>
      <c r="I858">
        <v>15</v>
      </c>
      <c r="J858" t="s">
        <v>76</v>
      </c>
      <c r="K858" t="s">
        <v>77</v>
      </c>
      <c r="L858">
        <v>38.96</v>
      </c>
      <c r="M858">
        <v>5.8440000000000003</v>
      </c>
      <c r="N858">
        <v>33.116</v>
      </c>
      <c r="O8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8" s="9" t="str">
        <f ca="1">IF(OR(ISNUMBER(Table13[[#This Row],[Order_Date]])=FALSE,Table13[[#This Row],[Order_Date]]&lt;DATE(2000,1,1),Table13[[#This Row],[Order_Date]]&gt;TODAY()),"YES","NO")</f>
        <v>NO</v>
      </c>
      <c r="Q858" s="9">
        <f>IF(Table13[[#This Row],[Order_Status]] = "Cancelled",0,IF(Table13[[#This Row],[Order_Status]] = "Returned",Table13[[#This Row],[Net_Sales]] * -1,Table13[[#This Row],[Net_Sales]]))</f>
        <v>33.116</v>
      </c>
      <c r="R858" s="9" t="str">
        <f>IF(Table13[[#This Row],[Gross_Sales]]&gt;=500, "YES","NO")</f>
        <v>NO</v>
      </c>
    </row>
    <row r="859" spans="1:18" x14ac:dyDescent="0.3">
      <c r="A859">
        <v>100854</v>
      </c>
      <c r="B859" s="8">
        <v>45327.541666666657</v>
      </c>
      <c r="C859" t="s">
        <v>14</v>
      </c>
      <c r="D859" t="s">
        <v>58</v>
      </c>
      <c r="E859" t="s">
        <v>69</v>
      </c>
      <c r="F859" t="s">
        <v>71</v>
      </c>
      <c r="G859">
        <v>3</v>
      </c>
      <c r="H859">
        <v>117.6</v>
      </c>
      <c r="I859">
        <v>15</v>
      </c>
      <c r="J859" t="s">
        <v>76</v>
      </c>
      <c r="K859" t="s">
        <v>77</v>
      </c>
      <c r="L859">
        <v>352.8</v>
      </c>
      <c r="M859">
        <v>52.919999999999987</v>
      </c>
      <c r="N859">
        <v>299.87999999999988</v>
      </c>
      <c r="O8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59" s="9" t="str">
        <f ca="1">IF(OR(ISNUMBER(Table13[[#This Row],[Order_Date]])=FALSE,Table13[[#This Row],[Order_Date]]&lt;DATE(2000,1,1),Table13[[#This Row],[Order_Date]]&gt;TODAY()),"YES","NO")</f>
        <v>NO</v>
      </c>
      <c r="Q859" s="9">
        <f>IF(Table13[[#This Row],[Order_Status]] = "Cancelled",0,IF(Table13[[#This Row],[Order_Status]] = "Returned",Table13[[#This Row],[Net_Sales]] * -1,Table13[[#This Row],[Net_Sales]]))</f>
        <v>299.87999999999988</v>
      </c>
      <c r="R859" s="9" t="str">
        <f>IF(Table13[[#This Row],[Gross_Sales]]&gt;=500, "YES","NO")</f>
        <v>NO</v>
      </c>
    </row>
    <row r="860" spans="1:18" x14ac:dyDescent="0.3">
      <c r="A860">
        <v>100855</v>
      </c>
      <c r="B860" s="8">
        <v>45327.583333333343</v>
      </c>
      <c r="C860" t="s">
        <v>14</v>
      </c>
      <c r="D860" t="s">
        <v>31</v>
      </c>
      <c r="E860" t="s">
        <v>67</v>
      </c>
      <c r="F860" t="s">
        <v>72</v>
      </c>
      <c r="G860">
        <v>4</v>
      </c>
      <c r="H860">
        <v>82.49</v>
      </c>
      <c r="I860">
        <v>15</v>
      </c>
      <c r="J860" t="s">
        <v>76</v>
      </c>
      <c r="K860" t="s">
        <v>77</v>
      </c>
      <c r="L860">
        <v>329.96</v>
      </c>
      <c r="M860">
        <v>49.493999999999993</v>
      </c>
      <c r="N860">
        <v>280.46600000000001</v>
      </c>
      <c r="O8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0" s="9" t="str">
        <f ca="1">IF(OR(ISNUMBER(Table13[[#This Row],[Order_Date]])=FALSE,Table13[[#This Row],[Order_Date]]&lt;DATE(2000,1,1),Table13[[#This Row],[Order_Date]]&gt;TODAY()),"YES","NO")</f>
        <v>NO</v>
      </c>
      <c r="Q860" s="9">
        <f>IF(Table13[[#This Row],[Order_Status]] = "Cancelled",0,IF(Table13[[#This Row],[Order_Status]] = "Returned",Table13[[#This Row],[Net_Sales]] * -1,Table13[[#This Row],[Net_Sales]]))</f>
        <v>280.46600000000001</v>
      </c>
      <c r="R860" s="9" t="str">
        <f>IF(Table13[[#This Row],[Gross_Sales]]&gt;=500, "YES","NO")</f>
        <v>NO</v>
      </c>
    </row>
    <row r="861" spans="1:18" x14ac:dyDescent="0.3">
      <c r="A861">
        <v>100856</v>
      </c>
      <c r="B861" s="8">
        <v>45327.625</v>
      </c>
      <c r="C861" t="s">
        <v>14</v>
      </c>
      <c r="D861" t="s">
        <v>25</v>
      </c>
      <c r="E861" t="s">
        <v>67</v>
      </c>
      <c r="F861" t="s">
        <v>71</v>
      </c>
      <c r="G861">
        <v>3</v>
      </c>
      <c r="H861">
        <v>102.39</v>
      </c>
      <c r="I861">
        <v>5</v>
      </c>
      <c r="J861" t="s">
        <v>74</v>
      </c>
      <c r="K861" t="s">
        <v>77</v>
      </c>
      <c r="L861">
        <v>307.17</v>
      </c>
      <c r="M861">
        <v>15.358499999999999</v>
      </c>
      <c r="N861">
        <v>291.81150000000002</v>
      </c>
      <c r="O8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1" s="9" t="str">
        <f ca="1">IF(OR(ISNUMBER(Table13[[#This Row],[Order_Date]])=FALSE,Table13[[#This Row],[Order_Date]]&lt;DATE(2000,1,1),Table13[[#This Row],[Order_Date]]&gt;TODAY()),"YES","NO")</f>
        <v>NO</v>
      </c>
      <c r="Q861" s="9">
        <f>IF(Table13[[#This Row],[Order_Status]] = "Cancelled",0,IF(Table13[[#This Row],[Order_Status]] = "Returned",Table13[[#This Row],[Net_Sales]] * -1,Table13[[#This Row],[Net_Sales]]))</f>
        <v>291.81150000000002</v>
      </c>
      <c r="R861" s="9" t="str">
        <f>IF(Table13[[#This Row],[Gross_Sales]]&gt;=500, "YES","NO")</f>
        <v>NO</v>
      </c>
    </row>
    <row r="862" spans="1:18" x14ac:dyDescent="0.3">
      <c r="A862">
        <v>100857</v>
      </c>
      <c r="B862" s="8">
        <v>45327.666666666657</v>
      </c>
      <c r="C862" t="s">
        <v>14</v>
      </c>
      <c r="D862" t="s">
        <v>61</v>
      </c>
      <c r="E862" t="s">
        <v>67</v>
      </c>
      <c r="F862" t="s">
        <v>71</v>
      </c>
      <c r="G862">
        <v>5</v>
      </c>
      <c r="H862">
        <v>42.3</v>
      </c>
      <c r="I862">
        <v>10</v>
      </c>
      <c r="J862" t="s">
        <v>76</v>
      </c>
      <c r="K862" t="s">
        <v>78</v>
      </c>
      <c r="L862">
        <v>211.5</v>
      </c>
      <c r="M862">
        <v>21.15</v>
      </c>
      <c r="N862">
        <v>190.35</v>
      </c>
      <c r="O8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62" s="9" t="str">
        <f ca="1">IF(OR(ISNUMBER(Table13[[#This Row],[Order_Date]])=FALSE,Table13[[#This Row],[Order_Date]]&lt;DATE(2000,1,1),Table13[[#This Row],[Order_Date]]&gt;TODAY()),"YES","NO")</f>
        <v>NO</v>
      </c>
      <c r="Q862" s="9">
        <f>IF(Table13[[#This Row],[Order_Status]] = "Cancelled",0,IF(Table13[[#This Row],[Order_Status]] = "Returned",Table13[[#This Row],[Net_Sales]] * -1,Table13[[#This Row],[Net_Sales]]))</f>
        <v>-190.35</v>
      </c>
      <c r="R862" s="9" t="str">
        <f>IF(Table13[[#This Row],[Gross_Sales]]&gt;=500, "YES","NO")</f>
        <v>NO</v>
      </c>
    </row>
    <row r="863" spans="1:18" x14ac:dyDescent="0.3">
      <c r="A863">
        <v>100858</v>
      </c>
      <c r="B863" s="8">
        <v>45327.708333333343</v>
      </c>
      <c r="C863" t="s">
        <v>14</v>
      </c>
      <c r="D863" t="s">
        <v>44</v>
      </c>
      <c r="E863" t="s">
        <v>70</v>
      </c>
      <c r="F863" t="s">
        <v>72</v>
      </c>
      <c r="G863">
        <v>1</v>
      </c>
      <c r="H863">
        <v>82.8</v>
      </c>
      <c r="I863">
        <v>10</v>
      </c>
      <c r="J863" t="s">
        <v>75</v>
      </c>
      <c r="K863" t="s">
        <v>77</v>
      </c>
      <c r="L863">
        <v>82.8</v>
      </c>
      <c r="M863">
        <v>8.2799999999999994</v>
      </c>
      <c r="N863">
        <v>74.52</v>
      </c>
      <c r="O8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3" s="9" t="str">
        <f ca="1">IF(OR(ISNUMBER(Table13[[#This Row],[Order_Date]])=FALSE,Table13[[#This Row],[Order_Date]]&lt;DATE(2000,1,1),Table13[[#This Row],[Order_Date]]&gt;TODAY()),"YES","NO")</f>
        <v>NO</v>
      </c>
      <c r="Q863" s="9">
        <f>IF(Table13[[#This Row],[Order_Status]] = "Cancelled",0,IF(Table13[[#This Row],[Order_Status]] = "Returned",Table13[[#This Row],[Net_Sales]] * -1,Table13[[#This Row],[Net_Sales]]))</f>
        <v>74.52</v>
      </c>
      <c r="R863" s="9" t="str">
        <f>IF(Table13[[#This Row],[Gross_Sales]]&gt;=500, "YES","NO")</f>
        <v>NO</v>
      </c>
    </row>
    <row r="864" spans="1:18" x14ac:dyDescent="0.3">
      <c r="A864">
        <v>100859</v>
      </c>
      <c r="B864" s="8">
        <v>45327.75</v>
      </c>
      <c r="C864" t="s">
        <v>15</v>
      </c>
      <c r="D864" t="s">
        <v>33</v>
      </c>
      <c r="E864" t="s">
        <v>70</v>
      </c>
      <c r="F864" t="s">
        <v>71</v>
      </c>
      <c r="G864">
        <v>4</v>
      </c>
      <c r="H864">
        <v>73.34</v>
      </c>
      <c r="I864">
        <v>0</v>
      </c>
      <c r="J864" t="s">
        <v>76</v>
      </c>
      <c r="K864" t="s">
        <v>77</v>
      </c>
      <c r="L864">
        <v>293.36</v>
      </c>
      <c r="M864">
        <v>0</v>
      </c>
      <c r="N864">
        <v>293.36</v>
      </c>
      <c r="O8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4" s="9" t="str">
        <f ca="1">IF(OR(ISNUMBER(Table13[[#This Row],[Order_Date]])=FALSE,Table13[[#This Row],[Order_Date]]&lt;DATE(2000,1,1),Table13[[#This Row],[Order_Date]]&gt;TODAY()),"YES","NO")</f>
        <v>NO</v>
      </c>
      <c r="Q864" s="9">
        <f>IF(Table13[[#This Row],[Order_Status]] = "Cancelled",0,IF(Table13[[#This Row],[Order_Status]] = "Returned",Table13[[#This Row],[Net_Sales]] * -1,Table13[[#This Row],[Net_Sales]]))</f>
        <v>293.36</v>
      </c>
      <c r="R864" s="9" t="str">
        <f>IF(Table13[[#This Row],[Gross_Sales]]&gt;=500, "YES","NO")</f>
        <v>NO</v>
      </c>
    </row>
    <row r="865" spans="1:18" x14ac:dyDescent="0.3">
      <c r="A865">
        <v>100860</v>
      </c>
      <c r="B865" s="8">
        <v>45327.791666666657</v>
      </c>
      <c r="C865" t="s">
        <v>14</v>
      </c>
      <c r="D865" t="s">
        <v>20</v>
      </c>
      <c r="E865" t="s">
        <v>68</v>
      </c>
      <c r="F865" t="s">
        <v>71</v>
      </c>
      <c r="G865">
        <v>4</v>
      </c>
      <c r="H865">
        <v>74.36</v>
      </c>
      <c r="I865">
        <v>0</v>
      </c>
      <c r="J865" t="s">
        <v>73</v>
      </c>
      <c r="K865" t="s">
        <v>77</v>
      </c>
      <c r="L865">
        <v>297.44</v>
      </c>
      <c r="M865">
        <v>0</v>
      </c>
      <c r="N865">
        <v>297.44</v>
      </c>
      <c r="O8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5" s="9" t="str">
        <f ca="1">IF(OR(ISNUMBER(Table13[[#This Row],[Order_Date]])=FALSE,Table13[[#This Row],[Order_Date]]&lt;DATE(2000,1,1),Table13[[#This Row],[Order_Date]]&gt;TODAY()),"YES","NO")</f>
        <v>NO</v>
      </c>
      <c r="Q865" s="9">
        <f>IF(Table13[[#This Row],[Order_Status]] = "Cancelled",0,IF(Table13[[#This Row],[Order_Status]] = "Returned",Table13[[#This Row],[Net_Sales]] * -1,Table13[[#This Row],[Net_Sales]]))</f>
        <v>297.44</v>
      </c>
      <c r="R865" s="9" t="str">
        <f>IF(Table13[[#This Row],[Gross_Sales]]&gt;=500, "YES","NO")</f>
        <v>NO</v>
      </c>
    </row>
    <row r="866" spans="1:18" x14ac:dyDescent="0.3">
      <c r="A866">
        <v>100861</v>
      </c>
      <c r="B866" s="8">
        <v>45327.833333333343</v>
      </c>
      <c r="C866" t="s">
        <v>15</v>
      </c>
      <c r="D866" t="s">
        <v>20</v>
      </c>
      <c r="E866" t="s">
        <v>67</v>
      </c>
      <c r="F866" t="s">
        <v>71</v>
      </c>
      <c r="G866">
        <v>5</v>
      </c>
      <c r="H866">
        <v>83.49</v>
      </c>
      <c r="I866">
        <v>0</v>
      </c>
      <c r="J866" t="s">
        <v>76</v>
      </c>
      <c r="K866" t="s">
        <v>77</v>
      </c>
      <c r="L866">
        <v>417.45</v>
      </c>
      <c r="M866">
        <v>0</v>
      </c>
      <c r="N866">
        <v>417.45</v>
      </c>
      <c r="O8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6" s="9" t="str">
        <f ca="1">IF(OR(ISNUMBER(Table13[[#This Row],[Order_Date]])=FALSE,Table13[[#This Row],[Order_Date]]&lt;DATE(2000,1,1),Table13[[#This Row],[Order_Date]]&gt;TODAY()),"YES","NO")</f>
        <v>NO</v>
      </c>
      <c r="Q866" s="9">
        <f>IF(Table13[[#This Row],[Order_Status]] = "Cancelled",0,IF(Table13[[#This Row],[Order_Status]] = "Returned",Table13[[#This Row],[Net_Sales]] * -1,Table13[[#This Row],[Net_Sales]]))</f>
        <v>417.45</v>
      </c>
      <c r="R866" s="9" t="str">
        <f>IF(Table13[[#This Row],[Gross_Sales]]&gt;=500, "YES","NO")</f>
        <v>NO</v>
      </c>
    </row>
    <row r="867" spans="1:18" x14ac:dyDescent="0.3">
      <c r="A867">
        <v>100862</v>
      </c>
      <c r="B867" s="8">
        <v>45327.875</v>
      </c>
      <c r="C867" t="s">
        <v>14</v>
      </c>
      <c r="D867" t="s">
        <v>27</v>
      </c>
      <c r="E867" t="s">
        <v>69</v>
      </c>
      <c r="F867" t="s">
        <v>71</v>
      </c>
      <c r="G867">
        <v>3</v>
      </c>
      <c r="H867">
        <v>71.17</v>
      </c>
      <c r="I867">
        <v>0</v>
      </c>
      <c r="J867" t="s">
        <v>74</v>
      </c>
      <c r="K867" t="s">
        <v>77</v>
      </c>
      <c r="L867">
        <v>213.51</v>
      </c>
      <c r="M867">
        <v>0</v>
      </c>
      <c r="N867">
        <v>213.51</v>
      </c>
      <c r="O8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7" s="9" t="str">
        <f ca="1">IF(OR(ISNUMBER(Table13[[#This Row],[Order_Date]])=FALSE,Table13[[#This Row],[Order_Date]]&lt;DATE(2000,1,1),Table13[[#This Row],[Order_Date]]&gt;TODAY()),"YES","NO")</f>
        <v>NO</v>
      </c>
      <c r="Q867" s="9">
        <f>IF(Table13[[#This Row],[Order_Status]] = "Cancelled",0,IF(Table13[[#This Row],[Order_Status]] = "Returned",Table13[[#This Row],[Net_Sales]] * -1,Table13[[#This Row],[Net_Sales]]))</f>
        <v>213.51</v>
      </c>
      <c r="R867" s="9" t="str">
        <f>IF(Table13[[#This Row],[Gross_Sales]]&gt;=500, "YES","NO")</f>
        <v>NO</v>
      </c>
    </row>
    <row r="868" spans="1:18" x14ac:dyDescent="0.3">
      <c r="A868">
        <v>100863</v>
      </c>
      <c r="B868" s="8">
        <v>45327.916666666657</v>
      </c>
      <c r="C868" t="s">
        <v>15</v>
      </c>
      <c r="D868" t="s">
        <v>37</v>
      </c>
      <c r="E868" t="s">
        <v>69</v>
      </c>
      <c r="F868" t="s">
        <v>71</v>
      </c>
      <c r="G868">
        <v>1</v>
      </c>
      <c r="H868">
        <v>54.34</v>
      </c>
      <c r="I868">
        <v>10</v>
      </c>
      <c r="J868" t="s">
        <v>73</v>
      </c>
      <c r="K868" t="s">
        <v>77</v>
      </c>
      <c r="L868">
        <v>54.34</v>
      </c>
      <c r="M868">
        <v>5.4340000000000011</v>
      </c>
      <c r="N868">
        <v>48.906000000000013</v>
      </c>
      <c r="O8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8" s="9" t="str">
        <f ca="1">IF(OR(ISNUMBER(Table13[[#This Row],[Order_Date]])=FALSE,Table13[[#This Row],[Order_Date]]&lt;DATE(2000,1,1),Table13[[#This Row],[Order_Date]]&gt;TODAY()),"YES","NO")</f>
        <v>NO</v>
      </c>
      <c r="Q868" s="9">
        <f>IF(Table13[[#This Row],[Order_Status]] = "Cancelled",0,IF(Table13[[#This Row],[Order_Status]] = "Returned",Table13[[#This Row],[Net_Sales]] * -1,Table13[[#This Row],[Net_Sales]]))</f>
        <v>48.906000000000013</v>
      </c>
      <c r="R868" s="9" t="str">
        <f>IF(Table13[[#This Row],[Gross_Sales]]&gt;=500, "YES","NO")</f>
        <v>NO</v>
      </c>
    </row>
    <row r="869" spans="1:18" x14ac:dyDescent="0.3">
      <c r="A869">
        <v>100864</v>
      </c>
      <c r="B869" s="8">
        <v>45327.958333333343</v>
      </c>
      <c r="C869" t="s">
        <v>15</v>
      </c>
      <c r="D869" t="s">
        <v>37</v>
      </c>
      <c r="E869" t="s">
        <v>67</v>
      </c>
      <c r="F869" t="s">
        <v>72</v>
      </c>
      <c r="G869">
        <v>3</v>
      </c>
      <c r="H869">
        <v>36.729999999999997</v>
      </c>
      <c r="I869">
        <v>15</v>
      </c>
      <c r="J869" t="s">
        <v>73</v>
      </c>
      <c r="K869" t="s">
        <v>77</v>
      </c>
      <c r="L869">
        <v>110.19</v>
      </c>
      <c r="M869">
        <v>16.528500000000001</v>
      </c>
      <c r="N869">
        <v>93.661500000000004</v>
      </c>
      <c r="O8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69" s="9" t="str">
        <f ca="1">IF(OR(ISNUMBER(Table13[[#This Row],[Order_Date]])=FALSE,Table13[[#This Row],[Order_Date]]&lt;DATE(2000,1,1),Table13[[#This Row],[Order_Date]]&gt;TODAY()),"YES","NO")</f>
        <v>NO</v>
      </c>
      <c r="Q869" s="9">
        <f>IF(Table13[[#This Row],[Order_Status]] = "Cancelled",0,IF(Table13[[#This Row],[Order_Status]] = "Returned",Table13[[#This Row],[Net_Sales]] * -1,Table13[[#This Row],[Net_Sales]]))</f>
        <v>93.661500000000004</v>
      </c>
      <c r="R869" s="9" t="str">
        <f>IF(Table13[[#This Row],[Gross_Sales]]&gt;=500, "YES","NO")</f>
        <v>NO</v>
      </c>
    </row>
    <row r="870" spans="1:18" x14ac:dyDescent="0.3">
      <c r="A870">
        <v>100865</v>
      </c>
      <c r="B870" s="8">
        <v>45328</v>
      </c>
      <c r="C870" t="s">
        <v>15</v>
      </c>
      <c r="D870" t="s">
        <v>25</v>
      </c>
      <c r="E870" t="s">
        <v>67</v>
      </c>
      <c r="F870" t="s">
        <v>71</v>
      </c>
      <c r="G870">
        <v>2</v>
      </c>
      <c r="H870">
        <v>93.39</v>
      </c>
      <c r="I870">
        <v>15</v>
      </c>
      <c r="J870" t="s">
        <v>73</v>
      </c>
      <c r="K870" t="s">
        <v>77</v>
      </c>
      <c r="L870">
        <v>186.78</v>
      </c>
      <c r="M870">
        <v>28.016999999999999</v>
      </c>
      <c r="N870">
        <v>158.76300000000001</v>
      </c>
      <c r="O8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0" s="9" t="str">
        <f ca="1">IF(OR(ISNUMBER(Table13[[#This Row],[Order_Date]])=FALSE,Table13[[#This Row],[Order_Date]]&lt;DATE(2000,1,1),Table13[[#This Row],[Order_Date]]&gt;TODAY()),"YES","NO")</f>
        <v>NO</v>
      </c>
      <c r="Q870" s="9">
        <f>IF(Table13[[#This Row],[Order_Status]] = "Cancelled",0,IF(Table13[[#This Row],[Order_Status]] = "Returned",Table13[[#This Row],[Net_Sales]] * -1,Table13[[#This Row],[Net_Sales]]))</f>
        <v>158.76300000000001</v>
      </c>
      <c r="R870" s="9" t="str">
        <f>IF(Table13[[#This Row],[Gross_Sales]]&gt;=500, "YES","NO")</f>
        <v>NO</v>
      </c>
    </row>
    <row r="871" spans="1:18" x14ac:dyDescent="0.3">
      <c r="A871">
        <v>100866</v>
      </c>
      <c r="B871" s="8">
        <v>45328.041666666657</v>
      </c>
      <c r="C871" t="s">
        <v>14</v>
      </c>
      <c r="D871" t="s">
        <v>56</v>
      </c>
      <c r="E871" t="s">
        <v>67</v>
      </c>
      <c r="F871" t="s">
        <v>72</v>
      </c>
      <c r="G871">
        <v>3</v>
      </c>
      <c r="H871">
        <v>31.02</v>
      </c>
      <c r="I871">
        <v>5</v>
      </c>
      <c r="J871" t="s">
        <v>74</v>
      </c>
      <c r="K871" t="s">
        <v>77</v>
      </c>
      <c r="L871">
        <v>93.06</v>
      </c>
      <c r="M871">
        <v>4.6529999999999996</v>
      </c>
      <c r="N871">
        <v>88.406999999999996</v>
      </c>
      <c r="O8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1" s="9" t="str">
        <f ca="1">IF(OR(ISNUMBER(Table13[[#This Row],[Order_Date]])=FALSE,Table13[[#This Row],[Order_Date]]&lt;DATE(2000,1,1),Table13[[#This Row],[Order_Date]]&gt;TODAY()),"YES","NO")</f>
        <v>NO</v>
      </c>
      <c r="Q871" s="9">
        <f>IF(Table13[[#This Row],[Order_Status]] = "Cancelled",0,IF(Table13[[#This Row],[Order_Status]] = "Returned",Table13[[#This Row],[Net_Sales]] * -1,Table13[[#This Row],[Net_Sales]]))</f>
        <v>88.406999999999996</v>
      </c>
      <c r="R871" s="9" t="str">
        <f>IF(Table13[[#This Row],[Gross_Sales]]&gt;=500, "YES","NO")</f>
        <v>NO</v>
      </c>
    </row>
    <row r="872" spans="1:18" x14ac:dyDescent="0.3">
      <c r="A872">
        <v>100867</v>
      </c>
      <c r="B872" s="8">
        <v>45328.083333333343</v>
      </c>
      <c r="C872" t="s">
        <v>14</v>
      </c>
      <c r="D872" t="s">
        <v>24</v>
      </c>
      <c r="E872" t="s">
        <v>70</v>
      </c>
      <c r="F872" t="s">
        <v>72</v>
      </c>
      <c r="G872">
        <v>4</v>
      </c>
      <c r="H872">
        <v>84.62</v>
      </c>
      <c r="I872">
        <v>15</v>
      </c>
      <c r="J872" t="s">
        <v>75</v>
      </c>
      <c r="K872" t="s">
        <v>77</v>
      </c>
      <c r="L872">
        <v>338.48</v>
      </c>
      <c r="M872">
        <v>50.771999999999998</v>
      </c>
      <c r="N872">
        <v>287.70800000000003</v>
      </c>
      <c r="O8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2" s="9" t="str">
        <f ca="1">IF(OR(ISNUMBER(Table13[[#This Row],[Order_Date]])=FALSE,Table13[[#This Row],[Order_Date]]&lt;DATE(2000,1,1),Table13[[#This Row],[Order_Date]]&gt;TODAY()),"YES","NO")</f>
        <v>NO</v>
      </c>
      <c r="Q872" s="9">
        <f>IF(Table13[[#This Row],[Order_Status]] = "Cancelled",0,IF(Table13[[#This Row],[Order_Status]] = "Returned",Table13[[#This Row],[Net_Sales]] * -1,Table13[[#This Row],[Net_Sales]]))</f>
        <v>287.70800000000003</v>
      </c>
      <c r="R872" s="9" t="str">
        <f>IF(Table13[[#This Row],[Gross_Sales]]&gt;=500, "YES","NO")</f>
        <v>NO</v>
      </c>
    </row>
    <row r="873" spans="1:18" x14ac:dyDescent="0.3">
      <c r="A873">
        <v>100868</v>
      </c>
      <c r="B873" s="8">
        <v>45328.125</v>
      </c>
      <c r="C873" t="s">
        <v>15</v>
      </c>
      <c r="D873" t="s">
        <v>23</v>
      </c>
      <c r="E873" t="s">
        <v>70</v>
      </c>
      <c r="F873" t="s">
        <v>71</v>
      </c>
      <c r="G873">
        <v>1</v>
      </c>
      <c r="H873">
        <v>31.83</v>
      </c>
      <c r="I873">
        <v>10</v>
      </c>
      <c r="J873" t="s">
        <v>76</v>
      </c>
      <c r="K873" t="s">
        <v>79</v>
      </c>
      <c r="L873">
        <v>31.83</v>
      </c>
      <c r="M873">
        <v>3.1829999999999998</v>
      </c>
      <c r="N873">
        <v>28.646999999999998</v>
      </c>
      <c r="O8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73" s="9" t="str">
        <f ca="1">IF(OR(ISNUMBER(Table13[[#This Row],[Order_Date]])=FALSE,Table13[[#This Row],[Order_Date]]&lt;DATE(2000,1,1),Table13[[#This Row],[Order_Date]]&gt;TODAY()),"YES","NO")</f>
        <v>NO</v>
      </c>
      <c r="Q873" s="9">
        <f>IF(Table13[[#This Row],[Order_Status]] = "Cancelled",0,IF(Table13[[#This Row],[Order_Status]] = "Returned",Table13[[#This Row],[Net_Sales]] * -1,Table13[[#This Row],[Net_Sales]]))</f>
        <v>0</v>
      </c>
      <c r="R873" s="9" t="str">
        <f>IF(Table13[[#This Row],[Gross_Sales]]&gt;=500, "YES","NO")</f>
        <v>NO</v>
      </c>
    </row>
    <row r="874" spans="1:18" x14ac:dyDescent="0.3">
      <c r="A874">
        <v>100869</v>
      </c>
      <c r="B874" s="8">
        <v>45328.166666666657</v>
      </c>
      <c r="C874" t="s">
        <v>14</v>
      </c>
      <c r="D874" t="s">
        <v>38</v>
      </c>
      <c r="E874" t="s">
        <v>70</v>
      </c>
      <c r="F874" t="s">
        <v>72</v>
      </c>
      <c r="G874">
        <v>3</v>
      </c>
      <c r="H874">
        <v>76.91</v>
      </c>
      <c r="I874">
        <v>10</v>
      </c>
      <c r="J874" t="s">
        <v>73</v>
      </c>
      <c r="K874" t="s">
        <v>77</v>
      </c>
      <c r="L874">
        <v>230.73</v>
      </c>
      <c r="M874">
        <v>23.073</v>
      </c>
      <c r="N874">
        <v>207.65700000000001</v>
      </c>
      <c r="O8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4" s="9" t="str">
        <f ca="1">IF(OR(ISNUMBER(Table13[[#This Row],[Order_Date]])=FALSE,Table13[[#This Row],[Order_Date]]&lt;DATE(2000,1,1),Table13[[#This Row],[Order_Date]]&gt;TODAY()),"YES","NO")</f>
        <v>NO</v>
      </c>
      <c r="Q874" s="9">
        <f>IF(Table13[[#This Row],[Order_Status]] = "Cancelled",0,IF(Table13[[#This Row],[Order_Status]] = "Returned",Table13[[#This Row],[Net_Sales]] * -1,Table13[[#This Row],[Net_Sales]]))</f>
        <v>207.65700000000001</v>
      </c>
      <c r="R874" s="9" t="str">
        <f>IF(Table13[[#This Row],[Gross_Sales]]&gt;=500, "YES","NO")</f>
        <v>NO</v>
      </c>
    </row>
    <row r="875" spans="1:18" x14ac:dyDescent="0.3">
      <c r="A875">
        <v>100870</v>
      </c>
      <c r="B875" s="8">
        <v>45328.208333333343</v>
      </c>
      <c r="C875" t="s">
        <v>15</v>
      </c>
      <c r="D875" t="s">
        <v>23</v>
      </c>
      <c r="E875" t="s">
        <v>66</v>
      </c>
      <c r="F875" t="s">
        <v>71</v>
      </c>
      <c r="G875">
        <v>1</v>
      </c>
      <c r="H875">
        <v>90.91</v>
      </c>
      <c r="I875">
        <v>10</v>
      </c>
      <c r="J875" t="s">
        <v>73</v>
      </c>
      <c r="K875" t="s">
        <v>77</v>
      </c>
      <c r="L875">
        <v>90.91</v>
      </c>
      <c r="M875">
        <v>9.0909999999999993</v>
      </c>
      <c r="N875">
        <v>81.819000000000003</v>
      </c>
      <c r="O8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5" s="9" t="str">
        <f ca="1">IF(OR(ISNUMBER(Table13[[#This Row],[Order_Date]])=FALSE,Table13[[#This Row],[Order_Date]]&lt;DATE(2000,1,1),Table13[[#This Row],[Order_Date]]&gt;TODAY()),"YES","NO")</f>
        <v>NO</v>
      </c>
      <c r="Q875" s="9">
        <f>IF(Table13[[#This Row],[Order_Status]] = "Cancelled",0,IF(Table13[[#This Row],[Order_Status]] = "Returned",Table13[[#This Row],[Net_Sales]] * -1,Table13[[#This Row],[Net_Sales]]))</f>
        <v>81.819000000000003</v>
      </c>
      <c r="R875" s="9" t="str">
        <f>IF(Table13[[#This Row],[Gross_Sales]]&gt;=500, "YES","NO")</f>
        <v>NO</v>
      </c>
    </row>
    <row r="876" spans="1:18" x14ac:dyDescent="0.3">
      <c r="A876">
        <v>100871</v>
      </c>
      <c r="B876" s="8">
        <v>45328.25</v>
      </c>
      <c r="C876" t="s">
        <v>14</v>
      </c>
      <c r="D876" t="s">
        <v>58</v>
      </c>
      <c r="E876" t="s">
        <v>69</v>
      </c>
      <c r="F876" t="s">
        <v>72</v>
      </c>
      <c r="G876">
        <v>1</v>
      </c>
      <c r="H876">
        <v>30.15</v>
      </c>
      <c r="I876">
        <v>5</v>
      </c>
      <c r="J876" t="s">
        <v>73</v>
      </c>
      <c r="K876" t="s">
        <v>77</v>
      </c>
      <c r="L876">
        <v>30.15</v>
      </c>
      <c r="M876">
        <v>1.5075000000000001</v>
      </c>
      <c r="N876">
        <v>28.642499999999998</v>
      </c>
      <c r="O8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6" s="9" t="str">
        <f ca="1">IF(OR(ISNUMBER(Table13[[#This Row],[Order_Date]])=FALSE,Table13[[#This Row],[Order_Date]]&lt;DATE(2000,1,1),Table13[[#This Row],[Order_Date]]&gt;TODAY()),"YES","NO")</f>
        <v>NO</v>
      </c>
      <c r="Q876" s="9">
        <f>IF(Table13[[#This Row],[Order_Status]] = "Cancelled",0,IF(Table13[[#This Row],[Order_Status]] = "Returned",Table13[[#This Row],[Net_Sales]] * -1,Table13[[#This Row],[Net_Sales]]))</f>
        <v>28.642499999999998</v>
      </c>
      <c r="R876" s="9" t="str">
        <f>IF(Table13[[#This Row],[Gross_Sales]]&gt;=500, "YES","NO")</f>
        <v>NO</v>
      </c>
    </row>
    <row r="877" spans="1:18" x14ac:dyDescent="0.3">
      <c r="A877">
        <v>100872</v>
      </c>
      <c r="B877" s="8">
        <v>45328.291666666657</v>
      </c>
      <c r="C877" t="s">
        <v>15</v>
      </c>
      <c r="D877" t="s">
        <v>63</v>
      </c>
      <c r="E877" t="s">
        <v>69</v>
      </c>
      <c r="F877" t="s">
        <v>72</v>
      </c>
      <c r="G877">
        <v>2</v>
      </c>
      <c r="H877">
        <v>11.89</v>
      </c>
      <c r="I877">
        <v>0</v>
      </c>
      <c r="J877" t="s">
        <v>75</v>
      </c>
      <c r="K877" t="s">
        <v>77</v>
      </c>
      <c r="L877">
        <v>23.78</v>
      </c>
      <c r="M877">
        <v>0</v>
      </c>
      <c r="N877">
        <v>23.78</v>
      </c>
      <c r="O8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7" s="9" t="str">
        <f ca="1">IF(OR(ISNUMBER(Table13[[#This Row],[Order_Date]])=FALSE,Table13[[#This Row],[Order_Date]]&lt;DATE(2000,1,1),Table13[[#This Row],[Order_Date]]&gt;TODAY()),"YES","NO")</f>
        <v>NO</v>
      </c>
      <c r="Q877" s="9">
        <f>IF(Table13[[#This Row],[Order_Status]] = "Cancelled",0,IF(Table13[[#This Row],[Order_Status]] = "Returned",Table13[[#This Row],[Net_Sales]] * -1,Table13[[#This Row],[Net_Sales]]))</f>
        <v>23.78</v>
      </c>
      <c r="R877" s="9" t="str">
        <f>IF(Table13[[#This Row],[Gross_Sales]]&gt;=500, "YES","NO")</f>
        <v>NO</v>
      </c>
    </row>
    <row r="878" spans="1:18" x14ac:dyDescent="0.3">
      <c r="A878">
        <v>100873</v>
      </c>
      <c r="B878" s="8">
        <v>45328.333333333343</v>
      </c>
      <c r="C878" t="s">
        <v>15</v>
      </c>
      <c r="D878" t="s">
        <v>58</v>
      </c>
      <c r="E878" t="s">
        <v>68</v>
      </c>
      <c r="F878" t="s">
        <v>71</v>
      </c>
      <c r="G878">
        <v>2</v>
      </c>
      <c r="H878">
        <v>20.059999999999999</v>
      </c>
      <c r="I878">
        <v>15</v>
      </c>
      <c r="J878" t="s">
        <v>75</v>
      </c>
      <c r="K878" t="s">
        <v>77</v>
      </c>
      <c r="L878">
        <v>40.119999999999997</v>
      </c>
      <c r="M878">
        <v>6.0179999999999998</v>
      </c>
      <c r="N878">
        <v>34.101999999999997</v>
      </c>
      <c r="O8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8" s="9" t="str">
        <f ca="1">IF(OR(ISNUMBER(Table13[[#This Row],[Order_Date]])=FALSE,Table13[[#This Row],[Order_Date]]&lt;DATE(2000,1,1),Table13[[#This Row],[Order_Date]]&gt;TODAY()),"YES","NO")</f>
        <v>NO</v>
      </c>
      <c r="Q878" s="9">
        <f>IF(Table13[[#This Row],[Order_Status]] = "Cancelled",0,IF(Table13[[#This Row],[Order_Status]] = "Returned",Table13[[#This Row],[Net_Sales]] * -1,Table13[[#This Row],[Net_Sales]]))</f>
        <v>34.101999999999997</v>
      </c>
      <c r="R878" s="9" t="str">
        <f>IF(Table13[[#This Row],[Gross_Sales]]&gt;=500, "YES","NO")</f>
        <v>NO</v>
      </c>
    </row>
    <row r="879" spans="1:18" x14ac:dyDescent="0.3">
      <c r="A879">
        <v>100874</v>
      </c>
      <c r="B879" s="8">
        <v>45328.375</v>
      </c>
      <c r="C879" t="s">
        <v>14</v>
      </c>
      <c r="D879" t="s">
        <v>29</v>
      </c>
      <c r="E879" t="s">
        <v>70</v>
      </c>
      <c r="F879" t="s">
        <v>71</v>
      </c>
      <c r="G879">
        <v>4</v>
      </c>
      <c r="H879">
        <v>74.69</v>
      </c>
      <c r="I879">
        <v>10</v>
      </c>
      <c r="J879" t="s">
        <v>74</v>
      </c>
      <c r="K879" t="s">
        <v>77</v>
      </c>
      <c r="L879">
        <v>298.76</v>
      </c>
      <c r="M879">
        <v>29.876000000000001</v>
      </c>
      <c r="N879">
        <v>268.88400000000001</v>
      </c>
      <c r="O8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79" s="9" t="str">
        <f ca="1">IF(OR(ISNUMBER(Table13[[#This Row],[Order_Date]])=FALSE,Table13[[#This Row],[Order_Date]]&lt;DATE(2000,1,1),Table13[[#This Row],[Order_Date]]&gt;TODAY()),"YES","NO")</f>
        <v>NO</v>
      </c>
      <c r="Q879" s="9">
        <f>IF(Table13[[#This Row],[Order_Status]] = "Cancelled",0,IF(Table13[[#This Row],[Order_Status]] = "Returned",Table13[[#This Row],[Net_Sales]] * -1,Table13[[#This Row],[Net_Sales]]))</f>
        <v>268.88400000000001</v>
      </c>
      <c r="R879" s="9" t="str">
        <f>IF(Table13[[#This Row],[Gross_Sales]]&gt;=500, "YES","NO")</f>
        <v>NO</v>
      </c>
    </row>
    <row r="880" spans="1:18" x14ac:dyDescent="0.3">
      <c r="A880">
        <v>100875</v>
      </c>
      <c r="B880" s="8">
        <v>45328.416666666657</v>
      </c>
      <c r="C880" t="s">
        <v>15</v>
      </c>
      <c r="D880" t="s">
        <v>32</v>
      </c>
      <c r="E880" t="s">
        <v>66</v>
      </c>
      <c r="F880" t="s">
        <v>71</v>
      </c>
      <c r="G880">
        <v>5</v>
      </c>
      <c r="H880">
        <v>102.69</v>
      </c>
      <c r="I880">
        <v>10</v>
      </c>
      <c r="J880" t="s">
        <v>75</v>
      </c>
      <c r="K880" t="s">
        <v>77</v>
      </c>
      <c r="L880">
        <v>513.45000000000005</v>
      </c>
      <c r="M880">
        <v>51.345000000000013</v>
      </c>
      <c r="N880">
        <v>462.10500000000002</v>
      </c>
      <c r="O8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0" s="9" t="str">
        <f ca="1">IF(OR(ISNUMBER(Table13[[#This Row],[Order_Date]])=FALSE,Table13[[#This Row],[Order_Date]]&lt;DATE(2000,1,1),Table13[[#This Row],[Order_Date]]&gt;TODAY()),"YES","NO")</f>
        <v>NO</v>
      </c>
      <c r="Q880" s="9">
        <f>IF(Table13[[#This Row],[Order_Status]] = "Cancelled",0,IF(Table13[[#This Row],[Order_Status]] = "Returned",Table13[[#This Row],[Net_Sales]] * -1,Table13[[#This Row],[Net_Sales]]))</f>
        <v>462.10500000000002</v>
      </c>
      <c r="R880" s="9" t="str">
        <f>IF(Table13[[#This Row],[Gross_Sales]]&gt;=500, "YES","NO")</f>
        <v>YES</v>
      </c>
    </row>
    <row r="881" spans="1:18" x14ac:dyDescent="0.3">
      <c r="A881">
        <v>100876</v>
      </c>
      <c r="B881" s="8">
        <v>45328.458333333343</v>
      </c>
      <c r="C881" t="s">
        <v>14</v>
      </c>
      <c r="D881" t="s">
        <v>33</v>
      </c>
      <c r="E881" t="s">
        <v>66</v>
      </c>
      <c r="F881" t="s">
        <v>71</v>
      </c>
      <c r="G881">
        <v>1</v>
      </c>
      <c r="H881">
        <v>10.17</v>
      </c>
      <c r="I881">
        <v>0</v>
      </c>
      <c r="J881" t="s">
        <v>76</v>
      </c>
      <c r="K881" t="s">
        <v>77</v>
      </c>
      <c r="L881">
        <v>10.17</v>
      </c>
      <c r="M881">
        <v>0</v>
      </c>
      <c r="N881">
        <v>10.17</v>
      </c>
      <c r="O8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1" s="9" t="str">
        <f ca="1">IF(OR(ISNUMBER(Table13[[#This Row],[Order_Date]])=FALSE,Table13[[#This Row],[Order_Date]]&lt;DATE(2000,1,1),Table13[[#This Row],[Order_Date]]&gt;TODAY()),"YES","NO")</f>
        <v>NO</v>
      </c>
      <c r="Q881" s="9">
        <f>IF(Table13[[#This Row],[Order_Status]] = "Cancelled",0,IF(Table13[[#This Row],[Order_Status]] = "Returned",Table13[[#This Row],[Net_Sales]] * -1,Table13[[#This Row],[Net_Sales]]))</f>
        <v>10.17</v>
      </c>
      <c r="R881" s="9" t="str">
        <f>IF(Table13[[#This Row],[Gross_Sales]]&gt;=500, "YES","NO")</f>
        <v>NO</v>
      </c>
    </row>
    <row r="882" spans="1:18" x14ac:dyDescent="0.3">
      <c r="A882">
        <v>100877</v>
      </c>
      <c r="B882" s="8">
        <v>45328.5</v>
      </c>
      <c r="C882" t="s">
        <v>15</v>
      </c>
      <c r="D882" t="s">
        <v>30</v>
      </c>
      <c r="E882" t="s">
        <v>69</v>
      </c>
      <c r="F882" t="s">
        <v>71</v>
      </c>
      <c r="G882">
        <v>5</v>
      </c>
      <c r="H882">
        <v>89.43</v>
      </c>
      <c r="I882">
        <v>10</v>
      </c>
      <c r="J882" t="s">
        <v>74</v>
      </c>
      <c r="K882" t="s">
        <v>77</v>
      </c>
      <c r="L882">
        <v>447.15</v>
      </c>
      <c r="M882">
        <v>44.715000000000003</v>
      </c>
      <c r="N882">
        <v>402.43500000000012</v>
      </c>
      <c r="O8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2" s="9" t="str">
        <f ca="1">IF(OR(ISNUMBER(Table13[[#This Row],[Order_Date]])=FALSE,Table13[[#This Row],[Order_Date]]&lt;DATE(2000,1,1),Table13[[#This Row],[Order_Date]]&gt;TODAY()),"YES","NO")</f>
        <v>NO</v>
      </c>
      <c r="Q882" s="9">
        <f>IF(Table13[[#This Row],[Order_Status]] = "Cancelled",0,IF(Table13[[#This Row],[Order_Status]] = "Returned",Table13[[#This Row],[Net_Sales]] * -1,Table13[[#This Row],[Net_Sales]]))</f>
        <v>402.43500000000012</v>
      </c>
      <c r="R882" s="9" t="str">
        <f>IF(Table13[[#This Row],[Gross_Sales]]&gt;=500, "YES","NO")</f>
        <v>NO</v>
      </c>
    </row>
    <row r="883" spans="1:18" x14ac:dyDescent="0.3">
      <c r="A883">
        <v>100878</v>
      </c>
      <c r="B883" s="8">
        <v>45328.541666666657</v>
      </c>
      <c r="C883" t="s">
        <v>15</v>
      </c>
      <c r="D883" t="s">
        <v>56</v>
      </c>
      <c r="E883" t="s">
        <v>70</v>
      </c>
      <c r="F883" t="s">
        <v>72</v>
      </c>
      <c r="G883">
        <v>4</v>
      </c>
      <c r="H883">
        <v>44.25</v>
      </c>
      <c r="I883">
        <v>15</v>
      </c>
      <c r="J883" t="s">
        <v>74</v>
      </c>
      <c r="K883" t="s">
        <v>77</v>
      </c>
      <c r="L883">
        <v>177</v>
      </c>
      <c r="M883">
        <v>26.55</v>
      </c>
      <c r="N883">
        <v>150.44999999999999</v>
      </c>
      <c r="O8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3" s="9" t="str">
        <f ca="1">IF(OR(ISNUMBER(Table13[[#This Row],[Order_Date]])=FALSE,Table13[[#This Row],[Order_Date]]&lt;DATE(2000,1,1),Table13[[#This Row],[Order_Date]]&gt;TODAY()),"YES","NO")</f>
        <v>NO</v>
      </c>
      <c r="Q883" s="9">
        <f>IF(Table13[[#This Row],[Order_Status]] = "Cancelled",0,IF(Table13[[#This Row],[Order_Status]] = "Returned",Table13[[#This Row],[Net_Sales]] * -1,Table13[[#This Row],[Net_Sales]]))</f>
        <v>150.44999999999999</v>
      </c>
      <c r="R883" s="9" t="str">
        <f>IF(Table13[[#This Row],[Gross_Sales]]&gt;=500, "YES","NO")</f>
        <v>NO</v>
      </c>
    </row>
    <row r="884" spans="1:18" x14ac:dyDescent="0.3">
      <c r="A884">
        <v>100879</v>
      </c>
      <c r="B884" s="8">
        <v>45328.583333333343</v>
      </c>
      <c r="C884" t="s">
        <v>14</v>
      </c>
      <c r="D884" t="s">
        <v>19</v>
      </c>
      <c r="E884" t="s">
        <v>68</v>
      </c>
      <c r="F884" t="s">
        <v>72</v>
      </c>
      <c r="G884">
        <v>1</v>
      </c>
      <c r="H884">
        <v>60.03</v>
      </c>
      <c r="I884">
        <v>5</v>
      </c>
      <c r="J884" t="s">
        <v>76</v>
      </c>
      <c r="K884" t="s">
        <v>77</v>
      </c>
      <c r="L884">
        <v>60.03</v>
      </c>
      <c r="M884">
        <v>3.0015000000000001</v>
      </c>
      <c r="N884">
        <v>57.028500000000001</v>
      </c>
      <c r="O8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4" s="9" t="str">
        <f ca="1">IF(OR(ISNUMBER(Table13[[#This Row],[Order_Date]])=FALSE,Table13[[#This Row],[Order_Date]]&lt;DATE(2000,1,1),Table13[[#This Row],[Order_Date]]&gt;TODAY()),"YES","NO")</f>
        <v>NO</v>
      </c>
      <c r="Q884" s="9">
        <f>IF(Table13[[#This Row],[Order_Status]] = "Cancelled",0,IF(Table13[[#This Row],[Order_Status]] = "Returned",Table13[[#This Row],[Net_Sales]] * -1,Table13[[#This Row],[Net_Sales]]))</f>
        <v>57.028500000000001</v>
      </c>
      <c r="R884" s="9" t="str">
        <f>IF(Table13[[#This Row],[Gross_Sales]]&gt;=500, "YES","NO")</f>
        <v>NO</v>
      </c>
    </row>
    <row r="885" spans="1:18" x14ac:dyDescent="0.3">
      <c r="A885">
        <v>100880</v>
      </c>
      <c r="B885" s="8">
        <v>45328.625</v>
      </c>
      <c r="C885" t="s">
        <v>14</v>
      </c>
      <c r="D885" t="s">
        <v>28</v>
      </c>
      <c r="E885" t="s">
        <v>70</v>
      </c>
      <c r="F885" t="s">
        <v>72</v>
      </c>
      <c r="G885">
        <v>1</v>
      </c>
      <c r="H885">
        <v>111.82</v>
      </c>
      <c r="I885">
        <v>10</v>
      </c>
      <c r="J885" t="s">
        <v>76</v>
      </c>
      <c r="K885" t="s">
        <v>77</v>
      </c>
      <c r="L885">
        <v>111.82</v>
      </c>
      <c r="M885">
        <v>11.182</v>
      </c>
      <c r="N885">
        <v>100.63800000000001</v>
      </c>
      <c r="O8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5" s="9" t="str">
        <f ca="1">IF(OR(ISNUMBER(Table13[[#This Row],[Order_Date]])=FALSE,Table13[[#This Row],[Order_Date]]&lt;DATE(2000,1,1),Table13[[#This Row],[Order_Date]]&gt;TODAY()),"YES","NO")</f>
        <v>NO</v>
      </c>
      <c r="Q885" s="9">
        <f>IF(Table13[[#This Row],[Order_Status]] = "Cancelled",0,IF(Table13[[#This Row],[Order_Status]] = "Returned",Table13[[#This Row],[Net_Sales]] * -1,Table13[[#This Row],[Net_Sales]]))</f>
        <v>100.63800000000001</v>
      </c>
      <c r="R885" s="9" t="str">
        <f>IF(Table13[[#This Row],[Gross_Sales]]&gt;=500, "YES","NO")</f>
        <v>NO</v>
      </c>
    </row>
    <row r="886" spans="1:18" x14ac:dyDescent="0.3">
      <c r="A886">
        <v>100881</v>
      </c>
      <c r="B886" s="8">
        <v>45328.666666666657</v>
      </c>
      <c r="C886" t="s">
        <v>14</v>
      </c>
      <c r="D886" t="s">
        <v>36</v>
      </c>
      <c r="E886" t="s">
        <v>67</v>
      </c>
      <c r="F886" t="s">
        <v>72</v>
      </c>
      <c r="G886">
        <v>5</v>
      </c>
      <c r="H886">
        <v>43.18</v>
      </c>
      <c r="I886">
        <v>15</v>
      </c>
      <c r="J886" t="s">
        <v>76</v>
      </c>
      <c r="K886" t="s">
        <v>77</v>
      </c>
      <c r="L886">
        <v>215.9</v>
      </c>
      <c r="M886">
        <v>32.384999999999998</v>
      </c>
      <c r="N886">
        <v>183.51499999999999</v>
      </c>
      <c r="O8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6" s="9" t="str">
        <f ca="1">IF(OR(ISNUMBER(Table13[[#This Row],[Order_Date]])=FALSE,Table13[[#This Row],[Order_Date]]&lt;DATE(2000,1,1),Table13[[#This Row],[Order_Date]]&gt;TODAY()),"YES","NO")</f>
        <v>NO</v>
      </c>
      <c r="Q886" s="9">
        <f>IF(Table13[[#This Row],[Order_Status]] = "Cancelled",0,IF(Table13[[#This Row],[Order_Status]] = "Returned",Table13[[#This Row],[Net_Sales]] * -1,Table13[[#This Row],[Net_Sales]]))</f>
        <v>183.51499999999999</v>
      </c>
      <c r="R886" s="9" t="str">
        <f>IF(Table13[[#This Row],[Gross_Sales]]&gt;=500, "YES","NO")</f>
        <v>NO</v>
      </c>
    </row>
    <row r="887" spans="1:18" x14ac:dyDescent="0.3">
      <c r="A887">
        <v>100882</v>
      </c>
      <c r="B887" s="8">
        <v>45328.708333333343</v>
      </c>
      <c r="C887" t="s">
        <v>15</v>
      </c>
      <c r="D887" t="s">
        <v>33</v>
      </c>
      <c r="E887" t="s">
        <v>70</v>
      </c>
      <c r="F887" t="s">
        <v>72</v>
      </c>
      <c r="G887">
        <v>3</v>
      </c>
      <c r="H887">
        <v>58.51</v>
      </c>
      <c r="I887">
        <v>10</v>
      </c>
      <c r="J887" t="s">
        <v>74</v>
      </c>
      <c r="K887" t="s">
        <v>77</v>
      </c>
      <c r="L887">
        <v>175.53</v>
      </c>
      <c r="M887">
        <v>17.553000000000001</v>
      </c>
      <c r="N887">
        <v>157.977</v>
      </c>
      <c r="O8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7" s="9" t="str">
        <f ca="1">IF(OR(ISNUMBER(Table13[[#This Row],[Order_Date]])=FALSE,Table13[[#This Row],[Order_Date]]&lt;DATE(2000,1,1),Table13[[#This Row],[Order_Date]]&gt;TODAY()),"YES","NO")</f>
        <v>NO</v>
      </c>
      <c r="Q887" s="9">
        <f>IF(Table13[[#This Row],[Order_Status]] = "Cancelled",0,IF(Table13[[#This Row],[Order_Status]] = "Returned",Table13[[#This Row],[Net_Sales]] * -1,Table13[[#This Row],[Net_Sales]]))</f>
        <v>157.977</v>
      </c>
      <c r="R887" s="9" t="str">
        <f>IF(Table13[[#This Row],[Gross_Sales]]&gt;=500, "YES","NO")</f>
        <v>NO</v>
      </c>
    </row>
    <row r="888" spans="1:18" x14ac:dyDescent="0.3">
      <c r="A888">
        <v>100883</v>
      </c>
      <c r="B888" s="8">
        <v>45328.75</v>
      </c>
      <c r="C888" t="s">
        <v>14</v>
      </c>
      <c r="D888" t="s">
        <v>38</v>
      </c>
      <c r="E888" t="s">
        <v>67</v>
      </c>
      <c r="F888" t="s">
        <v>72</v>
      </c>
      <c r="G888">
        <v>2</v>
      </c>
      <c r="H888">
        <v>6.57</v>
      </c>
      <c r="I888">
        <v>0</v>
      </c>
      <c r="J888" t="s">
        <v>74</v>
      </c>
      <c r="K888" t="s">
        <v>77</v>
      </c>
      <c r="L888">
        <v>13.14</v>
      </c>
      <c r="M888">
        <v>0</v>
      </c>
      <c r="N888">
        <v>13.14</v>
      </c>
      <c r="O8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88" s="9" t="str">
        <f ca="1">IF(OR(ISNUMBER(Table13[[#This Row],[Order_Date]])=FALSE,Table13[[#This Row],[Order_Date]]&lt;DATE(2000,1,1),Table13[[#This Row],[Order_Date]]&gt;TODAY()),"YES","NO")</f>
        <v>NO</v>
      </c>
      <c r="Q888" s="9">
        <f>IF(Table13[[#This Row],[Order_Status]] = "Cancelled",0,IF(Table13[[#This Row],[Order_Status]] = "Returned",Table13[[#This Row],[Net_Sales]] * -1,Table13[[#This Row],[Net_Sales]]))</f>
        <v>13.14</v>
      </c>
      <c r="R888" s="9" t="str">
        <f>IF(Table13[[#This Row],[Gross_Sales]]&gt;=500, "YES","NO")</f>
        <v>NO</v>
      </c>
    </row>
    <row r="889" spans="1:18" x14ac:dyDescent="0.3">
      <c r="A889">
        <v>100884</v>
      </c>
      <c r="B889" s="8">
        <v>45328.791666666657</v>
      </c>
      <c r="C889" t="s">
        <v>15</v>
      </c>
      <c r="D889" t="s">
        <v>48</v>
      </c>
      <c r="E889" t="s">
        <v>67</v>
      </c>
      <c r="F889" t="s">
        <v>72</v>
      </c>
      <c r="G889">
        <v>3</v>
      </c>
      <c r="H889">
        <v>14.38</v>
      </c>
      <c r="I889">
        <v>10</v>
      </c>
      <c r="J889" t="s">
        <v>74</v>
      </c>
      <c r="K889" t="s">
        <v>78</v>
      </c>
      <c r="L889">
        <v>43.14</v>
      </c>
      <c r="M889">
        <v>4.3140000000000001</v>
      </c>
      <c r="N889">
        <v>38.826000000000001</v>
      </c>
      <c r="O8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89" s="9" t="str">
        <f ca="1">IF(OR(ISNUMBER(Table13[[#This Row],[Order_Date]])=FALSE,Table13[[#This Row],[Order_Date]]&lt;DATE(2000,1,1),Table13[[#This Row],[Order_Date]]&gt;TODAY()),"YES","NO")</f>
        <v>NO</v>
      </c>
      <c r="Q889" s="9">
        <f>IF(Table13[[#This Row],[Order_Status]] = "Cancelled",0,IF(Table13[[#This Row],[Order_Status]] = "Returned",Table13[[#This Row],[Net_Sales]] * -1,Table13[[#This Row],[Net_Sales]]))</f>
        <v>-38.826000000000001</v>
      </c>
      <c r="R889" s="9" t="str">
        <f>IF(Table13[[#This Row],[Gross_Sales]]&gt;=500, "YES","NO")</f>
        <v>NO</v>
      </c>
    </row>
    <row r="890" spans="1:18" x14ac:dyDescent="0.3">
      <c r="A890">
        <v>100885</v>
      </c>
      <c r="B890" s="8">
        <v>45328.833333333343</v>
      </c>
      <c r="C890" t="s">
        <v>15</v>
      </c>
      <c r="D890" t="s">
        <v>35</v>
      </c>
      <c r="E890" t="s">
        <v>68</v>
      </c>
      <c r="F890" t="s">
        <v>71</v>
      </c>
      <c r="G890">
        <v>5</v>
      </c>
      <c r="H890">
        <v>34.74</v>
      </c>
      <c r="I890">
        <v>10</v>
      </c>
      <c r="J890" t="s">
        <v>76</v>
      </c>
      <c r="K890" t="s">
        <v>77</v>
      </c>
      <c r="L890">
        <v>173.7</v>
      </c>
      <c r="M890">
        <v>17.37</v>
      </c>
      <c r="N890">
        <v>156.33000000000001</v>
      </c>
      <c r="O8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0" s="9" t="str">
        <f ca="1">IF(OR(ISNUMBER(Table13[[#This Row],[Order_Date]])=FALSE,Table13[[#This Row],[Order_Date]]&lt;DATE(2000,1,1),Table13[[#This Row],[Order_Date]]&gt;TODAY()),"YES","NO")</f>
        <v>NO</v>
      </c>
      <c r="Q890" s="9">
        <f>IF(Table13[[#This Row],[Order_Status]] = "Cancelled",0,IF(Table13[[#This Row],[Order_Status]] = "Returned",Table13[[#This Row],[Net_Sales]] * -1,Table13[[#This Row],[Net_Sales]]))</f>
        <v>156.33000000000001</v>
      </c>
      <c r="R890" s="9" t="str">
        <f>IF(Table13[[#This Row],[Gross_Sales]]&gt;=500, "YES","NO")</f>
        <v>NO</v>
      </c>
    </row>
    <row r="891" spans="1:18" x14ac:dyDescent="0.3">
      <c r="A891">
        <v>100886</v>
      </c>
      <c r="B891" s="8">
        <v>45328.875</v>
      </c>
      <c r="C891" t="s">
        <v>14</v>
      </c>
      <c r="D891" t="s">
        <v>52</v>
      </c>
      <c r="E891" t="s">
        <v>69</v>
      </c>
      <c r="F891" t="s">
        <v>71</v>
      </c>
      <c r="G891">
        <v>2</v>
      </c>
      <c r="H891">
        <v>8.1999999999999993</v>
      </c>
      <c r="I891">
        <v>5</v>
      </c>
      <c r="J891" t="s">
        <v>76</v>
      </c>
      <c r="K891" t="s">
        <v>78</v>
      </c>
      <c r="L891">
        <v>16.399999999999999</v>
      </c>
      <c r="M891">
        <v>0.82</v>
      </c>
      <c r="N891">
        <v>15.58</v>
      </c>
      <c r="O8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91" s="9" t="str">
        <f ca="1">IF(OR(ISNUMBER(Table13[[#This Row],[Order_Date]])=FALSE,Table13[[#This Row],[Order_Date]]&lt;DATE(2000,1,1),Table13[[#This Row],[Order_Date]]&gt;TODAY()),"YES","NO")</f>
        <v>NO</v>
      </c>
      <c r="Q891" s="9">
        <f>IF(Table13[[#This Row],[Order_Status]] = "Cancelled",0,IF(Table13[[#This Row],[Order_Status]] = "Returned",Table13[[#This Row],[Net_Sales]] * -1,Table13[[#This Row],[Net_Sales]]))</f>
        <v>-15.58</v>
      </c>
      <c r="R891" s="9" t="str">
        <f>IF(Table13[[#This Row],[Gross_Sales]]&gt;=500, "YES","NO")</f>
        <v>NO</v>
      </c>
    </row>
    <row r="892" spans="1:18" x14ac:dyDescent="0.3">
      <c r="A892">
        <v>100887</v>
      </c>
      <c r="B892" s="8">
        <v>45328.916666666657</v>
      </c>
      <c r="C892" t="s">
        <v>14</v>
      </c>
      <c r="D892" t="s">
        <v>33</v>
      </c>
      <c r="E892" t="s">
        <v>70</v>
      </c>
      <c r="F892" t="s">
        <v>72</v>
      </c>
      <c r="G892">
        <v>3</v>
      </c>
      <c r="H892">
        <v>77.61</v>
      </c>
      <c r="I892">
        <v>0</v>
      </c>
      <c r="J892" t="s">
        <v>73</v>
      </c>
      <c r="K892" t="s">
        <v>77</v>
      </c>
      <c r="L892">
        <v>232.83</v>
      </c>
      <c r="M892">
        <v>0</v>
      </c>
      <c r="N892">
        <v>232.83</v>
      </c>
      <c r="O8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2" s="9" t="str">
        <f ca="1">IF(OR(ISNUMBER(Table13[[#This Row],[Order_Date]])=FALSE,Table13[[#This Row],[Order_Date]]&lt;DATE(2000,1,1),Table13[[#This Row],[Order_Date]]&gt;TODAY()),"YES","NO")</f>
        <v>NO</v>
      </c>
      <c r="Q892" s="9">
        <f>IF(Table13[[#This Row],[Order_Status]] = "Cancelled",0,IF(Table13[[#This Row],[Order_Status]] = "Returned",Table13[[#This Row],[Net_Sales]] * -1,Table13[[#This Row],[Net_Sales]]))</f>
        <v>232.83</v>
      </c>
      <c r="R892" s="9" t="str">
        <f>IF(Table13[[#This Row],[Gross_Sales]]&gt;=500, "YES","NO")</f>
        <v>NO</v>
      </c>
    </row>
    <row r="893" spans="1:18" x14ac:dyDescent="0.3">
      <c r="A893">
        <v>100888</v>
      </c>
      <c r="B893" s="8">
        <v>45328.958333333343</v>
      </c>
      <c r="C893" t="s">
        <v>15</v>
      </c>
      <c r="D893" t="s">
        <v>34</v>
      </c>
      <c r="E893" t="s">
        <v>67</v>
      </c>
      <c r="F893" t="s">
        <v>72</v>
      </c>
      <c r="G893">
        <v>2</v>
      </c>
      <c r="H893">
        <v>54.04</v>
      </c>
      <c r="I893">
        <v>0</v>
      </c>
      <c r="J893" t="s">
        <v>75</v>
      </c>
      <c r="K893" t="s">
        <v>77</v>
      </c>
      <c r="L893">
        <v>108.08</v>
      </c>
      <c r="M893">
        <v>0</v>
      </c>
      <c r="N893">
        <v>108.08</v>
      </c>
      <c r="O8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3" s="9" t="str">
        <f ca="1">IF(OR(ISNUMBER(Table13[[#This Row],[Order_Date]])=FALSE,Table13[[#This Row],[Order_Date]]&lt;DATE(2000,1,1),Table13[[#This Row],[Order_Date]]&gt;TODAY()),"YES","NO")</f>
        <v>NO</v>
      </c>
      <c r="Q893" s="9">
        <f>IF(Table13[[#This Row],[Order_Status]] = "Cancelled",0,IF(Table13[[#This Row],[Order_Status]] = "Returned",Table13[[#This Row],[Net_Sales]] * -1,Table13[[#This Row],[Net_Sales]]))</f>
        <v>108.08</v>
      </c>
      <c r="R893" s="9" t="str">
        <f>IF(Table13[[#This Row],[Gross_Sales]]&gt;=500, "YES","NO")</f>
        <v>NO</v>
      </c>
    </row>
    <row r="894" spans="1:18" x14ac:dyDescent="0.3">
      <c r="A894">
        <v>100889</v>
      </c>
      <c r="B894" s="8">
        <v>45329</v>
      </c>
      <c r="C894" t="s">
        <v>15</v>
      </c>
      <c r="D894" t="s">
        <v>53</v>
      </c>
      <c r="E894" t="s">
        <v>70</v>
      </c>
      <c r="F894" t="s">
        <v>71</v>
      </c>
      <c r="G894">
        <v>1</v>
      </c>
      <c r="H894">
        <v>68.040000000000006</v>
      </c>
      <c r="I894">
        <v>5</v>
      </c>
      <c r="J894" t="s">
        <v>73</v>
      </c>
      <c r="K894" t="s">
        <v>77</v>
      </c>
      <c r="L894">
        <v>68.040000000000006</v>
      </c>
      <c r="M894">
        <v>3.402000000000001</v>
      </c>
      <c r="N894">
        <v>64.638000000000005</v>
      </c>
      <c r="O8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4" s="9" t="str">
        <f ca="1">IF(OR(ISNUMBER(Table13[[#This Row],[Order_Date]])=FALSE,Table13[[#This Row],[Order_Date]]&lt;DATE(2000,1,1),Table13[[#This Row],[Order_Date]]&gt;TODAY()),"YES","NO")</f>
        <v>NO</v>
      </c>
      <c r="Q894" s="9">
        <f>IF(Table13[[#This Row],[Order_Status]] = "Cancelled",0,IF(Table13[[#This Row],[Order_Status]] = "Returned",Table13[[#This Row],[Net_Sales]] * -1,Table13[[#This Row],[Net_Sales]]))</f>
        <v>64.638000000000005</v>
      </c>
      <c r="R894" s="9" t="str">
        <f>IF(Table13[[#This Row],[Gross_Sales]]&gt;=500, "YES","NO")</f>
        <v>NO</v>
      </c>
    </row>
    <row r="895" spans="1:18" x14ac:dyDescent="0.3">
      <c r="A895">
        <v>100890</v>
      </c>
      <c r="B895" s="8">
        <v>45329.041666666657</v>
      </c>
      <c r="C895" t="s">
        <v>14</v>
      </c>
      <c r="D895" t="s">
        <v>27</v>
      </c>
      <c r="E895" t="s">
        <v>69</v>
      </c>
      <c r="F895" t="s">
        <v>71</v>
      </c>
      <c r="G895">
        <v>3</v>
      </c>
      <c r="H895">
        <v>25.08</v>
      </c>
      <c r="I895">
        <v>10</v>
      </c>
      <c r="J895" t="s">
        <v>76</v>
      </c>
      <c r="K895" t="s">
        <v>78</v>
      </c>
      <c r="L895">
        <v>75.239999999999995</v>
      </c>
      <c r="M895">
        <v>7.524</v>
      </c>
      <c r="N895">
        <v>67.715999999999994</v>
      </c>
      <c r="O8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895" s="9" t="str">
        <f ca="1">IF(OR(ISNUMBER(Table13[[#This Row],[Order_Date]])=FALSE,Table13[[#This Row],[Order_Date]]&lt;DATE(2000,1,1),Table13[[#This Row],[Order_Date]]&gt;TODAY()),"YES","NO")</f>
        <v>NO</v>
      </c>
      <c r="Q895" s="9">
        <f>IF(Table13[[#This Row],[Order_Status]] = "Cancelled",0,IF(Table13[[#This Row],[Order_Status]] = "Returned",Table13[[#This Row],[Net_Sales]] * -1,Table13[[#This Row],[Net_Sales]]))</f>
        <v>-67.715999999999994</v>
      </c>
      <c r="R895" s="9" t="str">
        <f>IF(Table13[[#This Row],[Gross_Sales]]&gt;=500, "YES","NO")</f>
        <v>NO</v>
      </c>
    </row>
    <row r="896" spans="1:18" x14ac:dyDescent="0.3">
      <c r="A896">
        <v>100891</v>
      </c>
      <c r="B896" s="8">
        <v>45329.083333333343</v>
      </c>
      <c r="C896" t="s">
        <v>14</v>
      </c>
      <c r="D896" t="s">
        <v>50</v>
      </c>
      <c r="E896" t="s">
        <v>69</v>
      </c>
      <c r="F896" t="s">
        <v>71</v>
      </c>
      <c r="G896">
        <v>2</v>
      </c>
      <c r="H896">
        <v>39.03</v>
      </c>
      <c r="I896">
        <v>15</v>
      </c>
      <c r="J896" t="s">
        <v>74</v>
      </c>
      <c r="K896" t="s">
        <v>77</v>
      </c>
      <c r="L896">
        <v>78.06</v>
      </c>
      <c r="M896">
        <v>11.709</v>
      </c>
      <c r="N896">
        <v>66.350999999999999</v>
      </c>
      <c r="O8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6" s="9" t="str">
        <f ca="1">IF(OR(ISNUMBER(Table13[[#This Row],[Order_Date]])=FALSE,Table13[[#This Row],[Order_Date]]&lt;DATE(2000,1,1),Table13[[#This Row],[Order_Date]]&gt;TODAY()),"YES","NO")</f>
        <v>NO</v>
      </c>
      <c r="Q896" s="9">
        <f>IF(Table13[[#This Row],[Order_Status]] = "Cancelled",0,IF(Table13[[#This Row],[Order_Status]] = "Returned",Table13[[#This Row],[Net_Sales]] * -1,Table13[[#This Row],[Net_Sales]]))</f>
        <v>66.350999999999999</v>
      </c>
      <c r="R896" s="9" t="str">
        <f>IF(Table13[[#This Row],[Gross_Sales]]&gt;=500, "YES","NO")</f>
        <v>NO</v>
      </c>
    </row>
    <row r="897" spans="1:18" x14ac:dyDescent="0.3">
      <c r="A897">
        <v>100892</v>
      </c>
      <c r="B897" s="8">
        <v>45329.125</v>
      </c>
      <c r="C897" t="s">
        <v>14</v>
      </c>
      <c r="D897" t="s">
        <v>30</v>
      </c>
      <c r="E897" t="s">
        <v>66</v>
      </c>
      <c r="F897" t="s">
        <v>71</v>
      </c>
      <c r="G897">
        <v>2</v>
      </c>
      <c r="H897">
        <v>81.34</v>
      </c>
      <c r="I897">
        <v>0</v>
      </c>
      <c r="J897" t="s">
        <v>76</v>
      </c>
      <c r="K897" t="s">
        <v>77</v>
      </c>
      <c r="L897">
        <v>162.68</v>
      </c>
      <c r="M897">
        <v>0</v>
      </c>
      <c r="N897">
        <v>162.68</v>
      </c>
      <c r="O8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7" s="9" t="str">
        <f ca="1">IF(OR(ISNUMBER(Table13[[#This Row],[Order_Date]])=FALSE,Table13[[#This Row],[Order_Date]]&lt;DATE(2000,1,1),Table13[[#This Row],[Order_Date]]&gt;TODAY()),"YES","NO")</f>
        <v>NO</v>
      </c>
      <c r="Q897" s="9">
        <f>IF(Table13[[#This Row],[Order_Status]] = "Cancelled",0,IF(Table13[[#This Row],[Order_Status]] = "Returned",Table13[[#This Row],[Net_Sales]] * -1,Table13[[#This Row],[Net_Sales]]))</f>
        <v>162.68</v>
      </c>
      <c r="R897" s="9" t="str">
        <f>IF(Table13[[#This Row],[Gross_Sales]]&gt;=500, "YES","NO")</f>
        <v>NO</v>
      </c>
    </row>
    <row r="898" spans="1:18" x14ac:dyDescent="0.3">
      <c r="A898">
        <v>100893</v>
      </c>
      <c r="B898" s="8">
        <v>45329.166666666657</v>
      </c>
      <c r="C898" t="s">
        <v>14</v>
      </c>
      <c r="D898" t="s">
        <v>22</v>
      </c>
      <c r="E898" t="s">
        <v>69</v>
      </c>
      <c r="F898" t="s">
        <v>72</v>
      </c>
      <c r="G898">
        <v>2</v>
      </c>
      <c r="H898">
        <v>116.01</v>
      </c>
      <c r="I898">
        <v>0</v>
      </c>
      <c r="J898" t="s">
        <v>75</v>
      </c>
      <c r="K898" t="s">
        <v>77</v>
      </c>
      <c r="L898">
        <v>232.02</v>
      </c>
      <c r="M898">
        <v>0</v>
      </c>
      <c r="N898">
        <v>232.02</v>
      </c>
      <c r="O8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8" s="9" t="str">
        <f ca="1">IF(OR(ISNUMBER(Table13[[#This Row],[Order_Date]])=FALSE,Table13[[#This Row],[Order_Date]]&lt;DATE(2000,1,1),Table13[[#This Row],[Order_Date]]&gt;TODAY()),"YES","NO")</f>
        <v>NO</v>
      </c>
      <c r="Q898" s="9">
        <f>IF(Table13[[#This Row],[Order_Status]] = "Cancelled",0,IF(Table13[[#This Row],[Order_Status]] = "Returned",Table13[[#This Row],[Net_Sales]] * -1,Table13[[#This Row],[Net_Sales]]))</f>
        <v>232.02</v>
      </c>
      <c r="R898" s="9" t="str">
        <f>IF(Table13[[#This Row],[Gross_Sales]]&gt;=500, "YES","NO")</f>
        <v>NO</v>
      </c>
    </row>
    <row r="899" spans="1:18" x14ac:dyDescent="0.3">
      <c r="A899">
        <v>100894</v>
      </c>
      <c r="B899" s="8">
        <v>45329.208333333343</v>
      </c>
      <c r="C899" t="s">
        <v>14</v>
      </c>
      <c r="D899" t="s">
        <v>36</v>
      </c>
      <c r="E899" t="s">
        <v>68</v>
      </c>
      <c r="F899" t="s">
        <v>71</v>
      </c>
      <c r="G899">
        <v>3</v>
      </c>
      <c r="H899">
        <v>10.8</v>
      </c>
      <c r="I899">
        <v>10</v>
      </c>
      <c r="J899" t="s">
        <v>73</v>
      </c>
      <c r="K899" t="s">
        <v>77</v>
      </c>
      <c r="L899">
        <v>32.400000000000013</v>
      </c>
      <c r="M899">
        <v>3.2400000000000011</v>
      </c>
      <c r="N899">
        <v>29.16</v>
      </c>
      <c r="O8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899" s="9" t="str">
        <f ca="1">IF(OR(ISNUMBER(Table13[[#This Row],[Order_Date]])=FALSE,Table13[[#This Row],[Order_Date]]&lt;DATE(2000,1,1),Table13[[#This Row],[Order_Date]]&gt;TODAY()),"YES","NO")</f>
        <v>NO</v>
      </c>
      <c r="Q899" s="9">
        <f>IF(Table13[[#This Row],[Order_Status]] = "Cancelled",0,IF(Table13[[#This Row],[Order_Status]] = "Returned",Table13[[#This Row],[Net_Sales]] * -1,Table13[[#This Row],[Net_Sales]]))</f>
        <v>29.16</v>
      </c>
      <c r="R899" s="9" t="str">
        <f>IF(Table13[[#This Row],[Gross_Sales]]&gt;=500, "YES","NO")</f>
        <v>NO</v>
      </c>
    </row>
    <row r="900" spans="1:18" x14ac:dyDescent="0.3">
      <c r="A900">
        <v>100895</v>
      </c>
      <c r="B900" s="8">
        <v>45329.25</v>
      </c>
      <c r="C900" t="s">
        <v>15</v>
      </c>
      <c r="D900" t="s">
        <v>24</v>
      </c>
      <c r="E900" t="s">
        <v>67</v>
      </c>
      <c r="F900" t="s">
        <v>72</v>
      </c>
      <c r="G900">
        <v>4</v>
      </c>
      <c r="H900">
        <v>107.39</v>
      </c>
      <c r="I900">
        <v>10</v>
      </c>
      <c r="J900" t="s">
        <v>73</v>
      </c>
      <c r="K900" t="s">
        <v>77</v>
      </c>
      <c r="L900">
        <v>429.56</v>
      </c>
      <c r="M900">
        <v>42.956000000000003</v>
      </c>
      <c r="N900">
        <v>386.60399999999998</v>
      </c>
      <c r="O9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0" s="9" t="str">
        <f ca="1">IF(OR(ISNUMBER(Table13[[#This Row],[Order_Date]])=FALSE,Table13[[#This Row],[Order_Date]]&lt;DATE(2000,1,1),Table13[[#This Row],[Order_Date]]&gt;TODAY()),"YES","NO")</f>
        <v>NO</v>
      </c>
      <c r="Q900" s="9">
        <f>IF(Table13[[#This Row],[Order_Status]] = "Cancelled",0,IF(Table13[[#This Row],[Order_Status]] = "Returned",Table13[[#This Row],[Net_Sales]] * -1,Table13[[#This Row],[Net_Sales]]))</f>
        <v>386.60399999999998</v>
      </c>
      <c r="R900" s="9" t="str">
        <f>IF(Table13[[#This Row],[Gross_Sales]]&gt;=500, "YES","NO")</f>
        <v>NO</v>
      </c>
    </row>
    <row r="901" spans="1:18" x14ac:dyDescent="0.3">
      <c r="A901">
        <v>100896</v>
      </c>
      <c r="B901" s="8">
        <v>45329.291666666657</v>
      </c>
      <c r="C901" t="s">
        <v>15</v>
      </c>
      <c r="D901" t="s">
        <v>59</v>
      </c>
      <c r="E901" t="s">
        <v>66</v>
      </c>
      <c r="F901" t="s">
        <v>72</v>
      </c>
      <c r="G901">
        <v>3</v>
      </c>
      <c r="H901">
        <v>71.34</v>
      </c>
      <c r="I901">
        <v>0</v>
      </c>
      <c r="J901" t="s">
        <v>74</v>
      </c>
      <c r="K901" t="s">
        <v>78</v>
      </c>
      <c r="L901">
        <v>214.02</v>
      </c>
      <c r="M901">
        <v>0</v>
      </c>
      <c r="N901">
        <v>214.02</v>
      </c>
      <c r="O9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01" s="9" t="str">
        <f ca="1">IF(OR(ISNUMBER(Table13[[#This Row],[Order_Date]])=FALSE,Table13[[#This Row],[Order_Date]]&lt;DATE(2000,1,1),Table13[[#This Row],[Order_Date]]&gt;TODAY()),"YES","NO")</f>
        <v>NO</v>
      </c>
      <c r="Q901" s="9">
        <f>IF(Table13[[#This Row],[Order_Status]] = "Cancelled",0,IF(Table13[[#This Row],[Order_Status]] = "Returned",Table13[[#This Row],[Net_Sales]] * -1,Table13[[#This Row],[Net_Sales]]))</f>
        <v>-214.02</v>
      </c>
      <c r="R901" s="9" t="str">
        <f>IF(Table13[[#This Row],[Gross_Sales]]&gt;=500, "YES","NO")</f>
        <v>NO</v>
      </c>
    </row>
    <row r="902" spans="1:18" x14ac:dyDescent="0.3">
      <c r="A902">
        <v>100897</v>
      </c>
      <c r="B902" s="8">
        <v>45329.333333333343</v>
      </c>
      <c r="C902" t="s">
        <v>15</v>
      </c>
      <c r="D902" t="s">
        <v>17</v>
      </c>
      <c r="E902" t="s">
        <v>68</v>
      </c>
      <c r="F902" t="s">
        <v>72</v>
      </c>
      <c r="G902">
        <v>5</v>
      </c>
      <c r="H902">
        <v>69.849999999999994</v>
      </c>
      <c r="I902">
        <v>10</v>
      </c>
      <c r="J902" t="s">
        <v>73</v>
      </c>
      <c r="K902" t="s">
        <v>79</v>
      </c>
      <c r="L902">
        <v>349.25</v>
      </c>
      <c r="M902">
        <v>34.924999999999997</v>
      </c>
      <c r="N902">
        <v>314.32499999999999</v>
      </c>
      <c r="O9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02" s="9" t="str">
        <f ca="1">IF(OR(ISNUMBER(Table13[[#This Row],[Order_Date]])=FALSE,Table13[[#This Row],[Order_Date]]&lt;DATE(2000,1,1),Table13[[#This Row],[Order_Date]]&gt;TODAY()),"YES","NO")</f>
        <v>NO</v>
      </c>
      <c r="Q902" s="9">
        <f>IF(Table13[[#This Row],[Order_Status]] = "Cancelled",0,IF(Table13[[#This Row],[Order_Status]] = "Returned",Table13[[#This Row],[Net_Sales]] * -1,Table13[[#This Row],[Net_Sales]]))</f>
        <v>0</v>
      </c>
      <c r="R902" s="9" t="str">
        <f>IF(Table13[[#This Row],[Gross_Sales]]&gt;=500, "YES","NO")</f>
        <v>NO</v>
      </c>
    </row>
    <row r="903" spans="1:18" x14ac:dyDescent="0.3">
      <c r="A903">
        <v>100898</v>
      </c>
      <c r="B903" s="8">
        <v>45329.375</v>
      </c>
      <c r="C903" t="s">
        <v>15</v>
      </c>
      <c r="D903" t="s">
        <v>59</v>
      </c>
      <c r="E903" t="s">
        <v>70</v>
      </c>
      <c r="F903" t="s">
        <v>71</v>
      </c>
      <c r="G903">
        <v>3</v>
      </c>
      <c r="H903">
        <v>62.53</v>
      </c>
      <c r="I903">
        <v>15</v>
      </c>
      <c r="J903" t="s">
        <v>73</v>
      </c>
      <c r="K903" t="s">
        <v>77</v>
      </c>
      <c r="L903">
        <v>187.59</v>
      </c>
      <c r="M903">
        <v>28.138500000000001</v>
      </c>
      <c r="N903">
        <v>159.45150000000001</v>
      </c>
      <c r="O9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3" s="9" t="str">
        <f ca="1">IF(OR(ISNUMBER(Table13[[#This Row],[Order_Date]])=FALSE,Table13[[#This Row],[Order_Date]]&lt;DATE(2000,1,1),Table13[[#This Row],[Order_Date]]&gt;TODAY()),"YES","NO")</f>
        <v>NO</v>
      </c>
      <c r="Q903" s="9">
        <f>IF(Table13[[#This Row],[Order_Status]] = "Cancelled",0,IF(Table13[[#This Row],[Order_Status]] = "Returned",Table13[[#This Row],[Net_Sales]] * -1,Table13[[#This Row],[Net_Sales]]))</f>
        <v>159.45150000000001</v>
      </c>
      <c r="R903" s="9" t="str">
        <f>IF(Table13[[#This Row],[Gross_Sales]]&gt;=500, "YES","NO")</f>
        <v>NO</v>
      </c>
    </row>
    <row r="904" spans="1:18" x14ac:dyDescent="0.3">
      <c r="A904">
        <v>100899</v>
      </c>
      <c r="B904" s="8">
        <v>45329.416666666657</v>
      </c>
      <c r="C904" t="s">
        <v>14</v>
      </c>
      <c r="D904" t="s">
        <v>38</v>
      </c>
      <c r="E904" t="s">
        <v>67</v>
      </c>
      <c r="F904" t="s">
        <v>71</v>
      </c>
      <c r="G904">
        <v>2</v>
      </c>
      <c r="H904">
        <v>12.98</v>
      </c>
      <c r="I904">
        <v>0</v>
      </c>
      <c r="J904" t="s">
        <v>76</v>
      </c>
      <c r="K904" t="s">
        <v>78</v>
      </c>
      <c r="L904">
        <v>25.96</v>
      </c>
      <c r="M904">
        <v>0</v>
      </c>
      <c r="N904">
        <v>25.96</v>
      </c>
      <c r="O9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04" s="9" t="str">
        <f ca="1">IF(OR(ISNUMBER(Table13[[#This Row],[Order_Date]])=FALSE,Table13[[#This Row],[Order_Date]]&lt;DATE(2000,1,1),Table13[[#This Row],[Order_Date]]&gt;TODAY()),"YES","NO")</f>
        <v>NO</v>
      </c>
      <c r="Q904" s="9">
        <f>IF(Table13[[#This Row],[Order_Status]] = "Cancelled",0,IF(Table13[[#This Row],[Order_Status]] = "Returned",Table13[[#This Row],[Net_Sales]] * -1,Table13[[#This Row],[Net_Sales]]))</f>
        <v>-25.96</v>
      </c>
      <c r="R904" s="9" t="str">
        <f>IF(Table13[[#This Row],[Gross_Sales]]&gt;=500, "YES","NO")</f>
        <v>NO</v>
      </c>
    </row>
    <row r="905" spans="1:18" x14ac:dyDescent="0.3">
      <c r="A905">
        <v>100900</v>
      </c>
      <c r="B905" s="8">
        <v>45329.458333333343</v>
      </c>
      <c r="C905" t="s">
        <v>14</v>
      </c>
      <c r="D905" t="s">
        <v>60</v>
      </c>
      <c r="E905" t="s">
        <v>69</v>
      </c>
      <c r="F905" t="s">
        <v>72</v>
      </c>
      <c r="G905">
        <v>1</v>
      </c>
      <c r="H905">
        <v>15.34</v>
      </c>
      <c r="I905">
        <v>15</v>
      </c>
      <c r="J905" t="s">
        <v>73</v>
      </c>
      <c r="K905" t="s">
        <v>77</v>
      </c>
      <c r="L905">
        <v>15.34</v>
      </c>
      <c r="M905">
        <v>2.3010000000000002</v>
      </c>
      <c r="N905">
        <v>13.039</v>
      </c>
      <c r="O9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5" s="9" t="str">
        <f ca="1">IF(OR(ISNUMBER(Table13[[#This Row],[Order_Date]])=FALSE,Table13[[#This Row],[Order_Date]]&lt;DATE(2000,1,1),Table13[[#This Row],[Order_Date]]&gt;TODAY()),"YES","NO")</f>
        <v>NO</v>
      </c>
      <c r="Q905" s="9">
        <f>IF(Table13[[#This Row],[Order_Status]] = "Cancelled",0,IF(Table13[[#This Row],[Order_Status]] = "Returned",Table13[[#This Row],[Net_Sales]] * -1,Table13[[#This Row],[Net_Sales]]))</f>
        <v>13.039</v>
      </c>
      <c r="R905" s="9" t="str">
        <f>IF(Table13[[#This Row],[Gross_Sales]]&gt;=500, "YES","NO")</f>
        <v>NO</v>
      </c>
    </row>
    <row r="906" spans="1:18" x14ac:dyDescent="0.3">
      <c r="A906">
        <v>100901</v>
      </c>
      <c r="B906" s="8">
        <v>45329.5</v>
      </c>
      <c r="C906" t="s">
        <v>14</v>
      </c>
      <c r="D906" t="s">
        <v>53</v>
      </c>
      <c r="E906" t="s">
        <v>67</v>
      </c>
      <c r="F906" t="s">
        <v>72</v>
      </c>
      <c r="G906">
        <v>3</v>
      </c>
      <c r="H906">
        <v>74.099999999999994</v>
      </c>
      <c r="I906">
        <v>15</v>
      </c>
      <c r="J906" t="s">
        <v>73</v>
      </c>
      <c r="K906" t="s">
        <v>77</v>
      </c>
      <c r="L906">
        <v>222.3</v>
      </c>
      <c r="M906">
        <v>33.344999999999999</v>
      </c>
      <c r="N906">
        <v>188.95500000000001</v>
      </c>
      <c r="O90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6" s="9" t="str">
        <f ca="1">IF(OR(ISNUMBER(Table13[[#This Row],[Order_Date]])=FALSE,Table13[[#This Row],[Order_Date]]&lt;DATE(2000,1,1),Table13[[#This Row],[Order_Date]]&gt;TODAY()),"YES","NO")</f>
        <v>NO</v>
      </c>
      <c r="Q906" s="9">
        <f>IF(Table13[[#This Row],[Order_Status]] = "Cancelled",0,IF(Table13[[#This Row],[Order_Status]] = "Returned",Table13[[#This Row],[Net_Sales]] * -1,Table13[[#This Row],[Net_Sales]]))</f>
        <v>188.95500000000001</v>
      </c>
      <c r="R906" s="9" t="str">
        <f>IF(Table13[[#This Row],[Gross_Sales]]&gt;=500, "YES","NO")</f>
        <v>NO</v>
      </c>
    </row>
    <row r="907" spans="1:18" x14ac:dyDescent="0.3">
      <c r="A907">
        <v>100902</v>
      </c>
      <c r="B907" s="8">
        <v>45329.541666666657</v>
      </c>
      <c r="C907" t="s">
        <v>15</v>
      </c>
      <c r="D907" t="s">
        <v>57</v>
      </c>
      <c r="E907" t="s">
        <v>70</v>
      </c>
      <c r="F907" t="s">
        <v>72</v>
      </c>
      <c r="G907">
        <v>3</v>
      </c>
      <c r="H907">
        <v>44.21</v>
      </c>
      <c r="I907">
        <v>10</v>
      </c>
      <c r="J907" t="s">
        <v>73</v>
      </c>
      <c r="K907" t="s">
        <v>77</v>
      </c>
      <c r="L907">
        <v>132.63</v>
      </c>
      <c r="M907">
        <v>13.263</v>
      </c>
      <c r="N907">
        <v>119.367</v>
      </c>
      <c r="O90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7" s="9" t="str">
        <f ca="1">IF(OR(ISNUMBER(Table13[[#This Row],[Order_Date]])=FALSE,Table13[[#This Row],[Order_Date]]&lt;DATE(2000,1,1),Table13[[#This Row],[Order_Date]]&gt;TODAY()),"YES","NO")</f>
        <v>NO</v>
      </c>
      <c r="Q907" s="9">
        <f>IF(Table13[[#This Row],[Order_Status]] = "Cancelled",0,IF(Table13[[#This Row],[Order_Status]] = "Returned",Table13[[#This Row],[Net_Sales]] * -1,Table13[[#This Row],[Net_Sales]]))</f>
        <v>119.367</v>
      </c>
      <c r="R907" s="9" t="str">
        <f>IF(Table13[[#This Row],[Gross_Sales]]&gt;=500, "YES","NO")</f>
        <v>NO</v>
      </c>
    </row>
    <row r="908" spans="1:18" x14ac:dyDescent="0.3">
      <c r="A908">
        <v>100903</v>
      </c>
      <c r="B908" s="8">
        <v>45329.583333333343</v>
      </c>
      <c r="C908" t="s">
        <v>15</v>
      </c>
      <c r="D908" t="s">
        <v>50</v>
      </c>
      <c r="E908" t="s">
        <v>66</v>
      </c>
      <c r="F908" t="s">
        <v>71</v>
      </c>
      <c r="G908">
        <v>2</v>
      </c>
      <c r="H908">
        <v>110.49</v>
      </c>
      <c r="I908">
        <v>15</v>
      </c>
      <c r="J908" t="s">
        <v>74</v>
      </c>
      <c r="K908" t="s">
        <v>77</v>
      </c>
      <c r="L908">
        <v>220.98</v>
      </c>
      <c r="M908">
        <v>33.146999999999998</v>
      </c>
      <c r="N908">
        <v>187.833</v>
      </c>
      <c r="O90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08" s="9" t="str">
        <f ca="1">IF(OR(ISNUMBER(Table13[[#This Row],[Order_Date]])=FALSE,Table13[[#This Row],[Order_Date]]&lt;DATE(2000,1,1),Table13[[#This Row],[Order_Date]]&gt;TODAY()),"YES","NO")</f>
        <v>NO</v>
      </c>
      <c r="Q908" s="9">
        <f>IF(Table13[[#This Row],[Order_Status]] = "Cancelled",0,IF(Table13[[#This Row],[Order_Status]] = "Returned",Table13[[#This Row],[Net_Sales]] * -1,Table13[[#This Row],[Net_Sales]]))</f>
        <v>187.833</v>
      </c>
      <c r="R908" s="9" t="str">
        <f>IF(Table13[[#This Row],[Gross_Sales]]&gt;=500, "YES","NO")</f>
        <v>NO</v>
      </c>
    </row>
    <row r="909" spans="1:18" x14ac:dyDescent="0.3">
      <c r="A909">
        <v>100904</v>
      </c>
      <c r="B909" s="8">
        <v>45329.625</v>
      </c>
      <c r="C909" t="s">
        <v>14</v>
      </c>
      <c r="D909" t="s">
        <v>50</v>
      </c>
      <c r="E909" t="s">
        <v>66</v>
      </c>
      <c r="F909" t="s">
        <v>72</v>
      </c>
      <c r="G909">
        <v>1</v>
      </c>
      <c r="H909">
        <v>51.76</v>
      </c>
      <c r="I909">
        <v>10</v>
      </c>
      <c r="J909" t="s">
        <v>74</v>
      </c>
      <c r="K909" t="s">
        <v>79</v>
      </c>
      <c r="L909">
        <v>51.76</v>
      </c>
      <c r="M909">
        <v>5.1760000000000002</v>
      </c>
      <c r="N909">
        <v>46.584000000000003</v>
      </c>
      <c r="O90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09" s="9" t="str">
        <f ca="1">IF(OR(ISNUMBER(Table13[[#This Row],[Order_Date]])=FALSE,Table13[[#This Row],[Order_Date]]&lt;DATE(2000,1,1),Table13[[#This Row],[Order_Date]]&gt;TODAY()),"YES","NO")</f>
        <v>NO</v>
      </c>
      <c r="Q909" s="9">
        <f>IF(Table13[[#This Row],[Order_Status]] = "Cancelled",0,IF(Table13[[#This Row],[Order_Status]] = "Returned",Table13[[#This Row],[Net_Sales]] * -1,Table13[[#This Row],[Net_Sales]]))</f>
        <v>0</v>
      </c>
      <c r="R909" s="9" t="str">
        <f>IF(Table13[[#This Row],[Gross_Sales]]&gt;=500, "YES","NO")</f>
        <v>NO</v>
      </c>
    </row>
    <row r="910" spans="1:18" x14ac:dyDescent="0.3">
      <c r="A910">
        <v>100905</v>
      </c>
      <c r="B910" s="8">
        <v>45329.666666666657</v>
      </c>
      <c r="C910" t="s">
        <v>14</v>
      </c>
      <c r="D910" t="s">
        <v>62</v>
      </c>
      <c r="E910" t="s">
        <v>66</v>
      </c>
      <c r="F910" t="s">
        <v>71</v>
      </c>
      <c r="G910">
        <v>1</v>
      </c>
      <c r="H910">
        <v>21.48</v>
      </c>
      <c r="I910">
        <v>5</v>
      </c>
      <c r="J910" t="s">
        <v>76</v>
      </c>
      <c r="K910" t="s">
        <v>77</v>
      </c>
      <c r="L910">
        <v>21.48</v>
      </c>
      <c r="M910">
        <v>1.0740000000000001</v>
      </c>
      <c r="N910">
        <v>20.405999999999999</v>
      </c>
      <c r="O91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0" s="9" t="str">
        <f ca="1">IF(OR(ISNUMBER(Table13[[#This Row],[Order_Date]])=FALSE,Table13[[#This Row],[Order_Date]]&lt;DATE(2000,1,1),Table13[[#This Row],[Order_Date]]&gt;TODAY()),"YES","NO")</f>
        <v>NO</v>
      </c>
      <c r="Q910" s="9">
        <f>IF(Table13[[#This Row],[Order_Status]] = "Cancelled",0,IF(Table13[[#This Row],[Order_Status]] = "Returned",Table13[[#This Row],[Net_Sales]] * -1,Table13[[#This Row],[Net_Sales]]))</f>
        <v>20.405999999999999</v>
      </c>
      <c r="R910" s="9" t="str">
        <f>IF(Table13[[#This Row],[Gross_Sales]]&gt;=500, "YES","NO")</f>
        <v>NO</v>
      </c>
    </row>
    <row r="911" spans="1:18" x14ac:dyDescent="0.3">
      <c r="A911">
        <v>100906</v>
      </c>
      <c r="B911" s="8">
        <v>45329.708333333343</v>
      </c>
      <c r="C911" t="s">
        <v>15</v>
      </c>
      <c r="D911" t="s">
        <v>26</v>
      </c>
      <c r="E911" t="s">
        <v>69</v>
      </c>
      <c r="F911" t="s">
        <v>72</v>
      </c>
      <c r="G911">
        <v>5</v>
      </c>
      <c r="H911">
        <v>87.19</v>
      </c>
      <c r="I911">
        <v>10</v>
      </c>
      <c r="J911" t="s">
        <v>73</v>
      </c>
      <c r="K911" t="s">
        <v>77</v>
      </c>
      <c r="L911">
        <v>435.95</v>
      </c>
      <c r="M911">
        <v>43.594999999999999</v>
      </c>
      <c r="N911">
        <v>392.35500000000002</v>
      </c>
      <c r="O91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1" s="9" t="str">
        <f ca="1">IF(OR(ISNUMBER(Table13[[#This Row],[Order_Date]])=FALSE,Table13[[#This Row],[Order_Date]]&lt;DATE(2000,1,1),Table13[[#This Row],[Order_Date]]&gt;TODAY()),"YES","NO")</f>
        <v>NO</v>
      </c>
      <c r="Q911" s="9">
        <f>IF(Table13[[#This Row],[Order_Status]] = "Cancelled",0,IF(Table13[[#This Row],[Order_Status]] = "Returned",Table13[[#This Row],[Net_Sales]] * -1,Table13[[#This Row],[Net_Sales]]))</f>
        <v>392.35500000000002</v>
      </c>
      <c r="R911" s="9" t="str">
        <f>IF(Table13[[#This Row],[Gross_Sales]]&gt;=500, "YES","NO")</f>
        <v>NO</v>
      </c>
    </row>
    <row r="912" spans="1:18" x14ac:dyDescent="0.3">
      <c r="A912">
        <v>100907</v>
      </c>
      <c r="B912" s="8">
        <v>45329.75</v>
      </c>
      <c r="C912" t="s">
        <v>15</v>
      </c>
      <c r="D912" t="s">
        <v>56</v>
      </c>
      <c r="E912" t="s">
        <v>68</v>
      </c>
      <c r="F912" t="s">
        <v>72</v>
      </c>
      <c r="G912">
        <v>3</v>
      </c>
      <c r="H912">
        <v>38.74</v>
      </c>
      <c r="I912">
        <v>15</v>
      </c>
      <c r="J912" t="s">
        <v>74</v>
      </c>
      <c r="K912" t="s">
        <v>77</v>
      </c>
      <c r="L912">
        <v>116.22</v>
      </c>
      <c r="M912">
        <v>17.433</v>
      </c>
      <c r="N912">
        <v>98.787000000000006</v>
      </c>
      <c r="O91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2" s="9" t="str">
        <f ca="1">IF(OR(ISNUMBER(Table13[[#This Row],[Order_Date]])=FALSE,Table13[[#This Row],[Order_Date]]&lt;DATE(2000,1,1),Table13[[#This Row],[Order_Date]]&gt;TODAY()),"YES","NO")</f>
        <v>NO</v>
      </c>
      <c r="Q912" s="9">
        <f>IF(Table13[[#This Row],[Order_Status]] = "Cancelled",0,IF(Table13[[#This Row],[Order_Status]] = "Returned",Table13[[#This Row],[Net_Sales]] * -1,Table13[[#This Row],[Net_Sales]]))</f>
        <v>98.787000000000006</v>
      </c>
      <c r="R912" s="9" t="str">
        <f>IF(Table13[[#This Row],[Gross_Sales]]&gt;=500, "YES","NO")</f>
        <v>NO</v>
      </c>
    </row>
    <row r="913" spans="1:18" x14ac:dyDescent="0.3">
      <c r="A913">
        <v>100908</v>
      </c>
      <c r="B913" s="8">
        <v>45329.791666666657</v>
      </c>
      <c r="C913" t="s">
        <v>14</v>
      </c>
      <c r="D913" t="s">
        <v>24</v>
      </c>
      <c r="E913" t="s">
        <v>68</v>
      </c>
      <c r="F913" t="s">
        <v>72</v>
      </c>
      <c r="G913">
        <v>1</v>
      </c>
      <c r="H913">
        <v>65.430000000000007</v>
      </c>
      <c r="I913">
        <v>5</v>
      </c>
      <c r="J913" t="s">
        <v>74</v>
      </c>
      <c r="K913" t="s">
        <v>77</v>
      </c>
      <c r="L913">
        <v>65.430000000000007</v>
      </c>
      <c r="M913">
        <v>3.271500000000001</v>
      </c>
      <c r="N913">
        <v>62.158499999999997</v>
      </c>
      <c r="O91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3" s="9" t="str">
        <f ca="1">IF(OR(ISNUMBER(Table13[[#This Row],[Order_Date]])=FALSE,Table13[[#This Row],[Order_Date]]&lt;DATE(2000,1,1),Table13[[#This Row],[Order_Date]]&gt;TODAY()),"YES","NO")</f>
        <v>NO</v>
      </c>
      <c r="Q913" s="9">
        <f>IF(Table13[[#This Row],[Order_Status]] = "Cancelled",0,IF(Table13[[#This Row],[Order_Status]] = "Returned",Table13[[#This Row],[Net_Sales]] * -1,Table13[[#This Row],[Net_Sales]]))</f>
        <v>62.158499999999997</v>
      </c>
      <c r="R913" s="9" t="str">
        <f>IF(Table13[[#This Row],[Gross_Sales]]&gt;=500, "YES","NO")</f>
        <v>NO</v>
      </c>
    </row>
    <row r="914" spans="1:18" x14ac:dyDescent="0.3">
      <c r="A914">
        <v>100909</v>
      </c>
      <c r="B914" s="8">
        <v>45329.833333333343</v>
      </c>
      <c r="C914" t="s">
        <v>14</v>
      </c>
      <c r="D914" t="s">
        <v>60</v>
      </c>
      <c r="E914" t="s">
        <v>67</v>
      </c>
      <c r="F914" t="s">
        <v>71</v>
      </c>
      <c r="G914">
        <v>1</v>
      </c>
      <c r="H914">
        <v>85.25</v>
      </c>
      <c r="I914">
        <v>10</v>
      </c>
      <c r="J914" t="s">
        <v>76</v>
      </c>
      <c r="K914" t="s">
        <v>77</v>
      </c>
      <c r="L914">
        <v>85.25</v>
      </c>
      <c r="M914">
        <v>8.5250000000000004</v>
      </c>
      <c r="N914">
        <v>76.724999999999994</v>
      </c>
      <c r="O91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4" s="9" t="str">
        <f ca="1">IF(OR(ISNUMBER(Table13[[#This Row],[Order_Date]])=FALSE,Table13[[#This Row],[Order_Date]]&lt;DATE(2000,1,1),Table13[[#This Row],[Order_Date]]&gt;TODAY()),"YES","NO")</f>
        <v>NO</v>
      </c>
      <c r="Q914" s="9">
        <f>IF(Table13[[#This Row],[Order_Status]] = "Cancelled",0,IF(Table13[[#This Row],[Order_Status]] = "Returned",Table13[[#This Row],[Net_Sales]] * -1,Table13[[#This Row],[Net_Sales]]))</f>
        <v>76.724999999999994</v>
      </c>
      <c r="R914" s="9" t="str">
        <f>IF(Table13[[#This Row],[Gross_Sales]]&gt;=500, "YES","NO")</f>
        <v>NO</v>
      </c>
    </row>
    <row r="915" spans="1:18" x14ac:dyDescent="0.3">
      <c r="A915">
        <v>100910</v>
      </c>
      <c r="B915" s="8">
        <v>45329.875</v>
      </c>
      <c r="C915" t="s">
        <v>15</v>
      </c>
      <c r="D915" t="s">
        <v>39</v>
      </c>
      <c r="E915" t="s">
        <v>69</v>
      </c>
      <c r="F915" t="s">
        <v>71</v>
      </c>
      <c r="G915">
        <v>4</v>
      </c>
      <c r="H915">
        <v>108.53</v>
      </c>
      <c r="I915">
        <v>15</v>
      </c>
      <c r="J915" t="s">
        <v>75</v>
      </c>
      <c r="K915" t="s">
        <v>79</v>
      </c>
      <c r="L915">
        <v>434.12</v>
      </c>
      <c r="M915">
        <v>65.117999999999995</v>
      </c>
      <c r="N915">
        <v>369.00200000000001</v>
      </c>
      <c r="O91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15" s="9" t="str">
        <f ca="1">IF(OR(ISNUMBER(Table13[[#This Row],[Order_Date]])=FALSE,Table13[[#This Row],[Order_Date]]&lt;DATE(2000,1,1),Table13[[#This Row],[Order_Date]]&gt;TODAY()),"YES","NO")</f>
        <v>NO</v>
      </c>
      <c r="Q915" s="9">
        <f>IF(Table13[[#This Row],[Order_Status]] = "Cancelled",0,IF(Table13[[#This Row],[Order_Status]] = "Returned",Table13[[#This Row],[Net_Sales]] * -1,Table13[[#This Row],[Net_Sales]]))</f>
        <v>0</v>
      </c>
      <c r="R915" s="9" t="str">
        <f>IF(Table13[[#This Row],[Gross_Sales]]&gt;=500, "YES","NO")</f>
        <v>NO</v>
      </c>
    </row>
    <row r="916" spans="1:18" x14ac:dyDescent="0.3">
      <c r="A916">
        <v>100911</v>
      </c>
      <c r="B916" s="8">
        <v>45329.916666666657</v>
      </c>
      <c r="C916" t="s">
        <v>14</v>
      </c>
      <c r="D916" t="s">
        <v>20</v>
      </c>
      <c r="E916" t="s">
        <v>66</v>
      </c>
      <c r="F916" t="s">
        <v>72</v>
      </c>
      <c r="G916">
        <v>4</v>
      </c>
      <c r="H916">
        <v>96.1</v>
      </c>
      <c r="I916">
        <v>0</v>
      </c>
      <c r="J916" t="s">
        <v>73</v>
      </c>
      <c r="K916" t="s">
        <v>77</v>
      </c>
      <c r="L916">
        <v>384.4</v>
      </c>
      <c r="M916">
        <v>0</v>
      </c>
      <c r="N916">
        <v>384.4</v>
      </c>
      <c r="O91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6" s="9" t="str">
        <f ca="1">IF(OR(ISNUMBER(Table13[[#This Row],[Order_Date]])=FALSE,Table13[[#This Row],[Order_Date]]&lt;DATE(2000,1,1),Table13[[#This Row],[Order_Date]]&gt;TODAY()),"YES","NO")</f>
        <v>NO</v>
      </c>
      <c r="Q916" s="9">
        <f>IF(Table13[[#This Row],[Order_Status]] = "Cancelled",0,IF(Table13[[#This Row],[Order_Status]] = "Returned",Table13[[#This Row],[Net_Sales]] * -1,Table13[[#This Row],[Net_Sales]]))</f>
        <v>384.4</v>
      </c>
      <c r="R916" s="9" t="str">
        <f>IF(Table13[[#This Row],[Gross_Sales]]&gt;=500, "YES","NO")</f>
        <v>NO</v>
      </c>
    </row>
    <row r="917" spans="1:18" x14ac:dyDescent="0.3">
      <c r="A917">
        <v>100912</v>
      </c>
      <c r="B917" s="8">
        <v>45329.958333333343</v>
      </c>
      <c r="C917" t="s">
        <v>14</v>
      </c>
      <c r="D917" t="s">
        <v>44</v>
      </c>
      <c r="E917" t="s">
        <v>66</v>
      </c>
      <c r="F917" t="s">
        <v>71</v>
      </c>
      <c r="G917">
        <v>1</v>
      </c>
      <c r="H917">
        <v>82.78</v>
      </c>
      <c r="I917">
        <v>0</v>
      </c>
      <c r="J917" t="s">
        <v>74</v>
      </c>
      <c r="K917" t="s">
        <v>77</v>
      </c>
      <c r="L917">
        <v>82.78</v>
      </c>
      <c r="M917">
        <v>0</v>
      </c>
      <c r="N917">
        <v>82.78</v>
      </c>
      <c r="O91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7" s="9" t="str">
        <f ca="1">IF(OR(ISNUMBER(Table13[[#This Row],[Order_Date]])=FALSE,Table13[[#This Row],[Order_Date]]&lt;DATE(2000,1,1),Table13[[#This Row],[Order_Date]]&gt;TODAY()),"YES","NO")</f>
        <v>NO</v>
      </c>
      <c r="Q917" s="9">
        <f>IF(Table13[[#This Row],[Order_Status]] = "Cancelled",0,IF(Table13[[#This Row],[Order_Status]] = "Returned",Table13[[#This Row],[Net_Sales]] * -1,Table13[[#This Row],[Net_Sales]]))</f>
        <v>82.78</v>
      </c>
      <c r="R917" s="9" t="str">
        <f>IF(Table13[[#This Row],[Gross_Sales]]&gt;=500, "YES","NO")</f>
        <v>NO</v>
      </c>
    </row>
    <row r="918" spans="1:18" x14ac:dyDescent="0.3">
      <c r="A918">
        <v>100913</v>
      </c>
      <c r="B918" s="8">
        <v>45330</v>
      </c>
      <c r="C918" t="s">
        <v>14</v>
      </c>
      <c r="D918" t="s">
        <v>30</v>
      </c>
      <c r="E918" t="s">
        <v>70</v>
      </c>
      <c r="F918" t="s">
        <v>72</v>
      </c>
      <c r="G918">
        <v>5</v>
      </c>
      <c r="H918">
        <v>83.16</v>
      </c>
      <c r="I918">
        <v>10</v>
      </c>
      <c r="J918" t="s">
        <v>76</v>
      </c>
      <c r="K918" t="s">
        <v>77</v>
      </c>
      <c r="L918">
        <v>415.8</v>
      </c>
      <c r="M918">
        <v>41.58</v>
      </c>
      <c r="N918">
        <v>374.22</v>
      </c>
      <c r="O91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8" s="9" t="str">
        <f ca="1">IF(OR(ISNUMBER(Table13[[#This Row],[Order_Date]])=FALSE,Table13[[#This Row],[Order_Date]]&lt;DATE(2000,1,1),Table13[[#This Row],[Order_Date]]&gt;TODAY()),"YES","NO")</f>
        <v>NO</v>
      </c>
      <c r="Q918" s="9">
        <f>IF(Table13[[#This Row],[Order_Status]] = "Cancelled",0,IF(Table13[[#This Row],[Order_Status]] = "Returned",Table13[[#This Row],[Net_Sales]] * -1,Table13[[#This Row],[Net_Sales]]))</f>
        <v>374.22</v>
      </c>
      <c r="R918" s="9" t="str">
        <f>IF(Table13[[#This Row],[Gross_Sales]]&gt;=500, "YES","NO")</f>
        <v>NO</v>
      </c>
    </row>
    <row r="919" spans="1:18" x14ac:dyDescent="0.3">
      <c r="A919">
        <v>100914</v>
      </c>
      <c r="B919" s="8">
        <v>45330.041666666657</v>
      </c>
      <c r="C919" t="s">
        <v>15</v>
      </c>
      <c r="D919" t="s">
        <v>65</v>
      </c>
      <c r="E919" t="s">
        <v>70</v>
      </c>
      <c r="F919" t="s">
        <v>71</v>
      </c>
      <c r="G919">
        <v>1</v>
      </c>
      <c r="H919">
        <v>113.78</v>
      </c>
      <c r="I919">
        <v>10</v>
      </c>
      <c r="J919" t="s">
        <v>76</v>
      </c>
      <c r="K919" t="s">
        <v>77</v>
      </c>
      <c r="L919">
        <v>113.78</v>
      </c>
      <c r="M919">
        <v>11.378</v>
      </c>
      <c r="N919">
        <v>102.402</v>
      </c>
      <c r="O91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19" s="9" t="str">
        <f ca="1">IF(OR(ISNUMBER(Table13[[#This Row],[Order_Date]])=FALSE,Table13[[#This Row],[Order_Date]]&lt;DATE(2000,1,1),Table13[[#This Row],[Order_Date]]&gt;TODAY()),"YES","NO")</f>
        <v>NO</v>
      </c>
      <c r="Q919" s="9">
        <f>IF(Table13[[#This Row],[Order_Status]] = "Cancelled",0,IF(Table13[[#This Row],[Order_Status]] = "Returned",Table13[[#This Row],[Net_Sales]] * -1,Table13[[#This Row],[Net_Sales]]))</f>
        <v>102.402</v>
      </c>
      <c r="R919" s="9" t="str">
        <f>IF(Table13[[#This Row],[Gross_Sales]]&gt;=500, "YES","NO")</f>
        <v>NO</v>
      </c>
    </row>
    <row r="920" spans="1:18" x14ac:dyDescent="0.3">
      <c r="A920">
        <v>100915</v>
      </c>
      <c r="B920" s="8">
        <v>45330.083333333343</v>
      </c>
      <c r="C920" t="s">
        <v>15</v>
      </c>
      <c r="D920" t="s">
        <v>53</v>
      </c>
      <c r="E920" t="s">
        <v>66</v>
      </c>
      <c r="F920" t="s">
        <v>71</v>
      </c>
      <c r="G920">
        <v>2</v>
      </c>
      <c r="H920">
        <v>39.020000000000003</v>
      </c>
      <c r="I920">
        <v>0</v>
      </c>
      <c r="J920" t="s">
        <v>76</v>
      </c>
      <c r="K920" t="s">
        <v>77</v>
      </c>
      <c r="L920">
        <v>78.040000000000006</v>
      </c>
      <c r="M920">
        <v>0</v>
      </c>
      <c r="N920">
        <v>78.040000000000006</v>
      </c>
      <c r="O92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0" s="9" t="str">
        <f ca="1">IF(OR(ISNUMBER(Table13[[#This Row],[Order_Date]])=FALSE,Table13[[#This Row],[Order_Date]]&lt;DATE(2000,1,1),Table13[[#This Row],[Order_Date]]&gt;TODAY()),"YES","NO")</f>
        <v>NO</v>
      </c>
      <c r="Q920" s="9">
        <f>IF(Table13[[#This Row],[Order_Status]] = "Cancelled",0,IF(Table13[[#This Row],[Order_Status]] = "Returned",Table13[[#This Row],[Net_Sales]] * -1,Table13[[#This Row],[Net_Sales]]))</f>
        <v>78.040000000000006</v>
      </c>
      <c r="R920" s="9" t="str">
        <f>IF(Table13[[#This Row],[Gross_Sales]]&gt;=500, "YES","NO")</f>
        <v>NO</v>
      </c>
    </row>
    <row r="921" spans="1:18" x14ac:dyDescent="0.3">
      <c r="A921">
        <v>100916</v>
      </c>
      <c r="B921" s="8">
        <v>45330.125</v>
      </c>
      <c r="C921" t="s">
        <v>15</v>
      </c>
      <c r="D921" t="s">
        <v>55</v>
      </c>
      <c r="E921" t="s">
        <v>66</v>
      </c>
      <c r="F921" t="s">
        <v>71</v>
      </c>
      <c r="G921">
        <v>3</v>
      </c>
      <c r="H921">
        <v>5.13</v>
      </c>
      <c r="I921">
        <v>15</v>
      </c>
      <c r="J921" t="s">
        <v>74</v>
      </c>
      <c r="K921" t="s">
        <v>77</v>
      </c>
      <c r="L921">
        <v>15.39</v>
      </c>
      <c r="M921">
        <v>2.3085</v>
      </c>
      <c r="N921">
        <v>13.0815</v>
      </c>
      <c r="O92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1" s="9" t="str">
        <f ca="1">IF(OR(ISNUMBER(Table13[[#This Row],[Order_Date]])=FALSE,Table13[[#This Row],[Order_Date]]&lt;DATE(2000,1,1),Table13[[#This Row],[Order_Date]]&gt;TODAY()),"YES","NO")</f>
        <v>NO</v>
      </c>
      <c r="Q921" s="9">
        <f>IF(Table13[[#This Row],[Order_Status]] = "Cancelled",0,IF(Table13[[#This Row],[Order_Status]] = "Returned",Table13[[#This Row],[Net_Sales]] * -1,Table13[[#This Row],[Net_Sales]]))</f>
        <v>13.0815</v>
      </c>
      <c r="R921" s="9" t="str">
        <f>IF(Table13[[#This Row],[Gross_Sales]]&gt;=500, "YES","NO")</f>
        <v>NO</v>
      </c>
    </row>
    <row r="922" spans="1:18" x14ac:dyDescent="0.3">
      <c r="A922">
        <v>100917</v>
      </c>
      <c r="B922" s="8">
        <v>45330.166666666657</v>
      </c>
      <c r="C922" t="s">
        <v>15</v>
      </c>
      <c r="D922" t="s">
        <v>19</v>
      </c>
      <c r="E922" t="s">
        <v>69</v>
      </c>
      <c r="F922" t="s">
        <v>72</v>
      </c>
      <c r="G922">
        <v>5</v>
      </c>
      <c r="H922">
        <v>36.270000000000003</v>
      </c>
      <c r="I922">
        <v>15</v>
      </c>
      <c r="J922" t="s">
        <v>73</v>
      </c>
      <c r="K922" t="s">
        <v>77</v>
      </c>
      <c r="L922">
        <v>181.35</v>
      </c>
      <c r="M922">
        <v>27.202500000000001</v>
      </c>
      <c r="N922">
        <v>154.14750000000001</v>
      </c>
      <c r="O92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2" s="9" t="str">
        <f ca="1">IF(OR(ISNUMBER(Table13[[#This Row],[Order_Date]])=FALSE,Table13[[#This Row],[Order_Date]]&lt;DATE(2000,1,1),Table13[[#This Row],[Order_Date]]&gt;TODAY()),"YES","NO")</f>
        <v>NO</v>
      </c>
      <c r="Q922" s="9">
        <f>IF(Table13[[#This Row],[Order_Status]] = "Cancelled",0,IF(Table13[[#This Row],[Order_Status]] = "Returned",Table13[[#This Row],[Net_Sales]] * -1,Table13[[#This Row],[Net_Sales]]))</f>
        <v>154.14750000000001</v>
      </c>
      <c r="R922" s="9" t="str">
        <f>IF(Table13[[#This Row],[Gross_Sales]]&gt;=500, "YES","NO")</f>
        <v>NO</v>
      </c>
    </row>
    <row r="923" spans="1:18" x14ac:dyDescent="0.3">
      <c r="A923">
        <v>100918</v>
      </c>
      <c r="B923" s="8">
        <v>45330.208333333343</v>
      </c>
      <c r="C923" t="s">
        <v>15</v>
      </c>
      <c r="D923" t="s">
        <v>23</v>
      </c>
      <c r="E923" t="s">
        <v>68</v>
      </c>
      <c r="F923" t="s">
        <v>71</v>
      </c>
      <c r="G923">
        <v>2</v>
      </c>
      <c r="H923">
        <v>30.06</v>
      </c>
      <c r="I923">
        <v>15</v>
      </c>
      <c r="J923" t="s">
        <v>75</v>
      </c>
      <c r="K923" t="s">
        <v>77</v>
      </c>
      <c r="L923">
        <v>60.12</v>
      </c>
      <c r="M923">
        <v>9.0179999999999989</v>
      </c>
      <c r="N923">
        <v>51.101999999999997</v>
      </c>
      <c r="O92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3" s="9" t="str">
        <f ca="1">IF(OR(ISNUMBER(Table13[[#This Row],[Order_Date]])=FALSE,Table13[[#This Row],[Order_Date]]&lt;DATE(2000,1,1),Table13[[#This Row],[Order_Date]]&gt;TODAY()),"YES","NO")</f>
        <v>NO</v>
      </c>
      <c r="Q923" s="9">
        <f>IF(Table13[[#This Row],[Order_Status]] = "Cancelled",0,IF(Table13[[#This Row],[Order_Status]] = "Returned",Table13[[#This Row],[Net_Sales]] * -1,Table13[[#This Row],[Net_Sales]]))</f>
        <v>51.101999999999997</v>
      </c>
      <c r="R923" s="9" t="str">
        <f>IF(Table13[[#This Row],[Gross_Sales]]&gt;=500, "YES","NO")</f>
        <v>NO</v>
      </c>
    </row>
    <row r="924" spans="1:18" x14ac:dyDescent="0.3">
      <c r="A924">
        <v>100919</v>
      </c>
      <c r="B924" s="8">
        <v>45330.25</v>
      </c>
      <c r="C924" t="s">
        <v>15</v>
      </c>
      <c r="D924" t="s">
        <v>35</v>
      </c>
      <c r="E924" t="s">
        <v>70</v>
      </c>
      <c r="F924" t="s">
        <v>71</v>
      </c>
      <c r="G924">
        <v>5</v>
      </c>
      <c r="H924">
        <v>81.11</v>
      </c>
      <c r="I924">
        <v>10</v>
      </c>
      <c r="J924" t="s">
        <v>73</v>
      </c>
      <c r="K924" t="s">
        <v>77</v>
      </c>
      <c r="L924">
        <v>405.55</v>
      </c>
      <c r="M924">
        <v>40.555000000000007</v>
      </c>
      <c r="N924">
        <v>364.995</v>
      </c>
      <c r="O92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4" s="9" t="str">
        <f ca="1">IF(OR(ISNUMBER(Table13[[#This Row],[Order_Date]])=FALSE,Table13[[#This Row],[Order_Date]]&lt;DATE(2000,1,1),Table13[[#This Row],[Order_Date]]&gt;TODAY()),"YES","NO")</f>
        <v>NO</v>
      </c>
      <c r="Q924" s="9">
        <f>IF(Table13[[#This Row],[Order_Status]] = "Cancelled",0,IF(Table13[[#This Row],[Order_Status]] = "Returned",Table13[[#This Row],[Net_Sales]] * -1,Table13[[#This Row],[Net_Sales]]))</f>
        <v>364.995</v>
      </c>
      <c r="R924" s="9" t="str">
        <f>IF(Table13[[#This Row],[Gross_Sales]]&gt;=500, "YES","NO")</f>
        <v>NO</v>
      </c>
    </row>
    <row r="925" spans="1:18" x14ac:dyDescent="0.3">
      <c r="A925">
        <v>100920</v>
      </c>
      <c r="B925" s="8">
        <v>45330.291666666657</v>
      </c>
      <c r="C925" t="s">
        <v>15</v>
      </c>
      <c r="D925" t="s">
        <v>24</v>
      </c>
      <c r="E925" t="s">
        <v>68</v>
      </c>
      <c r="F925" t="s">
        <v>72</v>
      </c>
      <c r="G925">
        <v>2</v>
      </c>
      <c r="H925">
        <v>77.88</v>
      </c>
      <c r="I925">
        <v>5</v>
      </c>
      <c r="J925" t="s">
        <v>76</v>
      </c>
      <c r="K925" t="s">
        <v>77</v>
      </c>
      <c r="L925">
        <v>155.76</v>
      </c>
      <c r="M925">
        <v>7.7880000000000003</v>
      </c>
      <c r="N925">
        <v>147.97200000000001</v>
      </c>
      <c r="O92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5" s="9" t="str">
        <f ca="1">IF(OR(ISNUMBER(Table13[[#This Row],[Order_Date]])=FALSE,Table13[[#This Row],[Order_Date]]&lt;DATE(2000,1,1),Table13[[#This Row],[Order_Date]]&gt;TODAY()),"YES","NO")</f>
        <v>NO</v>
      </c>
      <c r="Q925" s="9">
        <f>IF(Table13[[#This Row],[Order_Status]] = "Cancelled",0,IF(Table13[[#This Row],[Order_Status]] = "Returned",Table13[[#This Row],[Net_Sales]] * -1,Table13[[#This Row],[Net_Sales]]))</f>
        <v>147.97200000000001</v>
      </c>
      <c r="R925" s="9" t="str">
        <f>IF(Table13[[#This Row],[Gross_Sales]]&gt;=500, "YES","NO")</f>
        <v>NO</v>
      </c>
    </row>
    <row r="926" spans="1:18" x14ac:dyDescent="0.3">
      <c r="A926">
        <v>100921</v>
      </c>
      <c r="B926" s="8">
        <v>45330.333333333343</v>
      </c>
      <c r="C926" t="s">
        <v>14</v>
      </c>
      <c r="D926" t="s">
        <v>32</v>
      </c>
      <c r="E926" t="s">
        <v>69</v>
      </c>
      <c r="F926" t="s">
        <v>72</v>
      </c>
      <c r="G926">
        <v>3</v>
      </c>
      <c r="H926">
        <v>73.25</v>
      </c>
      <c r="I926">
        <v>5</v>
      </c>
      <c r="J926" t="s">
        <v>76</v>
      </c>
      <c r="K926" t="s">
        <v>77</v>
      </c>
      <c r="L926">
        <v>219.75</v>
      </c>
      <c r="M926">
        <v>10.987500000000001</v>
      </c>
      <c r="N926">
        <v>208.76249999999999</v>
      </c>
      <c r="O92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6" s="9" t="str">
        <f ca="1">IF(OR(ISNUMBER(Table13[[#This Row],[Order_Date]])=FALSE,Table13[[#This Row],[Order_Date]]&lt;DATE(2000,1,1),Table13[[#This Row],[Order_Date]]&gt;TODAY()),"YES","NO")</f>
        <v>NO</v>
      </c>
      <c r="Q926" s="9">
        <f>IF(Table13[[#This Row],[Order_Status]] = "Cancelled",0,IF(Table13[[#This Row],[Order_Status]] = "Returned",Table13[[#This Row],[Net_Sales]] * -1,Table13[[#This Row],[Net_Sales]]))</f>
        <v>208.76249999999999</v>
      </c>
      <c r="R926" s="9" t="str">
        <f>IF(Table13[[#This Row],[Gross_Sales]]&gt;=500, "YES","NO")</f>
        <v>NO</v>
      </c>
    </row>
    <row r="927" spans="1:18" x14ac:dyDescent="0.3">
      <c r="A927">
        <v>100922</v>
      </c>
      <c r="B927" s="8">
        <v>45330.375</v>
      </c>
      <c r="C927" t="s">
        <v>14</v>
      </c>
      <c r="D927" t="s">
        <v>62</v>
      </c>
      <c r="E927" t="s">
        <v>66</v>
      </c>
      <c r="F927" t="s">
        <v>72</v>
      </c>
      <c r="G927">
        <v>3</v>
      </c>
      <c r="H927">
        <v>6.87</v>
      </c>
      <c r="I927">
        <v>5</v>
      </c>
      <c r="J927" t="s">
        <v>75</v>
      </c>
      <c r="K927" t="s">
        <v>77</v>
      </c>
      <c r="L927">
        <v>20.61</v>
      </c>
      <c r="M927">
        <v>1.0305</v>
      </c>
      <c r="N927">
        <v>19.579499999999999</v>
      </c>
      <c r="O92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7" s="9" t="str">
        <f ca="1">IF(OR(ISNUMBER(Table13[[#This Row],[Order_Date]])=FALSE,Table13[[#This Row],[Order_Date]]&lt;DATE(2000,1,1),Table13[[#This Row],[Order_Date]]&gt;TODAY()),"YES","NO")</f>
        <v>NO</v>
      </c>
      <c r="Q927" s="9">
        <f>IF(Table13[[#This Row],[Order_Status]] = "Cancelled",0,IF(Table13[[#This Row],[Order_Status]] = "Returned",Table13[[#This Row],[Net_Sales]] * -1,Table13[[#This Row],[Net_Sales]]))</f>
        <v>19.579499999999999</v>
      </c>
      <c r="R927" s="9" t="str">
        <f>IF(Table13[[#This Row],[Gross_Sales]]&gt;=500, "YES","NO")</f>
        <v>NO</v>
      </c>
    </row>
    <row r="928" spans="1:18" x14ac:dyDescent="0.3">
      <c r="A928">
        <v>100923</v>
      </c>
      <c r="B928" s="8">
        <v>45330.416666666657</v>
      </c>
      <c r="C928" t="s">
        <v>14</v>
      </c>
      <c r="D928" t="s">
        <v>44</v>
      </c>
      <c r="E928" t="s">
        <v>68</v>
      </c>
      <c r="F928" t="s">
        <v>72</v>
      </c>
      <c r="G928">
        <v>4</v>
      </c>
      <c r="H928">
        <v>88.81</v>
      </c>
      <c r="I928">
        <v>5</v>
      </c>
      <c r="J928" t="s">
        <v>73</v>
      </c>
      <c r="K928" t="s">
        <v>77</v>
      </c>
      <c r="L928">
        <v>355.24</v>
      </c>
      <c r="M928">
        <v>17.762</v>
      </c>
      <c r="N928">
        <v>337.47800000000001</v>
      </c>
      <c r="O92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28" s="9" t="str">
        <f ca="1">IF(OR(ISNUMBER(Table13[[#This Row],[Order_Date]])=FALSE,Table13[[#This Row],[Order_Date]]&lt;DATE(2000,1,1),Table13[[#This Row],[Order_Date]]&gt;TODAY()),"YES","NO")</f>
        <v>NO</v>
      </c>
      <c r="Q928" s="9">
        <f>IF(Table13[[#This Row],[Order_Status]] = "Cancelled",0,IF(Table13[[#This Row],[Order_Status]] = "Returned",Table13[[#This Row],[Net_Sales]] * -1,Table13[[#This Row],[Net_Sales]]))</f>
        <v>337.47800000000001</v>
      </c>
      <c r="R928" s="9" t="str">
        <f>IF(Table13[[#This Row],[Gross_Sales]]&gt;=500, "YES","NO")</f>
        <v>NO</v>
      </c>
    </row>
    <row r="929" spans="1:18" x14ac:dyDescent="0.3">
      <c r="A929">
        <v>100924</v>
      </c>
      <c r="B929" s="8">
        <v>45330.458333333343</v>
      </c>
      <c r="C929" t="s">
        <v>14</v>
      </c>
      <c r="D929" t="s">
        <v>41</v>
      </c>
      <c r="E929" t="s">
        <v>66</v>
      </c>
      <c r="F929" t="s">
        <v>71</v>
      </c>
      <c r="G929">
        <v>2</v>
      </c>
      <c r="H929">
        <v>42.21</v>
      </c>
      <c r="I929">
        <v>5</v>
      </c>
      <c r="J929" t="s">
        <v>76</v>
      </c>
      <c r="K929" t="s">
        <v>78</v>
      </c>
      <c r="L929">
        <v>84.42</v>
      </c>
      <c r="M929">
        <v>4.2210000000000001</v>
      </c>
      <c r="N929">
        <v>80.198999999999998</v>
      </c>
      <c r="O92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29" s="9" t="str">
        <f ca="1">IF(OR(ISNUMBER(Table13[[#This Row],[Order_Date]])=FALSE,Table13[[#This Row],[Order_Date]]&lt;DATE(2000,1,1),Table13[[#This Row],[Order_Date]]&gt;TODAY()),"YES","NO")</f>
        <v>NO</v>
      </c>
      <c r="Q929" s="9">
        <f>IF(Table13[[#This Row],[Order_Status]] = "Cancelled",0,IF(Table13[[#This Row],[Order_Status]] = "Returned",Table13[[#This Row],[Net_Sales]] * -1,Table13[[#This Row],[Net_Sales]]))</f>
        <v>-80.198999999999998</v>
      </c>
      <c r="R929" s="9" t="str">
        <f>IF(Table13[[#This Row],[Gross_Sales]]&gt;=500, "YES","NO")</f>
        <v>NO</v>
      </c>
    </row>
    <row r="930" spans="1:18" x14ac:dyDescent="0.3">
      <c r="A930">
        <v>100925</v>
      </c>
      <c r="B930" s="8">
        <v>45330.5</v>
      </c>
      <c r="C930" t="s">
        <v>14</v>
      </c>
      <c r="D930" t="s">
        <v>45</v>
      </c>
      <c r="E930" t="s">
        <v>66</v>
      </c>
      <c r="F930" t="s">
        <v>71</v>
      </c>
      <c r="G930">
        <v>4</v>
      </c>
      <c r="H930">
        <v>81.48</v>
      </c>
      <c r="I930">
        <v>10</v>
      </c>
      <c r="J930" t="s">
        <v>76</v>
      </c>
      <c r="K930" t="s">
        <v>77</v>
      </c>
      <c r="L930">
        <v>325.92</v>
      </c>
      <c r="M930">
        <v>32.592000000000013</v>
      </c>
      <c r="N930">
        <v>293.32799999999997</v>
      </c>
      <c r="O93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0" s="9" t="str">
        <f ca="1">IF(OR(ISNUMBER(Table13[[#This Row],[Order_Date]])=FALSE,Table13[[#This Row],[Order_Date]]&lt;DATE(2000,1,1),Table13[[#This Row],[Order_Date]]&gt;TODAY()),"YES","NO")</f>
        <v>NO</v>
      </c>
      <c r="Q930" s="9">
        <f>IF(Table13[[#This Row],[Order_Status]] = "Cancelled",0,IF(Table13[[#This Row],[Order_Status]] = "Returned",Table13[[#This Row],[Net_Sales]] * -1,Table13[[#This Row],[Net_Sales]]))</f>
        <v>293.32799999999997</v>
      </c>
      <c r="R930" s="9" t="str">
        <f>IF(Table13[[#This Row],[Gross_Sales]]&gt;=500, "YES","NO")</f>
        <v>NO</v>
      </c>
    </row>
    <row r="931" spans="1:18" x14ac:dyDescent="0.3">
      <c r="A931">
        <v>100926</v>
      </c>
      <c r="B931" s="8">
        <v>45330.541666666657</v>
      </c>
      <c r="C931" t="s">
        <v>14</v>
      </c>
      <c r="D931" t="s">
        <v>38</v>
      </c>
      <c r="E931" t="s">
        <v>67</v>
      </c>
      <c r="F931" t="s">
        <v>71</v>
      </c>
      <c r="G931">
        <v>2</v>
      </c>
      <c r="H931">
        <v>69.010000000000005</v>
      </c>
      <c r="I931">
        <v>10</v>
      </c>
      <c r="J931" t="s">
        <v>73</v>
      </c>
      <c r="K931" t="s">
        <v>77</v>
      </c>
      <c r="L931">
        <v>138.02000000000001</v>
      </c>
      <c r="M931">
        <v>13.802</v>
      </c>
      <c r="N931">
        <v>124.218</v>
      </c>
      <c r="O93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1" s="9" t="str">
        <f ca="1">IF(OR(ISNUMBER(Table13[[#This Row],[Order_Date]])=FALSE,Table13[[#This Row],[Order_Date]]&lt;DATE(2000,1,1),Table13[[#This Row],[Order_Date]]&gt;TODAY()),"YES","NO")</f>
        <v>NO</v>
      </c>
      <c r="Q931" s="9">
        <f>IF(Table13[[#This Row],[Order_Status]] = "Cancelled",0,IF(Table13[[#This Row],[Order_Status]] = "Returned",Table13[[#This Row],[Net_Sales]] * -1,Table13[[#This Row],[Net_Sales]]))</f>
        <v>124.218</v>
      </c>
      <c r="R931" s="9" t="str">
        <f>IF(Table13[[#This Row],[Gross_Sales]]&gt;=500, "YES","NO")</f>
        <v>NO</v>
      </c>
    </row>
    <row r="932" spans="1:18" x14ac:dyDescent="0.3">
      <c r="A932">
        <v>100927</v>
      </c>
      <c r="B932" s="8">
        <v>45330.583333333343</v>
      </c>
      <c r="C932" t="s">
        <v>14</v>
      </c>
      <c r="D932" t="s">
        <v>48</v>
      </c>
      <c r="E932" t="s">
        <v>68</v>
      </c>
      <c r="F932" t="s">
        <v>71</v>
      </c>
      <c r="G932">
        <v>4</v>
      </c>
      <c r="H932">
        <v>44.41</v>
      </c>
      <c r="I932">
        <v>5</v>
      </c>
      <c r="J932" t="s">
        <v>76</v>
      </c>
      <c r="K932" t="s">
        <v>77</v>
      </c>
      <c r="L932">
        <v>177.64</v>
      </c>
      <c r="M932">
        <v>8.8819999999999997</v>
      </c>
      <c r="N932">
        <v>168.75800000000001</v>
      </c>
      <c r="O93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2" s="9" t="str">
        <f ca="1">IF(OR(ISNUMBER(Table13[[#This Row],[Order_Date]])=FALSE,Table13[[#This Row],[Order_Date]]&lt;DATE(2000,1,1),Table13[[#This Row],[Order_Date]]&gt;TODAY()),"YES","NO")</f>
        <v>NO</v>
      </c>
      <c r="Q932" s="9">
        <f>IF(Table13[[#This Row],[Order_Status]] = "Cancelled",0,IF(Table13[[#This Row],[Order_Status]] = "Returned",Table13[[#This Row],[Net_Sales]] * -1,Table13[[#This Row],[Net_Sales]]))</f>
        <v>168.75800000000001</v>
      </c>
      <c r="R932" s="9" t="str">
        <f>IF(Table13[[#This Row],[Gross_Sales]]&gt;=500, "YES","NO")</f>
        <v>NO</v>
      </c>
    </row>
    <row r="933" spans="1:18" x14ac:dyDescent="0.3">
      <c r="A933">
        <v>100928</v>
      </c>
      <c r="B933" s="8">
        <v>45330.625</v>
      </c>
      <c r="C933" t="s">
        <v>15</v>
      </c>
      <c r="D933" t="s">
        <v>26</v>
      </c>
      <c r="E933" t="s">
        <v>68</v>
      </c>
      <c r="F933" t="s">
        <v>71</v>
      </c>
      <c r="G933">
        <v>3</v>
      </c>
      <c r="H933">
        <v>20.48</v>
      </c>
      <c r="I933">
        <v>10</v>
      </c>
      <c r="J933" t="s">
        <v>73</v>
      </c>
      <c r="K933" t="s">
        <v>77</v>
      </c>
      <c r="L933">
        <v>61.44</v>
      </c>
      <c r="M933">
        <v>6.1440000000000001</v>
      </c>
      <c r="N933">
        <v>55.295999999999999</v>
      </c>
      <c r="O93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3" s="9" t="str">
        <f ca="1">IF(OR(ISNUMBER(Table13[[#This Row],[Order_Date]])=FALSE,Table13[[#This Row],[Order_Date]]&lt;DATE(2000,1,1),Table13[[#This Row],[Order_Date]]&gt;TODAY()),"YES","NO")</f>
        <v>NO</v>
      </c>
      <c r="Q933" s="9">
        <f>IF(Table13[[#This Row],[Order_Status]] = "Cancelled",0,IF(Table13[[#This Row],[Order_Status]] = "Returned",Table13[[#This Row],[Net_Sales]] * -1,Table13[[#This Row],[Net_Sales]]))</f>
        <v>55.295999999999999</v>
      </c>
      <c r="R933" s="9" t="str">
        <f>IF(Table13[[#This Row],[Gross_Sales]]&gt;=500, "YES","NO")</f>
        <v>NO</v>
      </c>
    </row>
    <row r="934" spans="1:18" x14ac:dyDescent="0.3">
      <c r="A934">
        <v>100929</v>
      </c>
      <c r="B934" s="8">
        <v>45330.666666666657</v>
      </c>
      <c r="C934" t="s">
        <v>15</v>
      </c>
      <c r="D934" t="s">
        <v>28</v>
      </c>
      <c r="E934" t="s">
        <v>66</v>
      </c>
      <c r="F934" t="s">
        <v>72</v>
      </c>
      <c r="G934">
        <v>5</v>
      </c>
      <c r="H934">
        <v>15.86</v>
      </c>
      <c r="I934">
        <v>10</v>
      </c>
      <c r="J934" t="s">
        <v>76</v>
      </c>
      <c r="K934" t="s">
        <v>77</v>
      </c>
      <c r="L934">
        <v>79.3</v>
      </c>
      <c r="M934">
        <v>7.93</v>
      </c>
      <c r="N934">
        <v>71.37</v>
      </c>
      <c r="O93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4" s="9" t="str">
        <f ca="1">IF(OR(ISNUMBER(Table13[[#This Row],[Order_Date]])=FALSE,Table13[[#This Row],[Order_Date]]&lt;DATE(2000,1,1),Table13[[#This Row],[Order_Date]]&gt;TODAY()),"YES","NO")</f>
        <v>NO</v>
      </c>
      <c r="Q934" s="9">
        <f>IF(Table13[[#This Row],[Order_Status]] = "Cancelled",0,IF(Table13[[#This Row],[Order_Status]] = "Returned",Table13[[#This Row],[Net_Sales]] * -1,Table13[[#This Row],[Net_Sales]]))</f>
        <v>71.37</v>
      </c>
      <c r="R934" s="9" t="str">
        <f>IF(Table13[[#This Row],[Gross_Sales]]&gt;=500, "YES","NO")</f>
        <v>NO</v>
      </c>
    </row>
    <row r="935" spans="1:18" x14ac:dyDescent="0.3">
      <c r="A935">
        <v>100930</v>
      </c>
      <c r="B935" s="8">
        <v>45330.708333333343</v>
      </c>
      <c r="C935" t="s">
        <v>14</v>
      </c>
      <c r="D935" t="s">
        <v>28</v>
      </c>
      <c r="E935" t="s">
        <v>69</v>
      </c>
      <c r="F935" t="s">
        <v>71</v>
      </c>
      <c r="G935">
        <v>4</v>
      </c>
      <c r="H935">
        <v>100.62</v>
      </c>
      <c r="I935">
        <v>5</v>
      </c>
      <c r="J935" t="s">
        <v>73</v>
      </c>
      <c r="K935" t="s">
        <v>78</v>
      </c>
      <c r="L935">
        <v>402.48</v>
      </c>
      <c r="M935">
        <v>20.123999999999999</v>
      </c>
      <c r="N935">
        <v>382.35599999999999</v>
      </c>
      <c r="O93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35" s="9" t="str">
        <f ca="1">IF(OR(ISNUMBER(Table13[[#This Row],[Order_Date]])=FALSE,Table13[[#This Row],[Order_Date]]&lt;DATE(2000,1,1),Table13[[#This Row],[Order_Date]]&gt;TODAY()),"YES","NO")</f>
        <v>NO</v>
      </c>
      <c r="Q935" s="9">
        <f>IF(Table13[[#This Row],[Order_Status]] = "Cancelled",0,IF(Table13[[#This Row],[Order_Status]] = "Returned",Table13[[#This Row],[Net_Sales]] * -1,Table13[[#This Row],[Net_Sales]]))</f>
        <v>-382.35599999999999</v>
      </c>
      <c r="R935" s="9" t="str">
        <f>IF(Table13[[#This Row],[Gross_Sales]]&gt;=500, "YES","NO")</f>
        <v>NO</v>
      </c>
    </row>
    <row r="936" spans="1:18" x14ac:dyDescent="0.3">
      <c r="A936">
        <v>100931</v>
      </c>
      <c r="B936" s="8">
        <v>45330.75</v>
      </c>
      <c r="C936" t="s">
        <v>14</v>
      </c>
      <c r="D936" t="s">
        <v>29</v>
      </c>
      <c r="E936" t="s">
        <v>67</v>
      </c>
      <c r="F936" t="s">
        <v>71</v>
      </c>
      <c r="G936">
        <v>2</v>
      </c>
      <c r="H936">
        <v>110.62</v>
      </c>
      <c r="I936">
        <v>15</v>
      </c>
      <c r="J936" t="s">
        <v>75</v>
      </c>
      <c r="K936" t="s">
        <v>77</v>
      </c>
      <c r="L936">
        <v>221.24</v>
      </c>
      <c r="M936">
        <v>33.186</v>
      </c>
      <c r="N936">
        <v>188.054</v>
      </c>
      <c r="O93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6" s="9" t="str">
        <f ca="1">IF(OR(ISNUMBER(Table13[[#This Row],[Order_Date]])=FALSE,Table13[[#This Row],[Order_Date]]&lt;DATE(2000,1,1),Table13[[#This Row],[Order_Date]]&gt;TODAY()),"YES","NO")</f>
        <v>NO</v>
      </c>
      <c r="Q936" s="9">
        <f>IF(Table13[[#This Row],[Order_Status]] = "Cancelled",0,IF(Table13[[#This Row],[Order_Status]] = "Returned",Table13[[#This Row],[Net_Sales]] * -1,Table13[[#This Row],[Net_Sales]]))</f>
        <v>188.054</v>
      </c>
      <c r="R936" s="9" t="str">
        <f>IF(Table13[[#This Row],[Gross_Sales]]&gt;=500, "YES","NO")</f>
        <v>NO</v>
      </c>
    </row>
    <row r="937" spans="1:18" x14ac:dyDescent="0.3">
      <c r="A937">
        <v>100932</v>
      </c>
      <c r="B937" s="8">
        <v>45330.791666666657</v>
      </c>
      <c r="C937" t="s">
        <v>15</v>
      </c>
      <c r="D937" t="s">
        <v>49</v>
      </c>
      <c r="E937" t="s">
        <v>66</v>
      </c>
      <c r="F937" t="s">
        <v>71</v>
      </c>
      <c r="G937">
        <v>2</v>
      </c>
      <c r="H937">
        <v>79.73</v>
      </c>
      <c r="I937">
        <v>10</v>
      </c>
      <c r="J937" t="s">
        <v>76</v>
      </c>
      <c r="K937" t="s">
        <v>77</v>
      </c>
      <c r="L937">
        <v>159.46</v>
      </c>
      <c r="M937">
        <v>15.946</v>
      </c>
      <c r="N937">
        <v>143.51400000000001</v>
      </c>
      <c r="O93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7" s="9" t="str">
        <f ca="1">IF(OR(ISNUMBER(Table13[[#This Row],[Order_Date]])=FALSE,Table13[[#This Row],[Order_Date]]&lt;DATE(2000,1,1),Table13[[#This Row],[Order_Date]]&gt;TODAY()),"YES","NO")</f>
        <v>NO</v>
      </c>
      <c r="Q937" s="9">
        <f>IF(Table13[[#This Row],[Order_Status]] = "Cancelled",0,IF(Table13[[#This Row],[Order_Status]] = "Returned",Table13[[#This Row],[Net_Sales]] * -1,Table13[[#This Row],[Net_Sales]]))</f>
        <v>143.51400000000001</v>
      </c>
      <c r="R937" s="9" t="str">
        <f>IF(Table13[[#This Row],[Gross_Sales]]&gt;=500, "YES","NO")</f>
        <v>NO</v>
      </c>
    </row>
    <row r="938" spans="1:18" x14ac:dyDescent="0.3">
      <c r="A938">
        <v>100933</v>
      </c>
      <c r="B938" s="8">
        <v>45330.833333333343</v>
      </c>
      <c r="C938" t="s">
        <v>14</v>
      </c>
      <c r="D938" t="s">
        <v>38</v>
      </c>
      <c r="E938" t="s">
        <v>70</v>
      </c>
      <c r="F938" t="s">
        <v>72</v>
      </c>
      <c r="G938">
        <v>3</v>
      </c>
      <c r="H938">
        <v>16.89</v>
      </c>
      <c r="I938">
        <v>15</v>
      </c>
      <c r="J938" t="s">
        <v>75</v>
      </c>
      <c r="K938" t="s">
        <v>77</v>
      </c>
      <c r="L938">
        <v>50.67</v>
      </c>
      <c r="M938">
        <v>7.6005000000000003</v>
      </c>
      <c r="N938">
        <v>43.069500000000012</v>
      </c>
      <c r="O93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8" s="9" t="str">
        <f ca="1">IF(OR(ISNUMBER(Table13[[#This Row],[Order_Date]])=FALSE,Table13[[#This Row],[Order_Date]]&lt;DATE(2000,1,1),Table13[[#This Row],[Order_Date]]&gt;TODAY()),"YES","NO")</f>
        <v>NO</v>
      </c>
      <c r="Q938" s="9">
        <f>IF(Table13[[#This Row],[Order_Status]] = "Cancelled",0,IF(Table13[[#This Row],[Order_Status]] = "Returned",Table13[[#This Row],[Net_Sales]] * -1,Table13[[#This Row],[Net_Sales]]))</f>
        <v>43.069500000000012</v>
      </c>
      <c r="R938" s="9" t="str">
        <f>IF(Table13[[#This Row],[Gross_Sales]]&gt;=500, "YES","NO")</f>
        <v>NO</v>
      </c>
    </row>
    <row r="939" spans="1:18" x14ac:dyDescent="0.3">
      <c r="A939">
        <v>100934</v>
      </c>
      <c r="B939" s="8">
        <v>45330.875</v>
      </c>
      <c r="C939" t="s">
        <v>14</v>
      </c>
      <c r="D939" t="s">
        <v>17</v>
      </c>
      <c r="E939" t="s">
        <v>70</v>
      </c>
      <c r="F939" t="s">
        <v>72</v>
      </c>
      <c r="G939">
        <v>2</v>
      </c>
      <c r="H939">
        <v>51.23</v>
      </c>
      <c r="I939">
        <v>10</v>
      </c>
      <c r="J939" t="s">
        <v>76</v>
      </c>
      <c r="K939" t="s">
        <v>77</v>
      </c>
      <c r="L939">
        <v>102.46</v>
      </c>
      <c r="M939">
        <v>10.246</v>
      </c>
      <c r="N939">
        <v>92.213999999999999</v>
      </c>
      <c r="O93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39" s="9" t="str">
        <f ca="1">IF(OR(ISNUMBER(Table13[[#This Row],[Order_Date]])=FALSE,Table13[[#This Row],[Order_Date]]&lt;DATE(2000,1,1),Table13[[#This Row],[Order_Date]]&gt;TODAY()),"YES","NO")</f>
        <v>NO</v>
      </c>
      <c r="Q939" s="9">
        <f>IF(Table13[[#This Row],[Order_Status]] = "Cancelled",0,IF(Table13[[#This Row],[Order_Status]] = "Returned",Table13[[#This Row],[Net_Sales]] * -1,Table13[[#This Row],[Net_Sales]]))</f>
        <v>92.213999999999999</v>
      </c>
      <c r="R939" s="9" t="str">
        <f>IF(Table13[[#This Row],[Gross_Sales]]&gt;=500, "YES","NO")</f>
        <v>NO</v>
      </c>
    </row>
    <row r="940" spans="1:18" x14ac:dyDescent="0.3">
      <c r="A940">
        <v>100935</v>
      </c>
      <c r="B940" s="8">
        <v>45330.916666666657</v>
      </c>
      <c r="C940" t="s">
        <v>15</v>
      </c>
      <c r="D940" t="s">
        <v>25</v>
      </c>
      <c r="E940" t="s">
        <v>67</v>
      </c>
      <c r="F940" t="s">
        <v>71</v>
      </c>
      <c r="G940">
        <v>1</v>
      </c>
      <c r="H940">
        <v>88.83</v>
      </c>
      <c r="I940">
        <v>10</v>
      </c>
      <c r="J940" t="s">
        <v>76</v>
      </c>
      <c r="K940" t="s">
        <v>77</v>
      </c>
      <c r="L940">
        <v>88.83</v>
      </c>
      <c r="M940">
        <v>8.8830000000000009</v>
      </c>
      <c r="N940">
        <v>79.947000000000003</v>
      </c>
      <c r="O94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0" s="9" t="str">
        <f ca="1">IF(OR(ISNUMBER(Table13[[#This Row],[Order_Date]])=FALSE,Table13[[#This Row],[Order_Date]]&lt;DATE(2000,1,1),Table13[[#This Row],[Order_Date]]&gt;TODAY()),"YES","NO")</f>
        <v>NO</v>
      </c>
      <c r="Q940" s="9">
        <f>IF(Table13[[#This Row],[Order_Status]] = "Cancelled",0,IF(Table13[[#This Row],[Order_Status]] = "Returned",Table13[[#This Row],[Net_Sales]] * -1,Table13[[#This Row],[Net_Sales]]))</f>
        <v>79.947000000000003</v>
      </c>
      <c r="R940" s="9" t="str">
        <f>IF(Table13[[#This Row],[Gross_Sales]]&gt;=500, "YES","NO")</f>
        <v>NO</v>
      </c>
    </row>
    <row r="941" spans="1:18" x14ac:dyDescent="0.3">
      <c r="A941">
        <v>100936</v>
      </c>
      <c r="B941" s="8">
        <v>45330.958333333343</v>
      </c>
      <c r="C941" t="s">
        <v>14</v>
      </c>
      <c r="D941" t="s">
        <v>19</v>
      </c>
      <c r="E941" t="s">
        <v>69</v>
      </c>
      <c r="F941" t="s">
        <v>72</v>
      </c>
      <c r="G941">
        <v>5</v>
      </c>
      <c r="H941">
        <v>94.68</v>
      </c>
      <c r="I941">
        <v>5</v>
      </c>
      <c r="J941" t="s">
        <v>74</v>
      </c>
      <c r="K941" t="s">
        <v>78</v>
      </c>
      <c r="L941">
        <v>473.4</v>
      </c>
      <c r="M941">
        <v>23.67</v>
      </c>
      <c r="N941">
        <v>449.73</v>
      </c>
      <c r="O94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41" s="9" t="str">
        <f ca="1">IF(OR(ISNUMBER(Table13[[#This Row],[Order_Date]])=FALSE,Table13[[#This Row],[Order_Date]]&lt;DATE(2000,1,1),Table13[[#This Row],[Order_Date]]&gt;TODAY()),"YES","NO")</f>
        <v>NO</v>
      </c>
      <c r="Q941" s="9">
        <f>IF(Table13[[#This Row],[Order_Status]] = "Cancelled",0,IF(Table13[[#This Row],[Order_Status]] = "Returned",Table13[[#This Row],[Net_Sales]] * -1,Table13[[#This Row],[Net_Sales]]))</f>
        <v>-449.73</v>
      </c>
      <c r="R941" s="9" t="str">
        <f>IF(Table13[[#This Row],[Gross_Sales]]&gt;=500, "YES","NO")</f>
        <v>NO</v>
      </c>
    </row>
    <row r="942" spans="1:18" x14ac:dyDescent="0.3">
      <c r="A942">
        <v>100937</v>
      </c>
      <c r="B942" s="8">
        <v>45331</v>
      </c>
      <c r="C942" t="s">
        <v>15</v>
      </c>
      <c r="D942" t="s">
        <v>38</v>
      </c>
      <c r="E942" t="s">
        <v>66</v>
      </c>
      <c r="F942" t="s">
        <v>72</v>
      </c>
      <c r="G942">
        <v>4</v>
      </c>
      <c r="H942">
        <v>18.600000000000001</v>
      </c>
      <c r="I942">
        <v>10</v>
      </c>
      <c r="J942" t="s">
        <v>73</v>
      </c>
      <c r="K942" t="s">
        <v>77</v>
      </c>
      <c r="L942">
        <v>74.400000000000006</v>
      </c>
      <c r="M942">
        <v>7.4400000000000013</v>
      </c>
      <c r="N942">
        <v>66.960000000000008</v>
      </c>
      <c r="O94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2" s="9" t="str">
        <f ca="1">IF(OR(ISNUMBER(Table13[[#This Row],[Order_Date]])=FALSE,Table13[[#This Row],[Order_Date]]&lt;DATE(2000,1,1),Table13[[#This Row],[Order_Date]]&gt;TODAY()),"YES","NO")</f>
        <v>NO</v>
      </c>
      <c r="Q942" s="9">
        <f>IF(Table13[[#This Row],[Order_Status]] = "Cancelled",0,IF(Table13[[#This Row],[Order_Status]] = "Returned",Table13[[#This Row],[Net_Sales]] * -1,Table13[[#This Row],[Net_Sales]]))</f>
        <v>66.960000000000008</v>
      </c>
      <c r="R942" s="9" t="str">
        <f>IF(Table13[[#This Row],[Gross_Sales]]&gt;=500, "YES","NO")</f>
        <v>NO</v>
      </c>
    </row>
    <row r="943" spans="1:18" x14ac:dyDescent="0.3">
      <c r="A943">
        <v>100938</v>
      </c>
      <c r="B943" s="8">
        <v>45331.041666666657</v>
      </c>
      <c r="C943" t="s">
        <v>14</v>
      </c>
      <c r="D943" t="s">
        <v>61</v>
      </c>
      <c r="E943" t="s">
        <v>68</v>
      </c>
      <c r="F943" t="s">
        <v>72</v>
      </c>
      <c r="G943">
        <v>5</v>
      </c>
      <c r="H943">
        <v>5</v>
      </c>
      <c r="I943">
        <v>0</v>
      </c>
      <c r="J943" t="s">
        <v>75</v>
      </c>
      <c r="K943" t="s">
        <v>77</v>
      </c>
      <c r="L943">
        <v>25</v>
      </c>
      <c r="M943">
        <v>0</v>
      </c>
      <c r="N943">
        <v>25</v>
      </c>
      <c r="O94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3" s="9" t="str">
        <f ca="1">IF(OR(ISNUMBER(Table13[[#This Row],[Order_Date]])=FALSE,Table13[[#This Row],[Order_Date]]&lt;DATE(2000,1,1),Table13[[#This Row],[Order_Date]]&gt;TODAY()),"YES","NO")</f>
        <v>NO</v>
      </c>
      <c r="Q943" s="9">
        <f>IF(Table13[[#This Row],[Order_Status]] = "Cancelled",0,IF(Table13[[#This Row],[Order_Status]] = "Returned",Table13[[#This Row],[Net_Sales]] * -1,Table13[[#This Row],[Net_Sales]]))</f>
        <v>25</v>
      </c>
      <c r="R943" s="9" t="str">
        <f>IF(Table13[[#This Row],[Gross_Sales]]&gt;=500, "YES","NO")</f>
        <v>NO</v>
      </c>
    </row>
    <row r="944" spans="1:18" x14ac:dyDescent="0.3">
      <c r="A944">
        <v>100939</v>
      </c>
      <c r="B944" s="8">
        <v>45331.083333333343</v>
      </c>
      <c r="C944" t="s">
        <v>15</v>
      </c>
      <c r="D944" t="s">
        <v>25</v>
      </c>
      <c r="E944" t="s">
        <v>67</v>
      </c>
      <c r="F944" t="s">
        <v>72</v>
      </c>
      <c r="G944">
        <v>3</v>
      </c>
      <c r="H944">
        <v>86.9</v>
      </c>
      <c r="I944">
        <v>0</v>
      </c>
      <c r="J944" t="s">
        <v>75</v>
      </c>
      <c r="K944" t="s">
        <v>77</v>
      </c>
      <c r="L944">
        <v>260.7</v>
      </c>
      <c r="M944">
        <v>0</v>
      </c>
      <c r="N944">
        <v>260.7</v>
      </c>
      <c r="O94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4" s="9" t="str">
        <f ca="1">IF(OR(ISNUMBER(Table13[[#This Row],[Order_Date]])=FALSE,Table13[[#This Row],[Order_Date]]&lt;DATE(2000,1,1),Table13[[#This Row],[Order_Date]]&gt;TODAY()),"YES","NO")</f>
        <v>NO</v>
      </c>
      <c r="Q944" s="9">
        <f>IF(Table13[[#This Row],[Order_Status]] = "Cancelled",0,IF(Table13[[#This Row],[Order_Status]] = "Returned",Table13[[#This Row],[Net_Sales]] * -1,Table13[[#This Row],[Net_Sales]]))</f>
        <v>260.7</v>
      </c>
      <c r="R944" s="9" t="str">
        <f>IF(Table13[[#This Row],[Gross_Sales]]&gt;=500, "YES","NO")</f>
        <v>NO</v>
      </c>
    </row>
    <row r="945" spans="1:18" x14ac:dyDescent="0.3">
      <c r="A945">
        <v>100940</v>
      </c>
      <c r="B945" s="8">
        <v>45331.125</v>
      </c>
      <c r="C945" t="s">
        <v>15</v>
      </c>
      <c r="D945" t="s">
        <v>34</v>
      </c>
      <c r="E945" t="s">
        <v>69</v>
      </c>
      <c r="F945" t="s">
        <v>72</v>
      </c>
      <c r="G945">
        <v>4</v>
      </c>
      <c r="H945">
        <v>46.01</v>
      </c>
      <c r="I945">
        <v>5</v>
      </c>
      <c r="J945" t="s">
        <v>75</v>
      </c>
      <c r="K945" t="s">
        <v>77</v>
      </c>
      <c r="L945">
        <v>184.04</v>
      </c>
      <c r="M945">
        <v>9.202</v>
      </c>
      <c r="N945">
        <v>174.83799999999999</v>
      </c>
      <c r="O94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5" s="9" t="str">
        <f ca="1">IF(OR(ISNUMBER(Table13[[#This Row],[Order_Date]])=FALSE,Table13[[#This Row],[Order_Date]]&lt;DATE(2000,1,1),Table13[[#This Row],[Order_Date]]&gt;TODAY()),"YES","NO")</f>
        <v>NO</v>
      </c>
      <c r="Q945" s="9">
        <f>IF(Table13[[#This Row],[Order_Status]] = "Cancelled",0,IF(Table13[[#This Row],[Order_Status]] = "Returned",Table13[[#This Row],[Net_Sales]] * -1,Table13[[#This Row],[Net_Sales]]))</f>
        <v>174.83799999999999</v>
      </c>
      <c r="R945" s="9" t="str">
        <f>IF(Table13[[#This Row],[Gross_Sales]]&gt;=500, "YES","NO")</f>
        <v>NO</v>
      </c>
    </row>
    <row r="946" spans="1:18" x14ac:dyDescent="0.3">
      <c r="A946">
        <v>100941</v>
      </c>
      <c r="B946" s="8">
        <v>45331.166666666657</v>
      </c>
      <c r="C946" t="s">
        <v>15</v>
      </c>
      <c r="D946" t="s">
        <v>27</v>
      </c>
      <c r="E946" t="s">
        <v>68</v>
      </c>
      <c r="F946" t="s">
        <v>72</v>
      </c>
      <c r="G946">
        <v>4</v>
      </c>
      <c r="H946">
        <v>34.270000000000003</v>
      </c>
      <c r="I946">
        <v>15</v>
      </c>
      <c r="J946" t="s">
        <v>73</v>
      </c>
      <c r="K946" t="s">
        <v>77</v>
      </c>
      <c r="L946">
        <v>137.08000000000001</v>
      </c>
      <c r="M946">
        <v>20.562000000000001</v>
      </c>
      <c r="N946">
        <v>116.518</v>
      </c>
      <c r="O94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6" s="9" t="str">
        <f ca="1">IF(OR(ISNUMBER(Table13[[#This Row],[Order_Date]])=FALSE,Table13[[#This Row],[Order_Date]]&lt;DATE(2000,1,1),Table13[[#This Row],[Order_Date]]&gt;TODAY()),"YES","NO")</f>
        <v>NO</v>
      </c>
      <c r="Q946" s="9">
        <f>IF(Table13[[#This Row],[Order_Status]] = "Cancelled",0,IF(Table13[[#This Row],[Order_Status]] = "Returned",Table13[[#This Row],[Net_Sales]] * -1,Table13[[#This Row],[Net_Sales]]))</f>
        <v>116.518</v>
      </c>
      <c r="R946" s="9" t="str">
        <f>IF(Table13[[#This Row],[Gross_Sales]]&gt;=500, "YES","NO")</f>
        <v>NO</v>
      </c>
    </row>
    <row r="947" spans="1:18" x14ac:dyDescent="0.3">
      <c r="A947">
        <v>100942</v>
      </c>
      <c r="B947" s="8">
        <v>45331.208333333343</v>
      </c>
      <c r="C947" t="s">
        <v>14</v>
      </c>
      <c r="D947" t="s">
        <v>16</v>
      </c>
      <c r="E947" t="s">
        <v>70</v>
      </c>
      <c r="F947" t="s">
        <v>72</v>
      </c>
      <c r="G947">
        <v>1</v>
      </c>
      <c r="H947">
        <v>6.48</v>
      </c>
      <c r="I947">
        <v>15</v>
      </c>
      <c r="J947" t="s">
        <v>74</v>
      </c>
      <c r="K947" t="s">
        <v>77</v>
      </c>
      <c r="L947">
        <v>6.48</v>
      </c>
      <c r="M947">
        <v>0.97199999999999998</v>
      </c>
      <c r="N947">
        <v>5.5080000000000009</v>
      </c>
      <c r="O94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7" s="9" t="str">
        <f ca="1">IF(OR(ISNUMBER(Table13[[#This Row],[Order_Date]])=FALSE,Table13[[#This Row],[Order_Date]]&lt;DATE(2000,1,1),Table13[[#This Row],[Order_Date]]&gt;TODAY()),"YES","NO")</f>
        <v>NO</v>
      </c>
      <c r="Q947" s="9">
        <f>IF(Table13[[#This Row],[Order_Status]] = "Cancelled",0,IF(Table13[[#This Row],[Order_Status]] = "Returned",Table13[[#This Row],[Net_Sales]] * -1,Table13[[#This Row],[Net_Sales]]))</f>
        <v>5.5080000000000009</v>
      </c>
      <c r="R947" s="9" t="str">
        <f>IF(Table13[[#This Row],[Gross_Sales]]&gt;=500, "YES","NO")</f>
        <v>NO</v>
      </c>
    </row>
    <row r="948" spans="1:18" x14ac:dyDescent="0.3">
      <c r="A948">
        <v>100943</v>
      </c>
      <c r="B948" s="8">
        <v>45331.25</v>
      </c>
      <c r="C948" t="s">
        <v>15</v>
      </c>
      <c r="D948" t="s">
        <v>60</v>
      </c>
      <c r="E948" t="s">
        <v>70</v>
      </c>
      <c r="F948" t="s">
        <v>71</v>
      </c>
      <c r="G948">
        <v>3</v>
      </c>
      <c r="H948">
        <v>67.13</v>
      </c>
      <c r="I948">
        <v>15</v>
      </c>
      <c r="J948" t="s">
        <v>75</v>
      </c>
      <c r="K948" t="s">
        <v>77</v>
      </c>
      <c r="L948">
        <v>201.39</v>
      </c>
      <c r="M948">
        <v>30.208500000000001</v>
      </c>
      <c r="N948">
        <v>171.1815</v>
      </c>
      <c r="O94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8" s="9" t="str">
        <f ca="1">IF(OR(ISNUMBER(Table13[[#This Row],[Order_Date]])=FALSE,Table13[[#This Row],[Order_Date]]&lt;DATE(2000,1,1),Table13[[#This Row],[Order_Date]]&gt;TODAY()),"YES","NO")</f>
        <v>NO</v>
      </c>
      <c r="Q948" s="9">
        <f>IF(Table13[[#This Row],[Order_Status]] = "Cancelled",0,IF(Table13[[#This Row],[Order_Status]] = "Returned",Table13[[#This Row],[Net_Sales]] * -1,Table13[[#This Row],[Net_Sales]]))</f>
        <v>171.1815</v>
      </c>
      <c r="R948" s="9" t="str">
        <f>IF(Table13[[#This Row],[Gross_Sales]]&gt;=500, "YES","NO")</f>
        <v>NO</v>
      </c>
    </row>
    <row r="949" spans="1:18" x14ac:dyDescent="0.3">
      <c r="A949">
        <v>100944</v>
      </c>
      <c r="B949" s="8">
        <v>45331.291666666657</v>
      </c>
      <c r="C949" t="s">
        <v>14</v>
      </c>
      <c r="D949" t="s">
        <v>48</v>
      </c>
      <c r="E949" t="s">
        <v>68</v>
      </c>
      <c r="F949" t="s">
        <v>71</v>
      </c>
      <c r="G949">
        <v>2</v>
      </c>
      <c r="H949">
        <v>102.88</v>
      </c>
      <c r="I949">
        <v>0</v>
      </c>
      <c r="J949" t="s">
        <v>73</v>
      </c>
      <c r="K949" t="s">
        <v>77</v>
      </c>
      <c r="L949">
        <v>205.76</v>
      </c>
      <c r="M949">
        <v>0</v>
      </c>
      <c r="N949">
        <v>205.76</v>
      </c>
      <c r="O94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49" s="9" t="str">
        <f ca="1">IF(OR(ISNUMBER(Table13[[#This Row],[Order_Date]])=FALSE,Table13[[#This Row],[Order_Date]]&lt;DATE(2000,1,1),Table13[[#This Row],[Order_Date]]&gt;TODAY()),"YES","NO")</f>
        <v>NO</v>
      </c>
      <c r="Q949" s="9">
        <f>IF(Table13[[#This Row],[Order_Status]] = "Cancelled",0,IF(Table13[[#This Row],[Order_Status]] = "Returned",Table13[[#This Row],[Net_Sales]] * -1,Table13[[#This Row],[Net_Sales]]))</f>
        <v>205.76</v>
      </c>
      <c r="R949" s="9" t="str">
        <f>IF(Table13[[#This Row],[Gross_Sales]]&gt;=500, "YES","NO")</f>
        <v>NO</v>
      </c>
    </row>
    <row r="950" spans="1:18" x14ac:dyDescent="0.3">
      <c r="A950">
        <v>100945</v>
      </c>
      <c r="B950" s="8">
        <v>45331.333333333343</v>
      </c>
      <c r="C950" t="s">
        <v>14</v>
      </c>
      <c r="D950" t="s">
        <v>37</v>
      </c>
      <c r="E950" t="s">
        <v>67</v>
      </c>
      <c r="F950" t="s">
        <v>72</v>
      </c>
      <c r="G950">
        <v>1</v>
      </c>
      <c r="H950">
        <v>115.13</v>
      </c>
      <c r="I950">
        <v>15</v>
      </c>
      <c r="J950" t="s">
        <v>76</v>
      </c>
      <c r="K950" t="s">
        <v>77</v>
      </c>
      <c r="L950">
        <v>115.13</v>
      </c>
      <c r="M950">
        <v>17.269500000000001</v>
      </c>
      <c r="N950">
        <v>97.860500000000002</v>
      </c>
      <c r="O95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0" s="9" t="str">
        <f ca="1">IF(OR(ISNUMBER(Table13[[#This Row],[Order_Date]])=FALSE,Table13[[#This Row],[Order_Date]]&lt;DATE(2000,1,1),Table13[[#This Row],[Order_Date]]&gt;TODAY()),"YES","NO")</f>
        <v>NO</v>
      </c>
      <c r="Q950" s="9">
        <f>IF(Table13[[#This Row],[Order_Status]] = "Cancelled",0,IF(Table13[[#This Row],[Order_Status]] = "Returned",Table13[[#This Row],[Net_Sales]] * -1,Table13[[#This Row],[Net_Sales]]))</f>
        <v>97.860500000000002</v>
      </c>
      <c r="R950" s="9" t="str">
        <f>IF(Table13[[#This Row],[Gross_Sales]]&gt;=500, "YES","NO")</f>
        <v>NO</v>
      </c>
    </row>
    <row r="951" spans="1:18" x14ac:dyDescent="0.3">
      <c r="A951">
        <v>100946</v>
      </c>
      <c r="B951" s="8">
        <v>45331.375</v>
      </c>
      <c r="C951" t="s">
        <v>14</v>
      </c>
      <c r="D951" t="s">
        <v>25</v>
      </c>
      <c r="E951" t="s">
        <v>70</v>
      </c>
      <c r="F951" t="s">
        <v>71</v>
      </c>
      <c r="G951">
        <v>1</v>
      </c>
      <c r="H951">
        <v>70.06</v>
      </c>
      <c r="I951">
        <v>15</v>
      </c>
      <c r="J951" t="s">
        <v>75</v>
      </c>
      <c r="K951" t="s">
        <v>77</v>
      </c>
      <c r="L951">
        <v>70.06</v>
      </c>
      <c r="M951">
        <v>10.509</v>
      </c>
      <c r="N951">
        <v>59.551000000000002</v>
      </c>
      <c r="O95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1" s="9" t="str">
        <f ca="1">IF(OR(ISNUMBER(Table13[[#This Row],[Order_Date]])=FALSE,Table13[[#This Row],[Order_Date]]&lt;DATE(2000,1,1),Table13[[#This Row],[Order_Date]]&gt;TODAY()),"YES","NO")</f>
        <v>NO</v>
      </c>
      <c r="Q951" s="9">
        <f>IF(Table13[[#This Row],[Order_Status]] = "Cancelled",0,IF(Table13[[#This Row],[Order_Status]] = "Returned",Table13[[#This Row],[Net_Sales]] * -1,Table13[[#This Row],[Net_Sales]]))</f>
        <v>59.551000000000002</v>
      </c>
      <c r="R951" s="9" t="str">
        <f>IF(Table13[[#This Row],[Gross_Sales]]&gt;=500, "YES","NO")</f>
        <v>NO</v>
      </c>
    </row>
    <row r="952" spans="1:18" x14ac:dyDescent="0.3">
      <c r="A952">
        <v>100947</v>
      </c>
      <c r="B952" s="8">
        <v>45331.416666666657</v>
      </c>
      <c r="C952" t="s">
        <v>14</v>
      </c>
      <c r="D952" t="s">
        <v>47</v>
      </c>
      <c r="E952" t="s">
        <v>66</v>
      </c>
      <c r="F952" t="s">
        <v>71</v>
      </c>
      <c r="G952">
        <v>5</v>
      </c>
      <c r="H952">
        <v>64.16</v>
      </c>
      <c r="I952">
        <v>5</v>
      </c>
      <c r="J952" t="s">
        <v>75</v>
      </c>
      <c r="K952" t="s">
        <v>77</v>
      </c>
      <c r="L952">
        <v>320.8</v>
      </c>
      <c r="M952">
        <v>16.04</v>
      </c>
      <c r="N952">
        <v>304.75999999999988</v>
      </c>
      <c r="O95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2" s="9" t="str">
        <f ca="1">IF(OR(ISNUMBER(Table13[[#This Row],[Order_Date]])=FALSE,Table13[[#This Row],[Order_Date]]&lt;DATE(2000,1,1),Table13[[#This Row],[Order_Date]]&gt;TODAY()),"YES","NO")</f>
        <v>NO</v>
      </c>
      <c r="Q952" s="9">
        <f>IF(Table13[[#This Row],[Order_Status]] = "Cancelled",0,IF(Table13[[#This Row],[Order_Status]] = "Returned",Table13[[#This Row],[Net_Sales]] * -1,Table13[[#This Row],[Net_Sales]]))</f>
        <v>304.75999999999988</v>
      </c>
      <c r="R952" s="9" t="str">
        <f>IF(Table13[[#This Row],[Gross_Sales]]&gt;=500, "YES","NO")</f>
        <v>NO</v>
      </c>
    </row>
    <row r="953" spans="1:18" x14ac:dyDescent="0.3">
      <c r="A953">
        <v>100948</v>
      </c>
      <c r="B953" s="8">
        <v>45331.458333333343</v>
      </c>
      <c r="C953" t="s">
        <v>15</v>
      </c>
      <c r="D953" t="s">
        <v>20</v>
      </c>
      <c r="E953" t="s">
        <v>68</v>
      </c>
      <c r="F953" t="s">
        <v>72</v>
      </c>
      <c r="G953">
        <v>5</v>
      </c>
      <c r="H953">
        <v>14.78</v>
      </c>
      <c r="I953">
        <v>15</v>
      </c>
      <c r="J953" t="s">
        <v>74</v>
      </c>
      <c r="K953" t="s">
        <v>77</v>
      </c>
      <c r="L953">
        <v>73.899999999999991</v>
      </c>
      <c r="M953">
        <v>11.085000000000001</v>
      </c>
      <c r="N953">
        <v>62.814999999999991</v>
      </c>
      <c r="O95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3" s="9" t="str">
        <f ca="1">IF(OR(ISNUMBER(Table13[[#This Row],[Order_Date]])=FALSE,Table13[[#This Row],[Order_Date]]&lt;DATE(2000,1,1),Table13[[#This Row],[Order_Date]]&gt;TODAY()),"YES","NO")</f>
        <v>NO</v>
      </c>
      <c r="Q953" s="9">
        <f>IF(Table13[[#This Row],[Order_Status]] = "Cancelled",0,IF(Table13[[#This Row],[Order_Status]] = "Returned",Table13[[#This Row],[Net_Sales]] * -1,Table13[[#This Row],[Net_Sales]]))</f>
        <v>62.814999999999991</v>
      </c>
      <c r="R953" s="9" t="str">
        <f>IF(Table13[[#This Row],[Gross_Sales]]&gt;=500, "YES","NO")</f>
        <v>NO</v>
      </c>
    </row>
    <row r="954" spans="1:18" x14ac:dyDescent="0.3">
      <c r="A954">
        <v>100949</v>
      </c>
      <c r="B954" s="8">
        <v>45331.5</v>
      </c>
      <c r="C954" t="s">
        <v>15</v>
      </c>
      <c r="D954" t="s">
        <v>29</v>
      </c>
      <c r="E954" t="s">
        <v>68</v>
      </c>
      <c r="F954" t="s">
        <v>71</v>
      </c>
      <c r="G954">
        <v>5</v>
      </c>
      <c r="H954">
        <v>68.12</v>
      </c>
      <c r="I954">
        <v>0</v>
      </c>
      <c r="J954" t="s">
        <v>75</v>
      </c>
      <c r="K954" t="s">
        <v>77</v>
      </c>
      <c r="L954">
        <v>340.6</v>
      </c>
      <c r="M954">
        <v>0</v>
      </c>
      <c r="N954">
        <v>340.6</v>
      </c>
      <c r="O95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4" s="9" t="str">
        <f ca="1">IF(OR(ISNUMBER(Table13[[#This Row],[Order_Date]])=FALSE,Table13[[#This Row],[Order_Date]]&lt;DATE(2000,1,1),Table13[[#This Row],[Order_Date]]&gt;TODAY()),"YES","NO")</f>
        <v>NO</v>
      </c>
      <c r="Q954" s="9">
        <f>IF(Table13[[#This Row],[Order_Status]] = "Cancelled",0,IF(Table13[[#This Row],[Order_Status]] = "Returned",Table13[[#This Row],[Net_Sales]] * -1,Table13[[#This Row],[Net_Sales]]))</f>
        <v>340.6</v>
      </c>
      <c r="R954" s="9" t="str">
        <f>IF(Table13[[#This Row],[Gross_Sales]]&gt;=500, "YES","NO")</f>
        <v>NO</v>
      </c>
    </row>
    <row r="955" spans="1:18" x14ac:dyDescent="0.3">
      <c r="A955">
        <v>100950</v>
      </c>
      <c r="B955" s="8">
        <v>45331.541666666657</v>
      </c>
      <c r="C955" t="s">
        <v>14</v>
      </c>
      <c r="D955" t="s">
        <v>30</v>
      </c>
      <c r="E955" t="s">
        <v>70</v>
      </c>
      <c r="F955" t="s">
        <v>72</v>
      </c>
      <c r="G955">
        <v>1</v>
      </c>
      <c r="H955">
        <v>48.7</v>
      </c>
      <c r="I955">
        <v>0</v>
      </c>
      <c r="J955" t="s">
        <v>75</v>
      </c>
      <c r="K955" t="s">
        <v>77</v>
      </c>
      <c r="L955">
        <v>48.7</v>
      </c>
      <c r="M955">
        <v>0</v>
      </c>
      <c r="N955">
        <v>48.7</v>
      </c>
      <c r="O95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5" s="9" t="str">
        <f ca="1">IF(OR(ISNUMBER(Table13[[#This Row],[Order_Date]])=FALSE,Table13[[#This Row],[Order_Date]]&lt;DATE(2000,1,1),Table13[[#This Row],[Order_Date]]&gt;TODAY()),"YES","NO")</f>
        <v>NO</v>
      </c>
      <c r="Q955" s="9">
        <f>IF(Table13[[#This Row],[Order_Status]] = "Cancelled",0,IF(Table13[[#This Row],[Order_Status]] = "Returned",Table13[[#This Row],[Net_Sales]] * -1,Table13[[#This Row],[Net_Sales]]))</f>
        <v>48.7</v>
      </c>
      <c r="R955" s="9" t="str">
        <f>IF(Table13[[#This Row],[Gross_Sales]]&gt;=500, "YES","NO")</f>
        <v>NO</v>
      </c>
    </row>
    <row r="956" spans="1:18" x14ac:dyDescent="0.3">
      <c r="A956">
        <v>100951</v>
      </c>
      <c r="B956" s="8">
        <v>45331.583333333343</v>
      </c>
      <c r="C956" t="s">
        <v>14</v>
      </c>
      <c r="D956" t="s">
        <v>17</v>
      </c>
      <c r="E956" t="s">
        <v>67</v>
      </c>
      <c r="F956" t="s">
        <v>72</v>
      </c>
      <c r="G956">
        <v>2</v>
      </c>
      <c r="H956">
        <v>74.819999999999993</v>
      </c>
      <c r="I956">
        <v>0</v>
      </c>
      <c r="J956" t="s">
        <v>76</v>
      </c>
      <c r="K956" t="s">
        <v>77</v>
      </c>
      <c r="L956">
        <v>149.63999999999999</v>
      </c>
      <c r="M956">
        <v>0</v>
      </c>
      <c r="N956">
        <v>149.63999999999999</v>
      </c>
      <c r="O95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6" s="9" t="str">
        <f ca="1">IF(OR(ISNUMBER(Table13[[#This Row],[Order_Date]])=FALSE,Table13[[#This Row],[Order_Date]]&lt;DATE(2000,1,1),Table13[[#This Row],[Order_Date]]&gt;TODAY()),"YES","NO")</f>
        <v>NO</v>
      </c>
      <c r="Q956" s="9">
        <f>IF(Table13[[#This Row],[Order_Status]] = "Cancelled",0,IF(Table13[[#This Row],[Order_Status]] = "Returned",Table13[[#This Row],[Net_Sales]] * -1,Table13[[#This Row],[Net_Sales]]))</f>
        <v>149.63999999999999</v>
      </c>
      <c r="R956" s="9" t="str">
        <f>IF(Table13[[#This Row],[Gross_Sales]]&gt;=500, "YES","NO")</f>
        <v>NO</v>
      </c>
    </row>
    <row r="957" spans="1:18" x14ac:dyDescent="0.3">
      <c r="A957">
        <v>100952</v>
      </c>
      <c r="B957" s="8">
        <v>45331.625</v>
      </c>
      <c r="C957" t="s">
        <v>15</v>
      </c>
      <c r="D957" t="s">
        <v>53</v>
      </c>
      <c r="E957" t="s">
        <v>66</v>
      </c>
      <c r="F957" t="s">
        <v>72</v>
      </c>
      <c r="G957">
        <v>4</v>
      </c>
      <c r="H957">
        <v>49.7</v>
      </c>
      <c r="I957">
        <v>5</v>
      </c>
      <c r="J957" t="s">
        <v>73</v>
      </c>
      <c r="K957" t="s">
        <v>77</v>
      </c>
      <c r="L957">
        <v>198.8</v>
      </c>
      <c r="M957">
        <v>9.9400000000000013</v>
      </c>
      <c r="N957">
        <v>188.86</v>
      </c>
      <c r="O95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7" s="9" t="str">
        <f ca="1">IF(OR(ISNUMBER(Table13[[#This Row],[Order_Date]])=FALSE,Table13[[#This Row],[Order_Date]]&lt;DATE(2000,1,1),Table13[[#This Row],[Order_Date]]&gt;TODAY()),"YES","NO")</f>
        <v>NO</v>
      </c>
      <c r="Q957" s="9">
        <f>IF(Table13[[#This Row],[Order_Status]] = "Cancelled",0,IF(Table13[[#This Row],[Order_Status]] = "Returned",Table13[[#This Row],[Net_Sales]] * -1,Table13[[#This Row],[Net_Sales]]))</f>
        <v>188.86</v>
      </c>
      <c r="R957" s="9" t="str">
        <f>IF(Table13[[#This Row],[Gross_Sales]]&gt;=500, "YES","NO")</f>
        <v>NO</v>
      </c>
    </row>
    <row r="958" spans="1:18" x14ac:dyDescent="0.3">
      <c r="A958">
        <v>100953</v>
      </c>
      <c r="B958" s="8">
        <v>45331.666666666657</v>
      </c>
      <c r="C958" t="s">
        <v>14</v>
      </c>
      <c r="D958" t="s">
        <v>52</v>
      </c>
      <c r="E958" t="s">
        <v>67</v>
      </c>
      <c r="F958" t="s">
        <v>71</v>
      </c>
      <c r="G958">
        <v>5</v>
      </c>
      <c r="H958">
        <v>32.630000000000003</v>
      </c>
      <c r="I958">
        <v>5</v>
      </c>
      <c r="J958" t="s">
        <v>73</v>
      </c>
      <c r="K958" t="s">
        <v>77</v>
      </c>
      <c r="L958">
        <v>163.15</v>
      </c>
      <c r="M958">
        <v>8.1575000000000006</v>
      </c>
      <c r="N958">
        <v>154.99250000000001</v>
      </c>
      <c r="O95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58" s="9" t="str">
        <f ca="1">IF(OR(ISNUMBER(Table13[[#This Row],[Order_Date]])=FALSE,Table13[[#This Row],[Order_Date]]&lt;DATE(2000,1,1),Table13[[#This Row],[Order_Date]]&gt;TODAY()),"YES","NO")</f>
        <v>NO</v>
      </c>
      <c r="Q958" s="9">
        <f>IF(Table13[[#This Row],[Order_Status]] = "Cancelled",0,IF(Table13[[#This Row],[Order_Status]] = "Returned",Table13[[#This Row],[Net_Sales]] * -1,Table13[[#This Row],[Net_Sales]]))</f>
        <v>154.99250000000001</v>
      </c>
      <c r="R958" s="9" t="str">
        <f>IF(Table13[[#This Row],[Gross_Sales]]&gt;=500, "YES","NO")</f>
        <v>NO</v>
      </c>
    </row>
    <row r="959" spans="1:18" x14ac:dyDescent="0.3">
      <c r="A959">
        <v>100954</v>
      </c>
      <c r="B959" s="8">
        <v>45331.708333333343</v>
      </c>
      <c r="C959" t="s">
        <v>15</v>
      </c>
      <c r="D959" t="s">
        <v>50</v>
      </c>
      <c r="E959" t="s">
        <v>69</v>
      </c>
      <c r="F959" t="s">
        <v>71</v>
      </c>
      <c r="G959">
        <v>2</v>
      </c>
      <c r="H959">
        <v>15.92</v>
      </c>
      <c r="I959">
        <v>10</v>
      </c>
      <c r="J959" t="s">
        <v>74</v>
      </c>
      <c r="K959" t="s">
        <v>79</v>
      </c>
      <c r="L959">
        <v>31.84</v>
      </c>
      <c r="M959">
        <v>3.1840000000000002</v>
      </c>
      <c r="N959">
        <v>28.655999999999999</v>
      </c>
      <c r="O95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59" s="9" t="str">
        <f ca="1">IF(OR(ISNUMBER(Table13[[#This Row],[Order_Date]])=FALSE,Table13[[#This Row],[Order_Date]]&lt;DATE(2000,1,1),Table13[[#This Row],[Order_Date]]&gt;TODAY()),"YES","NO")</f>
        <v>NO</v>
      </c>
      <c r="Q959" s="9">
        <f>IF(Table13[[#This Row],[Order_Status]] = "Cancelled",0,IF(Table13[[#This Row],[Order_Status]] = "Returned",Table13[[#This Row],[Net_Sales]] * -1,Table13[[#This Row],[Net_Sales]]))</f>
        <v>0</v>
      </c>
      <c r="R959" s="9" t="str">
        <f>IF(Table13[[#This Row],[Gross_Sales]]&gt;=500, "YES","NO")</f>
        <v>NO</v>
      </c>
    </row>
    <row r="960" spans="1:18" x14ac:dyDescent="0.3">
      <c r="A960">
        <v>100955</v>
      </c>
      <c r="B960" s="8">
        <v>45331.75</v>
      </c>
      <c r="C960" t="s">
        <v>14</v>
      </c>
      <c r="D960" t="s">
        <v>44</v>
      </c>
      <c r="E960" t="s">
        <v>69</v>
      </c>
      <c r="F960" t="s">
        <v>71</v>
      </c>
      <c r="G960">
        <v>3</v>
      </c>
      <c r="H960">
        <v>41.22</v>
      </c>
      <c r="I960">
        <v>15</v>
      </c>
      <c r="J960" t="s">
        <v>76</v>
      </c>
      <c r="K960" t="s">
        <v>77</v>
      </c>
      <c r="L960">
        <v>123.66</v>
      </c>
      <c r="M960">
        <v>18.548999999999999</v>
      </c>
      <c r="N960">
        <v>105.111</v>
      </c>
      <c r="O96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0" s="9" t="str">
        <f ca="1">IF(OR(ISNUMBER(Table13[[#This Row],[Order_Date]])=FALSE,Table13[[#This Row],[Order_Date]]&lt;DATE(2000,1,1),Table13[[#This Row],[Order_Date]]&gt;TODAY()),"YES","NO")</f>
        <v>NO</v>
      </c>
      <c r="Q960" s="9">
        <f>IF(Table13[[#This Row],[Order_Status]] = "Cancelled",0,IF(Table13[[#This Row],[Order_Status]] = "Returned",Table13[[#This Row],[Net_Sales]] * -1,Table13[[#This Row],[Net_Sales]]))</f>
        <v>105.111</v>
      </c>
      <c r="R960" s="9" t="str">
        <f>IF(Table13[[#This Row],[Gross_Sales]]&gt;=500, "YES","NO")</f>
        <v>NO</v>
      </c>
    </row>
    <row r="961" spans="1:18" x14ac:dyDescent="0.3">
      <c r="A961">
        <v>100956</v>
      </c>
      <c r="B961" s="8">
        <v>45331.791666666657</v>
      </c>
      <c r="C961" t="s">
        <v>14</v>
      </c>
      <c r="D961" t="s">
        <v>39</v>
      </c>
      <c r="E961" t="s">
        <v>70</v>
      </c>
      <c r="F961" t="s">
        <v>71</v>
      </c>
      <c r="G961">
        <v>5</v>
      </c>
      <c r="H961">
        <v>16.11</v>
      </c>
      <c r="I961">
        <v>5</v>
      </c>
      <c r="J961" t="s">
        <v>73</v>
      </c>
      <c r="K961" t="s">
        <v>77</v>
      </c>
      <c r="L961">
        <v>80.55</v>
      </c>
      <c r="M961">
        <v>4.0274999999999999</v>
      </c>
      <c r="N961">
        <v>76.522499999999994</v>
      </c>
      <c r="O96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1" s="9" t="str">
        <f ca="1">IF(OR(ISNUMBER(Table13[[#This Row],[Order_Date]])=FALSE,Table13[[#This Row],[Order_Date]]&lt;DATE(2000,1,1),Table13[[#This Row],[Order_Date]]&gt;TODAY()),"YES","NO")</f>
        <v>NO</v>
      </c>
      <c r="Q961" s="9">
        <f>IF(Table13[[#This Row],[Order_Status]] = "Cancelled",0,IF(Table13[[#This Row],[Order_Status]] = "Returned",Table13[[#This Row],[Net_Sales]] * -1,Table13[[#This Row],[Net_Sales]]))</f>
        <v>76.522499999999994</v>
      </c>
      <c r="R961" s="9" t="str">
        <f>IF(Table13[[#This Row],[Gross_Sales]]&gt;=500, "YES","NO")</f>
        <v>NO</v>
      </c>
    </row>
    <row r="962" spans="1:18" x14ac:dyDescent="0.3">
      <c r="A962">
        <v>100957</v>
      </c>
      <c r="B962" s="8">
        <v>45331.833333333343</v>
      </c>
      <c r="C962" t="s">
        <v>15</v>
      </c>
      <c r="D962" t="s">
        <v>45</v>
      </c>
      <c r="E962" t="s">
        <v>70</v>
      </c>
      <c r="F962" t="s">
        <v>72</v>
      </c>
      <c r="G962">
        <v>4</v>
      </c>
      <c r="H962">
        <v>25.34</v>
      </c>
      <c r="I962">
        <v>0</v>
      </c>
      <c r="J962" t="s">
        <v>76</v>
      </c>
      <c r="K962" t="s">
        <v>77</v>
      </c>
      <c r="L962">
        <v>101.36</v>
      </c>
      <c r="M962">
        <v>0</v>
      </c>
      <c r="N962">
        <v>101.36</v>
      </c>
      <c r="O96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2" s="9" t="str">
        <f ca="1">IF(OR(ISNUMBER(Table13[[#This Row],[Order_Date]])=FALSE,Table13[[#This Row],[Order_Date]]&lt;DATE(2000,1,1),Table13[[#This Row],[Order_Date]]&gt;TODAY()),"YES","NO")</f>
        <v>NO</v>
      </c>
      <c r="Q962" s="9">
        <f>IF(Table13[[#This Row],[Order_Status]] = "Cancelled",0,IF(Table13[[#This Row],[Order_Status]] = "Returned",Table13[[#This Row],[Net_Sales]] * -1,Table13[[#This Row],[Net_Sales]]))</f>
        <v>101.36</v>
      </c>
      <c r="R962" s="9" t="str">
        <f>IF(Table13[[#This Row],[Gross_Sales]]&gt;=500, "YES","NO")</f>
        <v>NO</v>
      </c>
    </row>
    <row r="963" spans="1:18" x14ac:dyDescent="0.3">
      <c r="A963">
        <v>100958</v>
      </c>
      <c r="B963" s="8">
        <v>45331.875</v>
      </c>
      <c r="C963" t="s">
        <v>14</v>
      </c>
      <c r="D963" t="s">
        <v>48</v>
      </c>
      <c r="E963" t="s">
        <v>70</v>
      </c>
      <c r="F963" t="s">
        <v>72</v>
      </c>
      <c r="G963">
        <v>3</v>
      </c>
      <c r="H963">
        <v>118.54</v>
      </c>
      <c r="I963">
        <v>0</v>
      </c>
      <c r="J963" t="s">
        <v>73</v>
      </c>
      <c r="K963" t="s">
        <v>77</v>
      </c>
      <c r="L963">
        <v>355.62</v>
      </c>
      <c r="M963">
        <v>0</v>
      </c>
      <c r="N963">
        <v>355.62</v>
      </c>
      <c r="O96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3" s="9" t="str">
        <f ca="1">IF(OR(ISNUMBER(Table13[[#This Row],[Order_Date]])=FALSE,Table13[[#This Row],[Order_Date]]&lt;DATE(2000,1,1),Table13[[#This Row],[Order_Date]]&gt;TODAY()),"YES","NO")</f>
        <v>NO</v>
      </c>
      <c r="Q963" s="9">
        <f>IF(Table13[[#This Row],[Order_Status]] = "Cancelled",0,IF(Table13[[#This Row],[Order_Status]] = "Returned",Table13[[#This Row],[Net_Sales]] * -1,Table13[[#This Row],[Net_Sales]]))</f>
        <v>355.62</v>
      </c>
      <c r="R963" s="9" t="str">
        <f>IF(Table13[[#This Row],[Gross_Sales]]&gt;=500, "YES","NO")</f>
        <v>NO</v>
      </c>
    </row>
    <row r="964" spans="1:18" x14ac:dyDescent="0.3">
      <c r="A964">
        <v>100959</v>
      </c>
      <c r="B964" s="8">
        <v>45331.916666666657</v>
      </c>
      <c r="C964" t="s">
        <v>15</v>
      </c>
      <c r="D964" t="s">
        <v>21</v>
      </c>
      <c r="E964" t="s">
        <v>69</v>
      </c>
      <c r="F964" t="s">
        <v>71</v>
      </c>
      <c r="G964">
        <v>3</v>
      </c>
      <c r="H964">
        <v>56.07</v>
      </c>
      <c r="I964">
        <v>5</v>
      </c>
      <c r="J964" t="s">
        <v>76</v>
      </c>
      <c r="K964" t="s">
        <v>77</v>
      </c>
      <c r="L964">
        <v>168.21</v>
      </c>
      <c r="M964">
        <v>8.4105000000000008</v>
      </c>
      <c r="N964">
        <v>159.79949999999999</v>
      </c>
      <c r="O96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4" s="9" t="str">
        <f ca="1">IF(OR(ISNUMBER(Table13[[#This Row],[Order_Date]])=FALSE,Table13[[#This Row],[Order_Date]]&lt;DATE(2000,1,1),Table13[[#This Row],[Order_Date]]&gt;TODAY()),"YES","NO")</f>
        <v>NO</v>
      </c>
      <c r="Q964" s="9">
        <f>IF(Table13[[#This Row],[Order_Status]] = "Cancelled",0,IF(Table13[[#This Row],[Order_Status]] = "Returned",Table13[[#This Row],[Net_Sales]] * -1,Table13[[#This Row],[Net_Sales]]))</f>
        <v>159.79949999999999</v>
      </c>
      <c r="R964" s="9" t="str">
        <f>IF(Table13[[#This Row],[Gross_Sales]]&gt;=500, "YES","NO")</f>
        <v>NO</v>
      </c>
    </row>
    <row r="965" spans="1:18" x14ac:dyDescent="0.3">
      <c r="A965">
        <v>100960</v>
      </c>
      <c r="B965" s="8">
        <v>45331.958333333343</v>
      </c>
      <c r="C965" t="s">
        <v>14</v>
      </c>
      <c r="D965" t="s">
        <v>23</v>
      </c>
      <c r="E965" t="s">
        <v>67</v>
      </c>
      <c r="F965" t="s">
        <v>72</v>
      </c>
      <c r="G965">
        <v>4</v>
      </c>
      <c r="H965">
        <v>66.17</v>
      </c>
      <c r="I965">
        <v>5</v>
      </c>
      <c r="J965" t="s">
        <v>74</v>
      </c>
      <c r="K965" t="s">
        <v>77</v>
      </c>
      <c r="L965">
        <v>264.68</v>
      </c>
      <c r="M965">
        <v>13.234</v>
      </c>
      <c r="N965">
        <v>251.446</v>
      </c>
      <c r="O96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5" s="9" t="str">
        <f ca="1">IF(OR(ISNUMBER(Table13[[#This Row],[Order_Date]])=FALSE,Table13[[#This Row],[Order_Date]]&lt;DATE(2000,1,1),Table13[[#This Row],[Order_Date]]&gt;TODAY()),"YES","NO")</f>
        <v>NO</v>
      </c>
      <c r="Q965" s="9">
        <f>IF(Table13[[#This Row],[Order_Status]] = "Cancelled",0,IF(Table13[[#This Row],[Order_Status]] = "Returned",Table13[[#This Row],[Net_Sales]] * -1,Table13[[#This Row],[Net_Sales]]))</f>
        <v>251.446</v>
      </c>
      <c r="R965" s="9" t="str">
        <f>IF(Table13[[#This Row],[Gross_Sales]]&gt;=500, "YES","NO")</f>
        <v>NO</v>
      </c>
    </row>
    <row r="966" spans="1:18" x14ac:dyDescent="0.3">
      <c r="A966">
        <v>100961</v>
      </c>
      <c r="B966" s="8">
        <v>45332</v>
      </c>
      <c r="C966" t="s">
        <v>14</v>
      </c>
      <c r="D966" t="s">
        <v>17</v>
      </c>
      <c r="E966" t="s">
        <v>67</v>
      </c>
      <c r="F966" t="s">
        <v>72</v>
      </c>
      <c r="G966">
        <v>5</v>
      </c>
      <c r="H966">
        <v>105.47</v>
      </c>
      <c r="I966">
        <v>5</v>
      </c>
      <c r="J966" t="s">
        <v>75</v>
      </c>
      <c r="K966" t="s">
        <v>77</v>
      </c>
      <c r="L966">
        <v>527.35</v>
      </c>
      <c r="M966">
        <v>26.3675</v>
      </c>
      <c r="N966">
        <v>500.98250000000002</v>
      </c>
      <c r="O96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6" s="9" t="str">
        <f ca="1">IF(OR(ISNUMBER(Table13[[#This Row],[Order_Date]])=FALSE,Table13[[#This Row],[Order_Date]]&lt;DATE(2000,1,1),Table13[[#This Row],[Order_Date]]&gt;TODAY()),"YES","NO")</f>
        <v>NO</v>
      </c>
      <c r="Q966" s="9">
        <f>IF(Table13[[#This Row],[Order_Status]] = "Cancelled",0,IF(Table13[[#This Row],[Order_Status]] = "Returned",Table13[[#This Row],[Net_Sales]] * -1,Table13[[#This Row],[Net_Sales]]))</f>
        <v>500.98250000000002</v>
      </c>
      <c r="R966" s="9" t="str">
        <f>IF(Table13[[#This Row],[Gross_Sales]]&gt;=500, "YES","NO")</f>
        <v>YES</v>
      </c>
    </row>
    <row r="967" spans="1:18" x14ac:dyDescent="0.3">
      <c r="A967">
        <v>100962</v>
      </c>
      <c r="B967" s="8">
        <v>45332.041666666657</v>
      </c>
      <c r="C967" t="s">
        <v>14</v>
      </c>
      <c r="D967" t="s">
        <v>48</v>
      </c>
      <c r="E967" t="s">
        <v>70</v>
      </c>
      <c r="F967" t="s">
        <v>71</v>
      </c>
      <c r="G967">
        <v>1</v>
      </c>
      <c r="H967">
        <v>119.49</v>
      </c>
      <c r="I967">
        <v>10</v>
      </c>
      <c r="J967" t="s">
        <v>74</v>
      </c>
      <c r="K967" t="s">
        <v>77</v>
      </c>
      <c r="L967">
        <v>119.49</v>
      </c>
      <c r="M967">
        <v>11.949</v>
      </c>
      <c r="N967">
        <v>107.541</v>
      </c>
      <c r="O96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7" s="9" t="str">
        <f ca="1">IF(OR(ISNUMBER(Table13[[#This Row],[Order_Date]])=FALSE,Table13[[#This Row],[Order_Date]]&lt;DATE(2000,1,1),Table13[[#This Row],[Order_Date]]&gt;TODAY()),"YES","NO")</f>
        <v>NO</v>
      </c>
      <c r="Q967" s="9">
        <f>IF(Table13[[#This Row],[Order_Status]] = "Cancelled",0,IF(Table13[[#This Row],[Order_Status]] = "Returned",Table13[[#This Row],[Net_Sales]] * -1,Table13[[#This Row],[Net_Sales]]))</f>
        <v>107.541</v>
      </c>
      <c r="R967" s="9" t="str">
        <f>IF(Table13[[#This Row],[Gross_Sales]]&gt;=500, "YES","NO")</f>
        <v>NO</v>
      </c>
    </row>
    <row r="968" spans="1:18" x14ac:dyDescent="0.3">
      <c r="A968">
        <v>100963</v>
      </c>
      <c r="B968" s="8">
        <v>45332.083333333343</v>
      </c>
      <c r="C968" t="s">
        <v>15</v>
      </c>
      <c r="D968" t="s">
        <v>30</v>
      </c>
      <c r="E968" t="s">
        <v>66</v>
      </c>
      <c r="F968" t="s">
        <v>72</v>
      </c>
      <c r="G968">
        <v>4</v>
      </c>
      <c r="H968">
        <v>72.010000000000005</v>
      </c>
      <c r="I968">
        <v>0</v>
      </c>
      <c r="J968" t="s">
        <v>73</v>
      </c>
      <c r="K968" t="s">
        <v>77</v>
      </c>
      <c r="L968">
        <v>288.04000000000002</v>
      </c>
      <c r="M968">
        <v>0</v>
      </c>
      <c r="N968">
        <v>288.04000000000002</v>
      </c>
      <c r="O96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8" s="9" t="str">
        <f ca="1">IF(OR(ISNUMBER(Table13[[#This Row],[Order_Date]])=FALSE,Table13[[#This Row],[Order_Date]]&lt;DATE(2000,1,1),Table13[[#This Row],[Order_Date]]&gt;TODAY()),"YES","NO")</f>
        <v>NO</v>
      </c>
      <c r="Q968" s="9">
        <f>IF(Table13[[#This Row],[Order_Status]] = "Cancelled",0,IF(Table13[[#This Row],[Order_Status]] = "Returned",Table13[[#This Row],[Net_Sales]] * -1,Table13[[#This Row],[Net_Sales]]))</f>
        <v>288.04000000000002</v>
      </c>
      <c r="R968" s="9" t="str">
        <f>IF(Table13[[#This Row],[Gross_Sales]]&gt;=500, "YES","NO")</f>
        <v>NO</v>
      </c>
    </row>
    <row r="969" spans="1:18" x14ac:dyDescent="0.3">
      <c r="A969">
        <v>100964</v>
      </c>
      <c r="B969" s="8">
        <v>45332.125</v>
      </c>
      <c r="C969" t="s">
        <v>14</v>
      </c>
      <c r="D969" t="s">
        <v>44</v>
      </c>
      <c r="E969" t="s">
        <v>67</v>
      </c>
      <c r="F969" t="s">
        <v>71</v>
      </c>
      <c r="G969">
        <v>4</v>
      </c>
      <c r="H969">
        <v>98.43</v>
      </c>
      <c r="I969">
        <v>10</v>
      </c>
      <c r="J969" t="s">
        <v>74</v>
      </c>
      <c r="K969" t="s">
        <v>77</v>
      </c>
      <c r="L969">
        <v>393.72</v>
      </c>
      <c r="M969">
        <v>39.372000000000007</v>
      </c>
      <c r="N969">
        <v>354.34800000000001</v>
      </c>
      <c r="O96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69" s="9" t="str">
        <f ca="1">IF(OR(ISNUMBER(Table13[[#This Row],[Order_Date]])=FALSE,Table13[[#This Row],[Order_Date]]&lt;DATE(2000,1,1),Table13[[#This Row],[Order_Date]]&gt;TODAY()),"YES","NO")</f>
        <v>NO</v>
      </c>
      <c r="Q969" s="9">
        <f>IF(Table13[[#This Row],[Order_Status]] = "Cancelled",0,IF(Table13[[#This Row],[Order_Status]] = "Returned",Table13[[#This Row],[Net_Sales]] * -1,Table13[[#This Row],[Net_Sales]]))</f>
        <v>354.34800000000001</v>
      </c>
      <c r="R969" s="9" t="str">
        <f>IF(Table13[[#This Row],[Gross_Sales]]&gt;=500, "YES","NO")</f>
        <v>NO</v>
      </c>
    </row>
    <row r="970" spans="1:18" x14ac:dyDescent="0.3">
      <c r="A970">
        <v>100965</v>
      </c>
      <c r="B970" s="8">
        <v>45332.166666666657</v>
      </c>
      <c r="C970" t="s">
        <v>14</v>
      </c>
      <c r="D970" t="s">
        <v>57</v>
      </c>
      <c r="E970" t="s">
        <v>69</v>
      </c>
      <c r="F970" t="s">
        <v>72</v>
      </c>
      <c r="G970">
        <v>4</v>
      </c>
      <c r="H970">
        <v>42.6</v>
      </c>
      <c r="I970">
        <v>10</v>
      </c>
      <c r="J970" t="s">
        <v>75</v>
      </c>
      <c r="K970" t="s">
        <v>77</v>
      </c>
      <c r="L970">
        <v>170.4</v>
      </c>
      <c r="M970">
        <v>17.04</v>
      </c>
      <c r="N970">
        <v>153.36000000000001</v>
      </c>
      <c r="O97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0" s="9" t="str">
        <f ca="1">IF(OR(ISNUMBER(Table13[[#This Row],[Order_Date]])=FALSE,Table13[[#This Row],[Order_Date]]&lt;DATE(2000,1,1),Table13[[#This Row],[Order_Date]]&gt;TODAY()),"YES","NO")</f>
        <v>NO</v>
      </c>
      <c r="Q970" s="9">
        <f>IF(Table13[[#This Row],[Order_Status]] = "Cancelled",0,IF(Table13[[#This Row],[Order_Status]] = "Returned",Table13[[#This Row],[Net_Sales]] * -1,Table13[[#This Row],[Net_Sales]]))</f>
        <v>153.36000000000001</v>
      </c>
      <c r="R970" s="9" t="str">
        <f>IF(Table13[[#This Row],[Gross_Sales]]&gt;=500, "YES","NO")</f>
        <v>NO</v>
      </c>
    </row>
    <row r="971" spans="1:18" x14ac:dyDescent="0.3">
      <c r="A971">
        <v>100966</v>
      </c>
      <c r="B971" s="8">
        <v>45332.208333333343</v>
      </c>
      <c r="C971" t="s">
        <v>14</v>
      </c>
      <c r="D971" t="s">
        <v>61</v>
      </c>
      <c r="E971" t="s">
        <v>68</v>
      </c>
      <c r="F971" t="s">
        <v>71</v>
      </c>
      <c r="G971">
        <v>3</v>
      </c>
      <c r="H971">
        <v>40.159999999999997</v>
      </c>
      <c r="I971">
        <v>15</v>
      </c>
      <c r="J971" t="s">
        <v>74</v>
      </c>
      <c r="K971" t="s">
        <v>77</v>
      </c>
      <c r="L971">
        <v>120.48</v>
      </c>
      <c r="M971">
        <v>18.071999999999999</v>
      </c>
      <c r="N971">
        <v>102.408</v>
      </c>
      <c r="O97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1" s="9" t="str">
        <f ca="1">IF(OR(ISNUMBER(Table13[[#This Row],[Order_Date]])=FALSE,Table13[[#This Row],[Order_Date]]&lt;DATE(2000,1,1),Table13[[#This Row],[Order_Date]]&gt;TODAY()),"YES","NO")</f>
        <v>NO</v>
      </c>
      <c r="Q971" s="9">
        <f>IF(Table13[[#This Row],[Order_Status]] = "Cancelled",0,IF(Table13[[#This Row],[Order_Status]] = "Returned",Table13[[#This Row],[Net_Sales]] * -1,Table13[[#This Row],[Net_Sales]]))</f>
        <v>102.408</v>
      </c>
      <c r="R971" s="9" t="str">
        <f>IF(Table13[[#This Row],[Gross_Sales]]&gt;=500, "YES","NO")</f>
        <v>NO</v>
      </c>
    </row>
    <row r="972" spans="1:18" x14ac:dyDescent="0.3">
      <c r="A972">
        <v>100967</v>
      </c>
      <c r="B972" s="8">
        <v>45332.25</v>
      </c>
      <c r="C972" t="s">
        <v>14</v>
      </c>
      <c r="D972" t="s">
        <v>17</v>
      </c>
      <c r="E972" t="s">
        <v>68</v>
      </c>
      <c r="F972" t="s">
        <v>72</v>
      </c>
      <c r="G972">
        <v>2</v>
      </c>
      <c r="H972">
        <v>51.31</v>
      </c>
      <c r="I972">
        <v>0</v>
      </c>
      <c r="J972" t="s">
        <v>73</v>
      </c>
      <c r="K972" t="s">
        <v>77</v>
      </c>
      <c r="L972">
        <v>102.62</v>
      </c>
      <c r="M972">
        <v>0</v>
      </c>
      <c r="N972">
        <v>102.62</v>
      </c>
      <c r="O97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2" s="9" t="str">
        <f ca="1">IF(OR(ISNUMBER(Table13[[#This Row],[Order_Date]])=FALSE,Table13[[#This Row],[Order_Date]]&lt;DATE(2000,1,1),Table13[[#This Row],[Order_Date]]&gt;TODAY()),"YES","NO")</f>
        <v>NO</v>
      </c>
      <c r="Q972" s="9">
        <f>IF(Table13[[#This Row],[Order_Status]] = "Cancelled",0,IF(Table13[[#This Row],[Order_Status]] = "Returned",Table13[[#This Row],[Net_Sales]] * -1,Table13[[#This Row],[Net_Sales]]))</f>
        <v>102.62</v>
      </c>
      <c r="R972" s="9" t="str">
        <f>IF(Table13[[#This Row],[Gross_Sales]]&gt;=500, "YES","NO")</f>
        <v>NO</v>
      </c>
    </row>
    <row r="973" spans="1:18" x14ac:dyDescent="0.3">
      <c r="A973">
        <v>100968</v>
      </c>
      <c r="B973" s="8">
        <v>45332.291666666657</v>
      </c>
      <c r="C973" t="s">
        <v>15</v>
      </c>
      <c r="D973" t="s">
        <v>59</v>
      </c>
      <c r="E973" t="s">
        <v>68</v>
      </c>
      <c r="F973" t="s">
        <v>72</v>
      </c>
      <c r="G973">
        <v>1</v>
      </c>
      <c r="H973">
        <v>82.34</v>
      </c>
      <c r="I973">
        <v>0</v>
      </c>
      <c r="J973" t="s">
        <v>73</v>
      </c>
      <c r="K973" t="s">
        <v>77</v>
      </c>
      <c r="L973">
        <v>82.34</v>
      </c>
      <c r="M973">
        <v>0</v>
      </c>
      <c r="N973">
        <v>82.34</v>
      </c>
      <c r="O97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3" s="9" t="str">
        <f ca="1">IF(OR(ISNUMBER(Table13[[#This Row],[Order_Date]])=FALSE,Table13[[#This Row],[Order_Date]]&lt;DATE(2000,1,1),Table13[[#This Row],[Order_Date]]&gt;TODAY()),"YES","NO")</f>
        <v>NO</v>
      </c>
      <c r="Q973" s="9">
        <f>IF(Table13[[#This Row],[Order_Status]] = "Cancelled",0,IF(Table13[[#This Row],[Order_Status]] = "Returned",Table13[[#This Row],[Net_Sales]] * -1,Table13[[#This Row],[Net_Sales]]))</f>
        <v>82.34</v>
      </c>
      <c r="R973" s="9" t="str">
        <f>IF(Table13[[#This Row],[Gross_Sales]]&gt;=500, "YES","NO")</f>
        <v>NO</v>
      </c>
    </row>
    <row r="974" spans="1:18" x14ac:dyDescent="0.3">
      <c r="A974">
        <v>100969</v>
      </c>
      <c r="B974" s="8">
        <v>45332.333333333343</v>
      </c>
      <c r="C974" t="s">
        <v>15</v>
      </c>
      <c r="D974" t="s">
        <v>54</v>
      </c>
      <c r="E974" t="s">
        <v>66</v>
      </c>
      <c r="F974" t="s">
        <v>71</v>
      </c>
      <c r="G974">
        <v>5</v>
      </c>
      <c r="H974">
        <v>83.45</v>
      </c>
      <c r="I974">
        <v>5</v>
      </c>
      <c r="J974" t="s">
        <v>74</v>
      </c>
      <c r="K974" t="s">
        <v>77</v>
      </c>
      <c r="L974">
        <v>417.25</v>
      </c>
      <c r="M974">
        <v>20.862500000000001</v>
      </c>
      <c r="N974">
        <v>396.38749999999999</v>
      </c>
      <c r="O97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4" s="9" t="str">
        <f ca="1">IF(OR(ISNUMBER(Table13[[#This Row],[Order_Date]])=FALSE,Table13[[#This Row],[Order_Date]]&lt;DATE(2000,1,1),Table13[[#This Row],[Order_Date]]&gt;TODAY()),"YES","NO")</f>
        <v>NO</v>
      </c>
      <c r="Q974" s="9">
        <f>IF(Table13[[#This Row],[Order_Status]] = "Cancelled",0,IF(Table13[[#This Row],[Order_Status]] = "Returned",Table13[[#This Row],[Net_Sales]] * -1,Table13[[#This Row],[Net_Sales]]))</f>
        <v>396.38749999999999</v>
      </c>
      <c r="R974" s="9" t="str">
        <f>IF(Table13[[#This Row],[Gross_Sales]]&gt;=500, "YES","NO")</f>
        <v>NO</v>
      </c>
    </row>
    <row r="975" spans="1:18" x14ac:dyDescent="0.3">
      <c r="A975">
        <v>100970</v>
      </c>
      <c r="B975" s="8">
        <v>45332.375</v>
      </c>
      <c r="C975" t="s">
        <v>14</v>
      </c>
      <c r="D975" t="s">
        <v>30</v>
      </c>
      <c r="E975" t="s">
        <v>70</v>
      </c>
      <c r="F975" t="s">
        <v>71</v>
      </c>
      <c r="G975">
        <v>5</v>
      </c>
      <c r="H975">
        <v>41.25</v>
      </c>
      <c r="I975">
        <v>5</v>
      </c>
      <c r="J975" t="s">
        <v>75</v>
      </c>
      <c r="K975" t="s">
        <v>79</v>
      </c>
      <c r="L975">
        <v>206.25</v>
      </c>
      <c r="M975">
        <v>10.3125</v>
      </c>
      <c r="N975">
        <v>195.9375</v>
      </c>
      <c r="O97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75" s="9" t="str">
        <f ca="1">IF(OR(ISNUMBER(Table13[[#This Row],[Order_Date]])=FALSE,Table13[[#This Row],[Order_Date]]&lt;DATE(2000,1,1),Table13[[#This Row],[Order_Date]]&gt;TODAY()),"YES","NO")</f>
        <v>NO</v>
      </c>
      <c r="Q975" s="9">
        <f>IF(Table13[[#This Row],[Order_Status]] = "Cancelled",0,IF(Table13[[#This Row],[Order_Status]] = "Returned",Table13[[#This Row],[Net_Sales]] * -1,Table13[[#This Row],[Net_Sales]]))</f>
        <v>0</v>
      </c>
      <c r="R975" s="9" t="str">
        <f>IF(Table13[[#This Row],[Gross_Sales]]&gt;=500, "YES","NO")</f>
        <v>NO</v>
      </c>
    </row>
    <row r="976" spans="1:18" x14ac:dyDescent="0.3">
      <c r="A976">
        <v>100971</v>
      </c>
      <c r="B976" s="8">
        <v>45332.416666666657</v>
      </c>
      <c r="C976" t="s">
        <v>15</v>
      </c>
      <c r="D976" t="s">
        <v>28</v>
      </c>
      <c r="E976" t="s">
        <v>69</v>
      </c>
      <c r="F976" t="s">
        <v>71</v>
      </c>
      <c r="G976">
        <v>2</v>
      </c>
      <c r="H976">
        <v>20.32</v>
      </c>
      <c r="I976">
        <v>15</v>
      </c>
      <c r="J976" t="s">
        <v>74</v>
      </c>
      <c r="K976" t="s">
        <v>77</v>
      </c>
      <c r="L976">
        <v>40.64</v>
      </c>
      <c r="M976">
        <v>6.0960000000000001</v>
      </c>
      <c r="N976">
        <v>34.543999999999997</v>
      </c>
      <c r="O97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6" s="9" t="str">
        <f ca="1">IF(OR(ISNUMBER(Table13[[#This Row],[Order_Date]])=FALSE,Table13[[#This Row],[Order_Date]]&lt;DATE(2000,1,1),Table13[[#This Row],[Order_Date]]&gt;TODAY()),"YES","NO")</f>
        <v>NO</v>
      </c>
      <c r="Q976" s="9">
        <f>IF(Table13[[#This Row],[Order_Status]] = "Cancelled",0,IF(Table13[[#This Row],[Order_Status]] = "Returned",Table13[[#This Row],[Net_Sales]] * -1,Table13[[#This Row],[Net_Sales]]))</f>
        <v>34.543999999999997</v>
      </c>
      <c r="R976" s="9" t="str">
        <f>IF(Table13[[#This Row],[Gross_Sales]]&gt;=500, "YES","NO")</f>
        <v>NO</v>
      </c>
    </row>
    <row r="977" spans="1:18" x14ac:dyDescent="0.3">
      <c r="A977">
        <v>100972</v>
      </c>
      <c r="B977" s="8">
        <v>45332.458333333343</v>
      </c>
      <c r="C977" t="s">
        <v>14</v>
      </c>
      <c r="D977" t="s">
        <v>39</v>
      </c>
      <c r="E977" t="s">
        <v>66</v>
      </c>
      <c r="F977" t="s">
        <v>71</v>
      </c>
      <c r="G977">
        <v>4</v>
      </c>
      <c r="H977">
        <v>77.73</v>
      </c>
      <c r="I977">
        <v>10</v>
      </c>
      <c r="J977" t="s">
        <v>75</v>
      </c>
      <c r="K977" t="s">
        <v>77</v>
      </c>
      <c r="L977">
        <v>310.92</v>
      </c>
      <c r="M977">
        <v>31.091999999999999</v>
      </c>
      <c r="N977">
        <v>279.82799999999997</v>
      </c>
      <c r="O97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7" s="9" t="str">
        <f ca="1">IF(OR(ISNUMBER(Table13[[#This Row],[Order_Date]])=FALSE,Table13[[#This Row],[Order_Date]]&lt;DATE(2000,1,1),Table13[[#This Row],[Order_Date]]&gt;TODAY()),"YES","NO")</f>
        <v>NO</v>
      </c>
      <c r="Q977" s="9">
        <f>IF(Table13[[#This Row],[Order_Status]] = "Cancelled",0,IF(Table13[[#This Row],[Order_Status]] = "Returned",Table13[[#This Row],[Net_Sales]] * -1,Table13[[#This Row],[Net_Sales]]))</f>
        <v>279.82799999999997</v>
      </c>
      <c r="R977" s="9" t="str">
        <f>IF(Table13[[#This Row],[Gross_Sales]]&gt;=500, "YES","NO")</f>
        <v>NO</v>
      </c>
    </row>
    <row r="978" spans="1:18" x14ac:dyDescent="0.3">
      <c r="A978">
        <v>100973</v>
      </c>
      <c r="B978" s="8">
        <v>45332.5</v>
      </c>
      <c r="C978" t="s">
        <v>14</v>
      </c>
      <c r="D978" t="s">
        <v>44</v>
      </c>
      <c r="E978" t="s">
        <v>69</v>
      </c>
      <c r="F978" t="s">
        <v>72</v>
      </c>
      <c r="G978">
        <v>1</v>
      </c>
      <c r="H978">
        <v>19.760000000000002</v>
      </c>
      <c r="I978">
        <v>5</v>
      </c>
      <c r="J978" t="s">
        <v>76</v>
      </c>
      <c r="K978" t="s">
        <v>77</v>
      </c>
      <c r="L978">
        <v>19.760000000000002</v>
      </c>
      <c r="M978">
        <v>0.9880000000000001</v>
      </c>
      <c r="N978">
        <v>18.771999999999998</v>
      </c>
      <c r="O97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8" s="9" t="str">
        <f ca="1">IF(OR(ISNUMBER(Table13[[#This Row],[Order_Date]])=FALSE,Table13[[#This Row],[Order_Date]]&lt;DATE(2000,1,1),Table13[[#This Row],[Order_Date]]&gt;TODAY()),"YES","NO")</f>
        <v>NO</v>
      </c>
      <c r="Q978" s="9">
        <f>IF(Table13[[#This Row],[Order_Status]] = "Cancelled",0,IF(Table13[[#This Row],[Order_Status]] = "Returned",Table13[[#This Row],[Net_Sales]] * -1,Table13[[#This Row],[Net_Sales]]))</f>
        <v>18.771999999999998</v>
      </c>
      <c r="R978" s="9" t="str">
        <f>IF(Table13[[#This Row],[Gross_Sales]]&gt;=500, "YES","NO")</f>
        <v>NO</v>
      </c>
    </row>
    <row r="979" spans="1:18" x14ac:dyDescent="0.3">
      <c r="A979">
        <v>100974</v>
      </c>
      <c r="B979" s="8">
        <v>45332.541666666657</v>
      </c>
      <c r="C979" t="s">
        <v>14</v>
      </c>
      <c r="D979" t="s">
        <v>60</v>
      </c>
      <c r="E979" t="s">
        <v>69</v>
      </c>
      <c r="F979" t="s">
        <v>72</v>
      </c>
      <c r="G979">
        <v>5</v>
      </c>
      <c r="H979">
        <v>71.53</v>
      </c>
      <c r="I979">
        <v>5</v>
      </c>
      <c r="J979" t="s">
        <v>75</v>
      </c>
      <c r="K979" t="s">
        <v>77</v>
      </c>
      <c r="L979">
        <v>357.65</v>
      </c>
      <c r="M979">
        <v>17.8825</v>
      </c>
      <c r="N979">
        <v>339.76749999999998</v>
      </c>
      <c r="O97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79" s="9" t="str">
        <f ca="1">IF(OR(ISNUMBER(Table13[[#This Row],[Order_Date]])=FALSE,Table13[[#This Row],[Order_Date]]&lt;DATE(2000,1,1),Table13[[#This Row],[Order_Date]]&gt;TODAY()),"YES","NO")</f>
        <v>NO</v>
      </c>
      <c r="Q979" s="9">
        <f>IF(Table13[[#This Row],[Order_Status]] = "Cancelled",0,IF(Table13[[#This Row],[Order_Status]] = "Returned",Table13[[#This Row],[Net_Sales]] * -1,Table13[[#This Row],[Net_Sales]]))</f>
        <v>339.76749999999998</v>
      </c>
      <c r="R979" s="9" t="str">
        <f>IF(Table13[[#This Row],[Gross_Sales]]&gt;=500, "YES","NO")</f>
        <v>NO</v>
      </c>
    </row>
    <row r="980" spans="1:18" x14ac:dyDescent="0.3">
      <c r="A980">
        <v>100975</v>
      </c>
      <c r="B980" s="8">
        <v>45332.583333333343</v>
      </c>
      <c r="C980" t="s">
        <v>15</v>
      </c>
      <c r="D980" t="s">
        <v>59</v>
      </c>
      <c r="E980" t="s">
        <v>70</v>
      </c>
      <c r="F980" t="s">
        <v>71</v>
      </c>
      <c r="G980">
        <v>5</v>
      </c>
      <c r="H980">
        <v>84.74</v>
      </c>
      <c r="I980">
        <v>0</v>
      </c>
      <c r="J980" t="s">
        <v>76</v>
      </c>
      <c r="K980" t="s">
        <v>77</v>
      </c>
      <c r="L980">
        <v>423.7</v>
      </c>
      <c r="M980">
        <v>0</v>
      </c>
      <c r="N980">
        <v>423.7</v>
      </c>
      <c r="O98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0" s="9" t="str">
        <f ca="1">IF(OR(ISNUMBER(Table13[[#This Row],[Order_Date]])=FALSE,Table13[[#This Row],[Order_Date]]&lt;DATE(2000,1,1),Table13[[#This Row],[Order_Date]]&gt;TODAY()),"YES","NO")</f>
        <v>NO</v>
      </c>
      <c r="Q980" s="9">
        <f>IF(Table13[[#This Row],[Order_Status]] = "Cancelled",0,IF(Table13[[#This Row],[Order_Status]] = "Returned",Table13[[#This Row],[Net_Sales]] * -1,Table13[[#This Row],[Net_Sales]]))</f>
        <v>423.7</v>
      </c>
      <c r="R980" s="9" t="str">
        <f>IF(Table13[[#This Row],[Gross_Sales]]&gt;=500, "YES","NO")</f>
        <v>NO</v>
      </c>
    </row>
    <row r="981" spans="1:18" x14ac:dyDescent="0.3">
      <c r="A981">
        <v>100976</v>
      </c>
      <c r="B981" s="8">
        <v>45332.625</v>
      </c>
      <c r="C981" t="s">
        <v>15</v>
      </c>
      <c r="D981" t="s">
        <v>47</v>
      </c>
      <c r="E981" t="s">
        <v>68</v>
      </c>
      <c r="F981" t="s">
        <v>72</v>
      </c>
      <c r="G981">
        <v>4</v>
      </c>
      <c r="H981">
        <v>85.57</v>
      </c>
      <c r="I981">
        <v>0</v>
      </c>
      <c r="J981" t="s">
        <v>74</v>
      </c>
      <c r="K981" t="s">
        <v>77</v>
      </c>
      <c r="L981">
        <v>342.28</v>
      </c>
      <c r="M981">
        <v>0</v>
      </c>
      <c r="N981">
        <v>342.28</v>
      </c>
      <c r="O98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1" s="9" t="str">
        <f ca="1">IF(OR(ISNUMBER(Table13[[#This Row],[Order_Date]])=FALSE,Table13[[#This Row],[Order_Date]]&lt;DATE(2000,1,1),Table13[[#This Row],[Order_Date]]&gt;TODAY()),"YES","NO")</f>
        <v>NO</v>
      </c>
      <c r="Q981" s="9">
        <f>IF(Table13[[#This Row],[Order_Status]] = "Cancelled",0,IF(Table13[[#This Row],[Order_Status]] = "Returned",Table13[[#This Row],[Net_Sales]] * -1,Table13[[#This Row],[Net_Sales]]))</f>
        <v>342.28</v>
      </c>
      <c r="R981" s="9" t="str">
        <f>IF(Table13[[#This Row],[Gross_Sales]]&gt;=500, "YES","NO")</f>
        <v>NO</v>
      </c>
    </row>
    <row r="982" spans="1:18" x14ac:dyDescent="0.3">
      <c r="A982">
        <v>100977</v>
      </c>
      <c r="B982" s="8">
        <v>45332.666666666657</v>
      </c>
      <c r="C982" t="s">
        <v>15</v>
      </c>
      <c r="D982" t="s">
        <v>55</v>
      </c>
      <c r="E982" t="s">
        <v>70</v>
      </c>
      <c r="F982" t="s">
        <v>71</v>
      </c>
      <c r="G982">
        <v>2</v>
      </c>
      <c r="H982">
        <v>91.65</v>
      </c>
      <c r="I982">
        <v>5</v>
      </c>
      <c r="J982" t="s">
        <v>75</v>
      </c>
      <c r="K982" t="s">
        <v>77</v>
      </c>
      <c r="L982">
        <v>183.3</v>
      </c>
      <c r="M982">
        <v>9.1650000000000009</v>
      </c>
      <c r="N982">
        <v>174.13499999999999</v>
      </c>
      <c r="O98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2" s="9" t="str">
        <f ca="1">IF(OR(ISNUMBER(Table13[[#This Row],[Order_Date]])=FALSE,Table13[[#This Row],[Order_Date]]&lt;DATE(2000,1,1),Table13[[#This Row],[Order_Date]]&gt;TODAY()),"YES","NO")</f>
        <v>NO</v>
      </c>
      <c r="Q982" s="9">
        <f>IF(Table13[[#This Row],[Order_Status]] = "Cancelled",0,IF(Table13[[#This Row],[Order_Status]] = "Returned",Table13[[#This Row],[Net_Sales]] * -1,Table13[[#This Row],[Net_Sales]]))</f>
        <v>174.13499999999999</v>
      </c>
      <c r="R982" s="9" t="str">
        <f>IF(Table13[[#This Row],[Gross_Sales]]&gt;=500, "YES","NO")</f>
        <v>NO</v>
      </c>
    </row>
    <row r="983" spans="1:18" x14ac:dyDescent="0.3">
      <c r="A983">
        <v>100978</v>
      </c>
      <c r="B983" s="8">
        <v>45332.708333333343</v>
      </c>
      <c r="C983" t="s">
        <v>15</v>
      </c>
      <c r="D983" t="s">
        <v>28</v>
      </c>
      <c r="E983" t="s">
        <v>66</v>
      </c>
      <c r="F983" t="s">
        <v>71</v>
      </c>
      <c r="G983">
        <v>1</v>
      </c>
      <c r="H983">
        <v>105.38</v>
      </c>
      <c r="I983">
        <v>0</v>
      </c>
      <c r="J983" t="s">
        <v>76</v>
      </c>
      <c r="K983" t="s">
        <v>77</v>
      </c>
      <c r="L983">
        <v>105.38</v>
      </c>
      <c r="M983">
        <v>0</v>
      </c>
      <c r="N983">
        <v>105.38</v>
      </c>
      <c r="O98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3" s="9" t="str">
        <f ca="1">IF(OR(ISNUMBER(Table13[[#This Row],[Order_Date]])=FALSE,Table13[[#This Row],[Order_Date]]&lt;DATE(2000,1,1),Table13[[#This Row],[Order_Date]]&gt;TODAY()),"YES","NO")</f>
        <v>NO</v>
      </c>
      <c r="Q983" s="9">
        <f>IF(Table13[[#This Row],[Order_Status]] = "Cancelled",0,IF(Table13[[#This Row],[Order_Status]] = "Returned",Table13[[#This Row],[Net_Sales]] * -1,Table13[[#This Row],[Net_Sales]]))</f>
        <v>105.38</v>
      </c>
      <c r="R983" s="9" t="str">
        <f>IF(Table13[[#This Row],[Gross_Sales]]&gt;=500, "YES","NO")</f>
        <v>NO</v>
      </c>
    </row>
    <row r="984" spans="1:18" x14ac:dyDescent="0.3">
      <c r="A984">
        <v>100979</v>
      </c>
      <c r="B984" s="8">
        <v>45332.75</v>
      </c>
      <c r="C984" t="s">
        <v>15</v>
      </c>
      <c r="D984" t="s">
        <v>22</v>
      </c>
      <c r="E984" t="s">
        <v>66</v>
      </c>
      <c r="F984" t="s">
        <v>72</v>
      </c>
      <c r="G984">
        <v>2</v>
      </c>
      <c r="H984">
        <v>62.5</v>
      </c>
      <c r="I984">
        <v>15</v>
      </c>
      <c r="J984" t="s">
        <v>76</v>
      </c>
      <c r="K984" t="s">
        <v>77</v>
      </c>
      <c r="L984">
        <v>125</v>
      </c>
      <c r="M984">
        <v>18.75</v>
      </c>
      <c r="N984">
        <v>106.25</v>
      </c>
      <c r="O98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4" s="9" t="str">
        <f ca="1">IF(OR(ISNUMBER(Table13[[#This Row],[Order_Date]])=FALSE,Table13[[#This Row],[Order_Date]]&lt;DATE(2000,1,1),Table13[[#This Row],[Order_Date]]&gt;TODAY()),"YES","NO")</f>
        <v>NO</v>
      </c>
      <c r="Q984" s="9">
        <f>IF(Table13[[#This Row],[Order_Status]] = "Cancelled",0,IF(Table13[[#This Row],[Order_Status]] = "Returned",Table13[[#This Row],[Net_Sales]] * -1,Table13[[#This Row],[Net_Sales]]))</f>
        <v>106.25</v>
      </c>
      <c r="R984" s="9" t="str">
        <f>IF(Table13[[#This Row],[Gross_Sales]]&gt;=500, "YES","NO")</f>
        <v>NO</v>
      </c>
    </row>
    <row r="985" spans="1:18" x14ac:dyDescent="0.3">
      <c r="A985">
        <v>100980</v>
      </c>
      <c r="B985" s="8">
        <v>45332.791666666657</v>
      </c>
      <c r="C985" t="s">
        <v>15</v>
      </c>
      <c r="D985" t="s">
        <v>41</v>
      </c>
      <c r="E985" t="s">
        <v>66</v>
      </c>
      <c r="F985" t="s">
        <v>72</v>
      </c>
      <c r="G985">
        <v>2</v>
      </c>
      <c r="H985">
        <v>88.98</v>
      </c>
      <c r="I985">
        <v>5</v>
      </c>
      <c r="J985" t="s">
        <v>76</v>
      </c>
      <c r="K985" t="s">
        <v>78</v>
      </c>
      <c r="L985">
        <v>177.96</v>
      </c>
      <c r="M985">
        <v>8.8980000000000015</v>
      </c>
      <c r="N985">
        <v>169.06200000000001</v>
      </c>
      <c r="O98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85" s="9" t="str">
        <f ca="1">IF(OR(ISNUMBER(Table13[[#This Row],[Order_Date]])=FALSE,Table13[[#This Row],[Order_Date]]&lt;DATE(2000,1,1),Table13[[#This Row],[Order_Date]]&gt;TODAY()),"YES","NO")</f>
        <v>NO</v>
      </c>
      <c r="Q985" s="9">
        <f>IF(Table13[[#This Row],[Order_Status]] = "Cancelled",0,IF(Table13[[#This Row],[Order_Status]] = "Returned",Table13[[#This Row],[Net_Sales]] * -1,Table13[[#This Row],[Net_Sales]]))</f>
        <v>-169.06200000000001</v>
      </c>
      <c r="R985" s="9" t="str">
        <f>IF(Table13[[#This Row],[Gross_Sales]]&gt;=500, "YES","NO")</f>
        <v>NO</v>
      </c>
    </row>
    <row r="986" spans="1:18" x14ac:dyDescent="0.3">
      <c r="A986">
        <v>100981</v>
      </c>
      <c r="B986" s="8">
        <v>45332.833333333343</v>
      </c>
      <c r="C986" t="s">
        <v>15</v>
      </c>
      <c r="D986" t="s">
        <v>27</v>
      </c>
      <c r="E986" t="s">
        <v>70</v>
      </c>
      <c r="F986" t="s">
        <v>71</v>
      </c>
      <c r="G986">
        <v>1</v>
      </c>
      <c r="H986">
        <v>76.2</v>
      </c>
      <c r="I986">
        <v>0</v>
      </c>
      <c r="J986" t="s">
        <v>73</v>
      </c>
      <c r="K986" t="s">
        <v>77</v>
      </c>
      <c r="L986">
        <v>76.2</v>
      </c>
      <c r="M986">
        <v>0</v>
      </c>
      <c r="N986">
        <v>76.2</v>
      </c>
      <c r="O98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6" s="9" t="str">
        <f ca="1">IF(OR(ISNUMBER(Table13[[#This Row],[Order_Date]])=FALSE,Table13[[#This Row],[Order_Date]]&lt;DATE(2000,1,1),Table13[[#This Row],[Order_Date]]&gt;TODAY()),"YES","NO")</f>
        <v>NO</v>
      </c>
      <c r="Q986" s="9">
        <f>IF(Table13[[#This Row],[Order_Status]] = "Cancelled",0,IF(Table13[[#This Row],[Order_Status]] = "Returned",Table13[[#This Row],[Net_Sales]] * -1,Table13[[#This Row],[Net_Sales]]))</f>
        <v>76.2</v>
      </c>
      <c r="R986" s="9" t="str">
        <f>IF(Table13[[#This Row],[Gross_Sales]]&gt;=500, "YES","NO")</f>
        <v>NO</v>
      </c>
    </row>
    <row r="987" spans="1:18" x14ac:dyDescent="0.3">
      <c r="A987">
        <v>100982</v>
      </c>
      <c r="B987" s="8">
        <v>45332.875</v>
      </c>
      <c r="C987" t="s">
        <v>15</v>
      </c>
      <c r="D987" t="s">
        <v>26</v>
      </c>
      <c r="E987" t="s">
        <v>69</v>
      </c>
      <c r="F987" t="s">
        <v>71</v>
      </c>
      <c r="G987">
        <v>1</v>
      </c>
      <c r="H987">
        <v>26.46</v>
      </c>
      <c r="I987">
        <v>15</v>
      </c>
      <c r="J987" t="s">
        <v>74</v>
      </c>
      <c r="K987" t="s">
        <v>77</v>
      </c>
      <c r="L987">
        <v>26.46</v>
      </c>
      <c r="M987">
        <v>3.9689999999999999</v>
      </c>
      <c r="N987">
        <v>22.491</v>
      </c>
      <c r="O98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7" s="9" t="str">
        <f ca="1">IF(OR(ISNUMBER(Table13[[#This Row],[Order_Date]])=FALSE,Table13[[#This Row],[Order_Date]]&lt;DATE(2000,1,1),Table13[[#This Row],[Order_Date]]&gt;TODAY()),"YES","NO")</f>
        <v>NO</v>
      </c>
      <c r="Q987" s="9">
        <f>IF(Table13[[#This Row],[Order_Status]] = "Cancelled",0,IF(Table13[[#This Row],[Order_Status]] = "Returned",Table13[[#This Row],[Net_Sales]] * -1,Table13[[#This Row],[Net_Sales]]))</f>
        <v>22.491</v>
      </c>
      <c r="R987" s="9" t="str">
        <f>IF(Table13[[#This Row],[Gross_Sales]]&gt;=500, "YES","NO")</f>
        <v>NO</v>
      </c>
    </row>
    <row r="988" spans="1:18" x14ac:dyDescent="0.3">
      <c r="A988">
        <v>100983</v>
      </c>
      <c r="B988" s="8">
        <v>45332.916666666657</v>
      </c>
      <c r="C988" t="s">
        <v>15</v>
      </c>
      <c r="D988" t="s">
        <v>50</v>
      </c>
      <c r="E988" t="s">
        <v>69</v>
      </c>
      <c r="F988" t="s">
        <v>71</v>
      </c>
      <c r="G988">
        <v>5</v>
      </c>
      <c r="H988">
        <v>7.95</v>
      </c>
      <c r="I988">
        <v>0</v>
      </c>
      <c r="J988" t="s">
        <v>76</v>
      </c>
      <c r="K988" t="s">
        <v>77</v>
      </c>
      <c r="L988">
        <v>39.75</v>
      </c>
      <c r="M988">
        <v>0</v>
      </c>
      <c r="N988">
        <v>39.75</v>
      </c>
      <c r="O98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8" s="9" t="str">
        <f ca="1">IF(OR(ISNUMBER(Table13[[#This Row],[Order_Date]])=FALSE,Table13[[#This Row],[Order_Date]]&lt;DATE(2000,1,1),Table13[[#This Row],[Order_Date]]&gt;TODAY()),"YES","NO")</f>
        <v>NO</v>
      </c>
      <c r="Q988" s="9">
        <f>IF(Table13[[#This Row],[Order_Status]] = "Cancelled",0,IF(Table13[[#This Row],[Order_Status]] = "Returned",Table13[[#This Row],[Net_Sales]] * -1,Table13[[#This Row],[Net_Sales]]))</f>
        <v>39.75</v>
      </c>
      <c r="R988" s="9" t="str">
        <f>IF(Table13[[#This Row],[Gross_Sales]]&gt;=500, "YES","NO")</f>
        <v>NO</v>
      </c>
    </row>
    <row r="989" spans="1:18" x14ac:dyDescent="0.3">
      <c r="A989">
        <v>100984</v>
      </c>
      <c r="B989" s="8">
        <v>45332.958333333343</v>
      </c>
      <c r="C989" t="s">
        <v>14</v>
      </c>
      <c r="D989" t="s">
        <v>22</v>
      </c>
      <c r="E989" t="s">
        <v>67</v>
      </c>
      <c r="F989" t="s">
        <v>72</v>
      </c>
      <c r="G989">
        <v>5</v>
      </c>
      <c r="H989">
        <v>37.72</v>
      </c>
      <c r="I989">
        <v>0</v>
      </c>
      <c r="J989" t="s">
        <v>75</v>
      </c>
      <c r="K989" t="s">
        <v>77</v>
      </c>
      <c r="L989">
        <v>188.6</v>
      </c>
      <c r="M989">
        <v>0</v>
      </c>
      <c r="N989">
        <v>188.6</v>
      </c>
      <c r="O98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89" s="9" t="str">
        <f ca="1">IF(OR(ISNUMBER(Table13[[#This Row],[Order_Date]])=FALSE,Table13[[#This Row],[Order_Date]]&lt;DATE(2000,1,1),Table13[[#This Row],[Order_Date]]&gt;TODAY()),"YES","NO")</f>
        <v>NO</v>
      </c>
      <c r="Q989" s="9">
        <f>IF(Table13[[#This Row],[Order_Status]] = "Cancelled",0,IF(Table13[[#This Row],[Order_Status]] = "Returned",Table13[[#This Row],[Net_Sales]] * -1,Table13[[#This Row],[Net_Sales]]))</f>
        <v>188.6</v>
      </c>
      <c r="R989" s="9" t="str">
        <f>IF(Table13[[#This Row],[Gross_Sales]]&gt;=500, "YES","NO")</f>
        <v>NO</v>
      </c>
    </row>
    <row r="990" spans="1:18" x14ac:dyDescent="0.3">
      <c r="A990">
        <v>100985</v>
      </c>
      <c r="B990" s="8">
        <v>45333</v>
      </c>
      <c r="C990" t="s">
        <v>15</v>
      </c>
      <c r="D990" t="s">
        <v>20</v>
      </c>
      <c r="E990" t="s">
        <v>66</v>
      </c>
      <c r="F990" t="s">
        <v>72</v>
      </c>
      <c r="G990">
        <v>1</v>
      </c>
      <c r="H990">
        <v>55.95</v>
      </c>
      <c r="I990">
        <v>0</v>
      </c>
      <c r="J990" t="s">
        <v>76</v>
      </c>
      <c r="K990" t="s">
        <v>77</v>
      </c>
      <c r="L990">
        <v>55.95</v>
      </c>
      <c r="M990">
        <v>0</v>
      </c>
      <c r="N990">
        <v>55.95</v>
      </c>
      <c r="O99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0" s="9" t="str">
        <f ca="1">IF(OR(ISNUMBER(Table13[[#This Row],[Order_Date]])=FALSE,Table13[[#This Row],[Order_Date]]&lt;DATE(2000,1,1),Table13[[#This Row],[Order_Date]]&gt;TODAY()),"YES","NO")</f>
        <v>NO</v>
      </c>
      <c r="Q990" s="9">
        <f>IF(Table13[[#This Row],[Order_Status]] = "Cancelled",0,IF(Table13[[#This Row],[Order_Status]] = "Returned",Table13[[#This Row],[Net_Sales]] * -1,Table13[[#This Row],[Net_Sales]]))</f>
        <v>55.95</v>
      </c>
      <c r="R990" s="9" t="str">
        <f>IF(Table13[[#This Row],[Gross_Sales]]&gt;=500, "YES","NO")</f>
        <v>NO</v>
      </c>
    </row>
    <row r="991" spans="1:18" x14ac:dyDescent="0.3">
      <c r="A991">
        <v>100986</v>
      </c>
      <c r="B991" s="8">
        <v>45333.041666666657</v>
      </c>
      <c r="C991" t="s">
        <v>15</v>
      </c>
      <c r="D991" t="s">
        <v>21</v>
      </c>
      <c r="E991" t="s">
        <v>69</v>
      </c>
      <c r="F991" t="s">
        <v>72</v>
      </c>
      <c r="G991">
        <v>3</v>
      </c>
      <c r="H991">
        <v>75.97</v>
      </c>
      <c r="I991">
        <v>5</v>
      </c>
      <c r="J991" t="s">
        <v>73</v>
      </c>
      <c r="K991" t="s">
        <v>77</v>
      </c>
      <c r="L991">
        <v>227.91</v>
      </c>
      <c r="M991">
        <v>11.3955</v>
      </c>
      <c r="N991">
        <v>216.5145</v>
      </c>
      <c r="O99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1" s="9" t="str">
        <f ca="1">IF(OR(ISNUMBER(Table13[[#This Row],[Order_Date]])=FALSE,Table13[[#This Row],[Order_Date]]&lt;DATE(2000,1,1),Table13[[#This Row],[Order_Date]]&gt;TODAY()),"YES","NO")</f>
        <v>NO</v>
      </c>
      <c r="Q991" s="9">
        <f>IF(Table13[[#This Row],[Order_Status]] = "Cancelled",0,IF(Table13[[#This Row],[Order_Status]] = "Returned",Table13[[#This Row],[Net_Sales]] * -1,Table13[[#This Row],[Net_Sales]]))</f>
        <v>216.5145</v>
      </c>
      <c r="R991" s="9" t="str">
        <f>IF(Table13[[#This Row],[Gross_Sales]]&gt;=500, "YES","NO")</f>
        <v>NO</v>
      </c>
    </row>
    <row r="992" spans="1:18" x14ac:dyDescent="0.3">
      <c r="A992">
        <v>100987</v>
      </c>
      <c r="B992" s="8">
        <v>45333.083333333343</v>
      </c>
      <c r="C992" t="s">
        <v>15</v>
      </c>
      <c r="D992" t="s">
        <v>28</v>
      </c>
      <c r="E992" t="s">
        <v>67</v>
      </c>
      <c r="F992" t="s">
        <v>72</v>
      </c>
      <c r="G992">
        <v>5</v>
      </c>
      <c r="H992">
        <v>102.75</v>
      </c>
      <c r="I992">
        <v>10</v>
      </c>
      <c r="J992" t="s">
        <v>74</v>
      </c>
      <c r="K992" t="s">
        <v>77</v>
      </c>
      <c r="L992">
        <v>513.75</v>
      </c>
      <c r="M992">
        <v>51.375</v>
      </c>
      <c r="N992">
        <v>462.375</v>
      </c>
      <c r="O99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2" s="9" t="str">
        <f ca="1">IF(OR(ISNUMBER(Table13[[#This Row],[Order_Date]])=FALSE,Table13[[#This Row],[Order_Date]]&lt;DATE(2000,1,1),Table13[[#This Row],[Order_Date]]&gt;TODAY()),"YES","NO")</f>
        <v>NO</v>
      </c>
      <c r="Q992" s="9">
        <f>IF(Table13[[#This Row],[Order_Status]] = "Cancelled",0,IF(Table13[[#This Row],[Order_Status]] = "Returned",Table13[[#This Row],[Net_Sales]] * -1,Table13[[#This Row],[Net_Sales]]))</f>
        <v>462.375</v>
      </c>
      <c r="R992" s="9" t="str">
        <f>IF(Table13[[#This Row],[Gross_Sales]]&gt;=500, "YES","NO")</f>
        <v>YES</v>
      </c>
    </row>
    <row r="993" spans="1:18" x14ac:dyDescent="0.3">
      <c r="A993">
        <v>100988</v>
      </c>
      <c r="B993" s="8">
        <v>45333.125</v>
      </c>
      <c r="C993" t="s">
        <v>15</v>
      </c>
      <c r="D993" t="s">
        <v>20</v>
      </c>
      <c r="E993" t="s">
        <v>69</v>
      </c>
      <c r="F993" t="s">
        <v>71</v>
      </c>
      <c r="G993">
        <v>3</v>
      </c>
      <c r="H993">
        <v>27.57</v>
      </c>
      <c r="I993">
        <v>0</v>
      </c>
      <c r="J993" t="s">
        <v>73</v>
      </c>
      <c r="K993" t="s">
        <v>77</v>
      </c>
      <c r="L993">
        <v>82.710000000000008</v>
      </c>
      <c r="M993">
        <v>0</v>
      </c>
      <c r="N993">
        <v>82.710000000000008</v>
      </c>
      <c r="O99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3" s="9" t="str">
        <f ca="1">IF(OR(ISNUMBER(Table13[[#This Row],[Order_Date]])=FALSE,Table13[[#This Row],[Order_Date]]&lt;DATE(2000,1,1),Table13[[#This Row],[Order_Date]]&gt;TODAY()),"YES","NO")</f>
        <v>NO</v>
      </c>
      <c r="Q993" s="9">
        <f>IF(Table13[[#This Row],[Order_Status]] = "Cancelled",0,IF(Table13[[#This Row],[Order_Status]] = "Returned",Table13[[#This Row],[Net_Sales]] * -1,Table13[[#This Row],[Net_Sales]]))</f>
        <v>82.710000000000008</v>
      </c>
      <c r="R993" s="9" t="str">
        <f>IF(Table13[[#This Row],[Gross_Sales]]&gt;=500, "YES","NO")</f>
        <v>NO</v>
      </c>
    </row>
    <row r="994" spans="1:18" x14ac:dyDescent="0.3">
      <c r="A994">
        <v>100989</v>
      </c>
      <c r="B994" s="8">
        <v>45333.166666666657</v>
      </c>
      <c r="C994" t="s">
        <v>15</v>
      </c>
      <c r="D994" t="s">
        <v>16</v>
      </c>
      <c r="E994" t="s">
        <v>66</v>
      </c>
      <c r="F994" t="s">
        <v>71</v>
      </c>
      <c r="G994">
        <v>1</v>
      </c>
      <c r="H994">
        <v>19.440000000000001</v>
      </c>
      <c r="I994">
        <v>15</v>
      </c>
      <c r="J994" t="s">
        <v>73</v>
      </c>
      <c r="K994" t="s">
        <v>78</v>
      </c>
      <c r="L994">
        <v>19.440000000000001</v>
      </c>
      <c r="M994">
        <v>2.9159999999999999</v>
      </c>
      <c r="N994">
        <v>16.524000000000001</v>
      </c>
      <c r="O99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94" s="9" t="str">
        <f ca="1">IF(OR(ISNUMBER(Table13[[#This Row],[Order_Date]])=FALSE,Table13[[#This Row],[Order_Date]]&lt;DATE(2000,1,1),Table13[[#This Row],[Order_Date]]&gt;TODAY()),"YES","NO")</f>
        <v>NO</v>
      </c>
      <c r="Q994" s="9">
        <f>IF(Table13[[#This Row],[Order_Status]] = "Cancelled",0,IF(Table13[[#This Row],[Order_Status]] = "Returned",Table13[[#This Row],[Net_Sales]] * -1,Table13[[#This Row],[Net_Sales]]))</f>
        <v>-16.524000000000001</v>
      </c>
      <c r="R994" s="9" t="str">
        <f>IF(Table13[[#This Row],[Gross_Sales]]&gt;=500, "YES","NO")</f>
        <v>NO</v>
      </c>
    </row>
    <row r="995" spans="1:18" x14ac:dyDescent="0.3">
      <c r="A995">
        <v>100990</v>
      </c>
      <c r="B995" s="8">
        <v>45333.208333333343</v>
      </c>
      <c r="C995" t="s">
        <v>15</v>
      </c>
      <c r="D995" t="s">
        <v>34</v>
      </c>
      <c r="E995" t="s">
        <v>68</v>
      </c>
      <c r="F995" t="s">
        <v>71</v>
      </c>
      <c r="G995">
        <v>5</v>
      </c>
      <c r="H995">
        <v>115.8</v>
      </c>
      <c r="I995">
        <v>5</v>
      </c>
      <c r="J995" t="s">
        <v>73</v>
      </c>
      <c r="K995" t="s">
        <v>77</v>
      </c>
      <c r="L995">
        <v>579</v>
      </c>
      <c r="M995">
        <v>28.95</v>
      </c>
      <c r="N995">
        <v>550.04999999999995</v>
      </c>
      <c r="O99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5" s="9" t="str">
        <f ca="1">IF(OR(ISNUMBER(Table13[[#This Row],[Order_Date]])=FALSE,Table13[[#This Row],[Order_Date]]&lt;DATE(2000,1,1),Table13[[#This Row],[Order_Date]]&gt;TODAY()),"YES","NO")</f>
        <v>NO</v>
      </c>
      <c r="Q995" s="9">
        <f>IF(Table13[[#This Row],[Order_Status]] = "Cancelled",0,IF(Table13[[#This Row],[Order_Status]] = "Returned",Table13[[#This Row],[Net_Sales]] * -1,Table13[[#This Row],[Net_Sales]]))</f>
        <v>550.04999999999995</v>
      </c>
      <c r="R995" s="9" t="str">
        <f>IF(Table13[[#This Row],[Gross_Sales]]&gt;=500, "YES","NO")</f>
        <v>YES</v>
      </c>
    </row>
    <row r="996" spans="1:18" x14ac:dyDescent="0.3">
      <c r="A996">
        <v>100991</v>
      </c>
      <c r="B996" s="8">
        <v>45333.25</v>
      </c>
      <c r="C996" t="s">
        <v>15</v>
      </c>
      <c r="D996" t="s">
        <v>54</v>
      </c>
      <c r="E996" t="s">
        <v>66</v>
      </c>
      <c r="F996" t="s">
        <v>71</v>
      </c>
      <c r="G996">
        <v>2</v>
      </c>
      <c r="H996">
        <v>17.43</v>
      </c>
      <c r="I996">
        <v>5</v>
      </c>
      <c r="J996" t="s">
        <v>75</v>
      </c>
      <c r="K996" t="s">
        <v>77</v>
      </c>
      <c r="L996">
        <v>34.86</v>
      </c>
      <c r="M996">
        <v>1.7430000000000001</v>
      </c>
      <c r="N996">
        <v>33.116999999999997</v>
      </c>
      <c r="O996"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6" s="9" t="str">
        <f ca="1">IF(OR(ISNUMBER(Table13[[#This Row],[Order_Date]])=FALSE,Table13[[#This Row],[Order_Date]]&lt;DATE(2000,1,1),Table13[[#This Row],[Order_Date]]&gt;TODAY()),"YES","NO")</f>
        <v>NO</v>
      </c>
      <c r="Q996" s="9">
        <f>IF(Table13[[#This Row],[Order_Status]] = "Cancelled",0,IF(Table13[[#This Row],[Order_Status]] = "Returned",Table13[[#This Row],[Net_Sales]] * -1,Table13[[#This Row],[Net_Sales]]))</f>
        <v>33.116999999999997</v>
      </c>
      <c r="R996" s="9" t="str">
        <f>IF(Table13[[#This Row],[Gross_Sales]]&gt;=500, "YES","NO")</f>
        <v>NO</v>
      </c>
    </row>
    <row r="997" spans="1:18" x14ac:dyDescent="0.3">
      <c r="A997">
        <v>100992</v>
      </c>
      <c r="B997" s="8">
        <v>45333.291666666657</v>
      </c>
      <c r="C997" t="s">
        <v>15</v>
      </c>
      <c r="D997" t="s">
        <v>35</v>
      </c>
      <c r="E997" t="s">
        <v>70</v>
      </c>
      <c r="F997" t="s">
        <v>71</v>
      </c>
      <c r="G997">
        <v>1</v>
      </c>
      <c r="H997">
        <v>60.03</v>
      </c>
      <c r="I997">
        <v>15</v>
      </c>
      <c r="J997" t="s">
        <v>74</v>
      </c>
      <c r="K997" t="s">
        <v>78</v>
      </c>
      <c r="L997">
        <v>60.03</v>
      </c>
      <c r="M997">
        <v>9.0045000000000002</v>
      </c>
      <c r="N997">
        <v>51.025500000000001</v>
      </c>
      <c r="O997"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YES</v>
      </c>
      <c r="P997" s="9" t="str">
        <f ca="1">IF(OR(ISNUMBER(Table13[[#This Row],[Order_Date]])=FALSE,Table13[[#This Row],[Order_Date]]&lt;DATE(2000,1,1),Table13[[#This Row],[Order_Date]]&gt;TODAY()),"YES","NO")</f>
        <v>NO</v>
      </c>
      <c r="Q997" s="9">
        <f>IF(Table13[[#This Row],[Order_Status]] = "Cancelled",0,IF(Table13[[#This Row],[Order_Status]] = "Returned",Table13[[#This Row],[Net_Sales]] * -1,Table13[[#This Row],[Net_Sales]]))</f>
        <v>-51.025500000000001</v>
      </c>
      <c r="R997" s="9" t="str">
        <f>IF(Table13[[#This Row],[Gross_Sales]]&gt;=500, "YES","NO")</f>
        <v>NO</v>
      </c>
    </row>
    <row r="998" spans="1:18" x14ac:dyDescent="0.3">
      <c r="A998">
        <v>100993</v>
      </c>
      <c r="B998" s="8">
        <v>45333.333333333343</v>
      </c>
      <c r="C998" t="s">
        <v>15</v>
      </c>
      <c r="D998" t="s">
        <v>37</v>
      </c>
      <c r="E998" t="s">
        <v>69</v>
      </c>
      <c r="F998" t="s">
        <v>71</v>
      </c>
      <c r="G998">
        <v>4</v>
      </c>
      <c r="H998">
        <v>72.34</v>
      </c>
      <c r="I998">
        <v>0</v>
      </c>
      <c r="J998" t="s">
        <v>74</v>
      </c>
      <c r="K998" t="s">
        <v>77</v>
      </c>
      <c r="L998">
        <v>289.36</v>
      </c>
      <c r="M998">
        <v>0</v>
      </c>
      <c r="N998">
        <v>289.36</v>
      </c>
      <c r="O998"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8" s="9" t="str">
        <f ca="1">IF(OR(ISNUMBER(Table13[[#This Row],[Order_Date]])=FALSE,Table13[[#This Row],[Order_Date]]&lt;DATE(2000,1,1),Table13[[#This Row],[Order_Date]]&gt;TODAY()),"YES","NO")</f>
        <v>NO</v>
      </c>
      <c r="Q998" s="9">
        <f>IF(Table13[[#This Row],[Order_Status]] = "Cancelled",0,IF(Table13[[#This Row],[Order_Status]] = "Returned",Table13[[#This Row],[Net_Sales]] * -1,Table13[[#This Row],[Net_Sales]]))</f>
        <v>289.36</v>
      </c>
      <c r="R998" s="9" t="str">
        <f>IF(Table13[[#This Row],[Gross_Sales]]&gt;=500, "YES","NO")</f>
        <v>NO</v>
      </c>
    </row>
    <row r="999" spans="1:18" x14ac:dyDescent="0.3">
      <c r="A999">
        <v>100994</v>
      </c>
      <c r="B999" s="8">
        <v>45333.375</v>
      </c>
      <c r="C999" t="s">
        <v>15</v>
      </c>
      <c r="D999" t="s">
        <v>23</v>
      </c>
      <c r="E999" t="s">
        <v>69</v>
      </c>
      <c r="F999" t="s">
        <v>72</v>
      </c>
      <c r="G999">
        <v>3</v>
      </c>
      <c r="H999">
        <v>67.260000000000005</v>
      </c>
      <c r="I999">
        <v>10</v>
      </c>
      <c r="J999" t="s">
        <v>75</v>
      </c>
      <c r="K999" t="s">
        <v>77</v>
      </c>
      <c r="L999">
        <v>201.78</v>
      </c>
      <c r="M999">
        <v>20.178000000000001</v>
      </c>
      <c r="N999">
        <v>181.602</v>
      </c>
      <c r="O999"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999" s="9" t="str">
        <f ca="1">IF(OR(ISNUMBER(Table13[[#This Row],[Order_Date]])=FALSE,Table13[[#This Row],[Order_Date]]&lt;DATE(2000,1,1),Table13[[#This Row],[Order_Date]]&gt;TODAY()),"YES","NO")</f>
        <v>NO</v>
      </c>
      <c r="Q999" s="9">
        <f>IF(Table13[[#This Row],[Order_Status]] = "Cancelled",0,IF(Table13[[#This Row],[Order_Status]] = "Returned",Table13[[#This Row],[Net_Sales]] * -1,Table13[[#This Row],[Net_Sales]]))</f>
        <v>181.602</v>
      </c>
      <c r="R999" s="9" t="str">
        <f>IF(Table13[[#This Row],[Gross_Sales]]&gt;=500, "YES","NO")</f>
        <v>NO</v>
      </c>
    </row>
    <row r="1000" spans="1:18" x14ac:dyDescent="0.3">
      <c r="A1000">
        <v>100995</v>
      </c>
      <c r="B1000" s="8">
        <v>45333.416666666657</v>
      </c>
      <c r="C1000" t="s">
        <v>15</v>
      </c>
      <c r="D1000" t="s">
        <v>48</v>
      </c>
      <c r="E1000" t="s">
        <v>70</v>
      </c>
      <c r="F1000" t="s">
        <v>72</v>
      </c>
      <c r="G1000">
        <v>1</v>
      </c>
      <c r="H1000">
        <v>14.89</v>
      </c>
      <c r="I1000">
        <v>0</v>
      </c>
      <c r="J1000" t="s">
        <v>74</v>
      </c>
      <c r="K1000" t="s">
        <v>77</v>
      </c>
      <c r="L1000">
        <v>14.89</v>
      </c>
      <c r="M1000">
        <v>0</v>
      </c>
      <c r="N1000">
        <v>14.89</v>
      </c>
      <c r="O1000"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00" s="9" t="str">
        <f ca="1">IF(OR(ISNUMBER(Table13[[#This Row],[Order_Date]])=FALSE,Table13[[#This Row],[Order_Date]]&lt;DATE(2000,1,1),Table13[[#This Row],[Order_Date]]&gt;TODAY()),"YES","NO")</f>
        <v>NO</v>
      </c>
      <c r="Q1000" s="9">
        <f>IF(Table13[[#This Row],[Order_Status]] = "Cancelled",0,IF(Table13[[#This Row],[Order_Status]] = "Returned",Table13[[#This Row],[Net_Sales]] * -1,Table13[[#This Row],[Net_Sales]]))</f>
        <v>14.89</v>
      </c>
      <c r="R1000" s="9" t="str">
        <f>IF(Table13[[#This Row],[Gross_Sales]]&gt;=500, "YES","NO")</f>
        <v>NO</v>
      </c>
    </row>
    <row r="1001" spans="1:18" x14ac:dyDescent="0.3">
      <c r="A1001">
        <v>100996</v>
      </c>
      <c r="B1001" s="8">
        <v>45333.458333333343</v>
      </c>
      <c r="C1001" t="s">
        <v>14</v>
      </c>
      <c r="D1001" t="s">
        <v>54</v>
      </c>
      <c r="E1001" t="s">
        <v>70</v>
      </c>
      <c r="F1001" t="s">
        <v>71</v>
      </c>
      <c r="G1001">
        <v>1</v>
      </c>
      <c r="H1001">
        <v>11.56</v>
      </c>
      <c r="I1001">
        <v>15</v>
      </c>
      <c r="J1001" t="s">
        <v>73</v>
      </c>
      <c r="K1001" t="s">
        <v>77</v>
      </c>
      <c r="L1001">
        <v>11.56</v>
      </c>
      <c r="M1001">
        <v>1.734</v>
      </c>
      <c r="N1001">
        <v>9.8260000000000005</v>
      </c>
      <c r="O1001"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01" s="9" t="str">
        <f ca="1">IF(OR(ISNUMBER(Table13[[#This Row],[Order_Date]])=FALSE,Table13[[#This Row],[Order_Date]]&lt;DATE(2000,1,1),Table13[[#This Row],[Order_Date]]&gt;TODAY()),"YES","NO")</f>
        <v>NO</v>
      </c>
      <c r="Q1001" s="9">
        <f>IF(Table13[[#This Row],[Order_Status]] = "Cancelled",0,IF(Table13[[#This Row],[Order_Status]] = "Returned",Table13[[#This Row],[Net_Sales]] * -1,Table13[[#This Row],[Net_Sales]]))</f>
        <v>9.8260000000000005</v>
      </c>
      <c r="R1001" s="9" t="str">
        <f>IF(Table13[[#This Row],[Gross_Sales]]&gt;=500, "YES","NO")</f>
        <v>NO</v>
      </c>
    </row>
    <row r="1002" spans="1:18" x14ac:dyDescent="0.3">
      <c r="A1002">
        <v>100997</v>
      </c>
      <c r="B1002" s="8">
        <v>45333.5</v>
      </c>
      <c r="C1002" t="s">
        <v>14</v>
      </c>
      <c r="D1002" t="s">
        <v>44</v>
      </c>
      <c r="E1002" t="s">
        <v>68</v>
      </c>
      <c r="F1002" t="s">
        <v>71</v>
      </c>
      <c r="G1002">
        <v>5</v>
      </c>
      <c r="H1002">
        <v>17.13</v>
      </c>
      <c r="I1002">
        <v>5</v>
      </c>
      <c r="J1002" t="s">
        <v>74</v>
      </c>
      <c r="K1002" t="s">
        <v>77</v>
      </c>
      <c r="L1002">
        <v>85.649999999999991</v>
      </c>
      <c r="M1002">
        <v>4.2824999999999998</v>
      </c>
      <c r="N1002">
        <v>81.367499999999993</v>
      </c>
      <c r="O1002"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02" s="9" t="str">
        <f ca="1">IF(OR(ISNUMBER(Table13[[#This Row],[Order_Date]])=FALSE,Table13[[#This Row],[Order_Date]]&lt;DATE(2000,1,1),Table13[[#This Row],[Order_Date]]&gt;TODAY()),"YES","NO")</f>
        <v>NO</v>
      </c>
      <c r="Q1002" s="9">
        <f>IF(Table13[[#This Row],[Order_Status]] = "Cancelled",0,IF(Table13[[#This Row],[Order_Status]] = "Returned",Table13[[#This Row],[Net_Sales]] * -1,Table13[[#This Row],[Net_Sales]]))</f>
        <v>81.367499999999993</v>
      </c>
      <c r="R1002" s="9" t="str">
        <f>IF(Table13[[#This Row],[Gross_Sales]]&gt;=500, "YES","NO")</f>
        <v>NO</v>
      </c>
    </row>
    <row r="1003" spans="1:18" x14ac:dyDescent="0.3">
      <c r="A1003">
        <v>100998</v>
      </c>
      <c r="B1003" s="8">
        <v>45333.541666666657</v>
      </c>
      <c r="C1003" t="s">
        <v>15</v>
      </c>
      <c r="D1003" t="s">
        <v>54</v>
      </c>
      <c r="E1003" t="s">
        <v>69</v>
      </c>
      <c r="F1003" t="s">
        <v>72</v>
      </c>
      <c r="G1003">
        <v>5</v>
      </c>
      <c r="H1003">
        <v>72.34</v>
      </c>
      <c r="I1003">
        <v>10</v>
      </c>
      <c r="J1003" t="s">
        <v>75</v>
      </c>
      <c r="K1003" t="s">
        <v>77</v>
      </c>
      <c r="L1003">
        <v>361.7</v>
      </c>
      <c r="M1003">
        <v>36.170000000000009</v>
      </c>
      <c r="N1003">
        <v>325.52999999999997</v>
      </c>
      <c r="O1003"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03" s="9" t="str">
        <f ca="1">IF(OR(ISNUMBER(Table13[[#This Row],[Order_Date]])=FALSE,Table13[[#This Row],[Order_Date]]&lt;DATE(2000,1,1),Table13[[#This Row],[Order_Date]]&gt;TODAY()),"YES","NO")</f>
        <v>NO</v>
      </c>
      <c r="Q1003" s="9">
        <f>IF(Table13[[#This Row],[Order_Status]] = "Cancelled",0,IF(Table13[[#This Row],[Order_Status]] = "Returned",Table13[[#This Row],[Net_Sales]] * -1,Table13[[#This Row],[Net_Sales]]))</f>
        <v>325.52999999999997</v>
      </c>
      <c r="R1003" s="9" t="str">
        <f>IF(Table13[[#This Row],[Gross_Sales]]&gt;=500, "YES","NO")</f>
        <v>NO</v>
      </c>
    </row>
    <row r="1004" spans="1:18" x14ac:dyDescent="0.3">
      <c r="A1004">
        <v>100999</v>
      </c>
      <c r="B1004" s="8">
        <v>45333.583333333343</v>
      </c>
      <c r="C1004" t="s">
        <v>15</v>
      </c>
      <c r="D1004" t="s">
        <v>43</v>
      </c>
      <c r="E1004" t="s">
        <v>69</v>
      </c>
      <c r="F1004" t="s">
        <v>72</v>
      </c>
      <c r="G1004">
        <v>5</v>
      </c>
      <c r="H1004">
        <v>67.599999999999994</v>
      </c>
      <c r="I1004">
        <v>5</v>
      </c>
      <c r="J1004" t="s">
        <v>73</v>
      </c>
      <c r="K1004" t="s">
        <v>77</v>
      </c>
      <c r="L1004">
        <v>338</v>
      </c>
      <c r="M1004">
        <v>16.899999999999999</v>
      </c>
      <c r="N1004">
        <v>321.10000000000002</v>
      </c>
      <c r="O1004"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04" s="9" t="str">
        <f ca="1">IF(OR(ISNUMBER(Table13[[#This Row],[Order_Date]])=FALSE,Table13[[#This Row],[Order_Date]]&lt;DATE(2000,1,1),Table13[[#This Row],[Order_Date]]&gt;TODAY()),"YES","NO")</f>
        <v>NO</v>
      </c>
      <c r="Q1004" s="9">
        <f>IF(Table13[[#This Row],[Order_Status]] = "Cancelled",0,IF(Table13[[#This Row],[Order_Status]] = "Returned",Table13[[#This Row],[Net_Sales]] * -1,Table13[[#This Row],[Net_Sales]]))</f>
        <v>321.10000000000002</v>
      </c>
      <c r="R1004" s="9" t="str">
        <f>IF(Table13[[#This Row],[Gross_Sales]]&gt;=500, "YES","NO")</f>
        <v>NO</v>
      </c>
    </row>
    <row r="1005" spans="1:18" x14ac:dyDescent="0.3">
      <c r="A1005">
        <v>101000</v>
      </c>
      <c r="B1005" s="8">
        <v>45333.625</v>
      </c>
      <c r="C1005" t="s">
        <v>14</v>
      </c>
      <c r="D1005" t="s">
        <v>20</v>
      </c>
      <c r="E1005" t="s">
        <v>68</v>
      </c>
      <c r="F1005" t="s">
        <v>72</v>
      </c>
      <c r="G1005">
        <v>4</v>
      </c>
      <c r="H1005">
        <v>31.88</v>
      </c>
      <c r="I1005">
        <v>15</v>
      </c>
      <c r="J1005" t="s">
        <v>75</v>
      </c>
      <c r="K1005" t="s">
        <v>77</v>
      </c>
      <c r="L1005">
        <v>127.52</v>
      </c>
      <c r="M1005">
        <v>19.128</v>
      </c>
      <c r="N1005">
        <v>108.392</v>
      </c>
      <c r="O1005" t="str">
        <f>IF(OR(ISBLANK(Table13[[#This Row],[Gross_Sales]]),ISBLANK(Table13[[#This Row],[Net_Sales]]),ISBLANK(Table13[[#This Row],[Quantity]]),Table13[[#This Row],[Gross_Sales]]&lt;0,Table13[[#This Row],[Net_Sales]]&lt;0,Table13[[#This Row],[Quantity]]&lt;0,AND(OR(Table13[[#This Row],[Order_Status]]="Cancelled",Table13[[#This Row],[Order_Status]]="Returned"),Table13[[#This Row],[Net_Sales]]&lt;&gt;0)),"YES","NO")</f>
        <v>NO</v>
      </c>
      <c r="P1005" s="9" t="str">
        <f ca="1">IF(OR(ISNUMBER(Table13[[#This Row],[Order_Date]])=FALSE,Table13[[#This Row],[Order_Date]]&lt;DATE(2000,1,1),Table13[[#This Row],[Order_Date]]&gt;TODAY()),"YES","NO")</f>
        <v>NO</v>
      </c>
      <c r="Q1005" s="9">
        <f>IF(Table13[[#This Row],[Order_Status]] = "Cancelled",0,IF(Table13[[#This Row],[Order_Status]] = "Returned",Table13[[#This Row],[Net_Sales]] * -1,Table13[[#This Row],[Net_Sales]]))</f>
        <v>108.392</v>
      </c>
      <c r="R1005" s="9" t="str">
        <f>IF(Table13[[#This Row],[Gross_Sales]]&gt;=500, "YES","NO")</f>
        <v>NO</v>
      </c>
    </row>
  </sheetData>
  <mergeCells count="1">
    <mergeCell ref="A1:R4"/>
  </mergeCells>
  <conditionalFormatting sqref="O5:R1005">
    <cfRule type="cellIs" dxfId="7" priority="2" operator="equal">
      <formula>"""YES"""</formula>
    </cfRule>
    <cfRule type="cellIs" dxfId="6" priority="3" operator="equal">
      <formula>"""YES"""</formula>
    </cfRule>
    <cfRule type="cellIs" dxfId="5" priority="4" operator="equal">
      <formula>"""YES"""</formula>
    </cfRule>
  </conditionalFormatting>
  <conditionalFormatting sqref="O6:R1005">
    <cfRule type="cellIs" dxfId="4" priority="1" operator="equal">
      <formula>"YES"</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C847-E84D-44D7-877E-81EF160A4C67}">
  <dimension ref="A2:J65"/>
  <sheetViews>
    <sheetView topLeftCell="A24" zoomScale="85" zoomScaleNormal="85" workbookViewId="0">
      <selection activeCell="I37" sqref="I37"/>
    </sheetView>
  </sheetViews>
  <sheetFormatPr defaultRowHeight="14.4" x14ac:dyDescent="0.3"/>
  <cols>
    <col min="1" max="1" width="12.5546875" bestFit="1" customWidth="1"/>
    <col min="2" max="2" width="29.5546875" customWidth="1"/>
    <col min="5" max="5" width="13.33203125" customWidth="1"/>
    <col min="7" max="7" width="16.21875" bestFit="1" customWidth="1"/>
    <col min="8" max="8" width="27.5546875" customWidth="1"/>
    <col min="9" max="9" width="14.5546875" customWidth="1"/>
    <col min="10" max="10" width="22" customWidth="1"/>
    <col min="11" max="11" width="16.21875" bestFit="1" customWidth="1"/>
    <col min="12" max="12" width="17.44140625" bestFit="1" customWidth="1"/>
    <col min="13" max="21" width="5" bestFit="1" customWidth="1"/>
    <col min="22" max="22" width="4" bestFit="1" customWidth="1"/>
    <col min="23" max="29" width="5" bestFit="1" customWidth="1"/>
    <col min="30" max="30" width="4" bestFit="1" customWidth="1"/>
    <col min="31" max="35" width="5" bestFit="1" customWidth="1"/>
    <col min="36" max="37" width="4" bestFit="1" customWidth="1"/>
    <col min="38" max="39" width="5" bestFit="1" customWidth="1"/>
    <col min="40" max="40" width="4" bestFit="1" customWidth="1"/>
    <col min="41" max="55" width="5" bestFit="1" customWidth="1"/>
    <col min="56" max="59" width="6" bestFit="1" customWidth="1"/>
    <col min="60" max="60" width="5" bestFit="1" customWidth="1"/>
    <col min="61" max="61" width="6" bestFit="1" customWidth="1"/>
    <col min="62" max="62" width="5" bestFit="1" customWidth="1"/>
    <col min="63" max="77" width="6" bestFit="1" customWidth="1"/>
    <col min="78" max="78" width="5" bestFit="1" customWidth="1"/>
    <col min="79" max="81" width="6" bestFit="1" customWidth="1"/>
    <col min="82" max="82" width="5" bestFit="1" customWidth="1"/>
    <col min="83" max="127" width="6" bestFit="1" customWidth="1"/>
    <col min="128" max="128" width="5" bestFit="1" customWidth="1"/>
    <col min="129" max="151" width="6" bestFit="1" customWidth="1"/>
    <col min="152" max="152" width="5" bestFit="1" customWidth="1"/>
    <col min="153" max="154" width="6" bestFit="1" customWidth="1"/>
    <col min="155" max="155" width="5" bestFit="1" customWidth="1"/>
    <col min="156" max="157" width="6" bestFit="1" customWidth="1"/>
    <col min="158" max="158" width="5" bestFit="1" customWidth="1"/>
    <col min="159" max="189" width="6" bestFit="1" customWidth="1"/>
    <col min="190" max="190" width="5" bestFit="1" customWidth="1"/>
    <col min="191" max="191" width="6" bestFit="1" customWidth="1"/>
    <col min="192" max="192" width="5" bestFit="1" customWidth="1"/>
    <col min="193" max="208" width="6" bestFit="1" customWidth="1"/>
    <col min="209" max="210" width="5" bestFit="1" customWidth="1"/>
    <col min="211" max="234" width="6" bestFit="1" customWidth="1"/>
    <col min="235" max="235" width="5" bestFit="1" customWidth="1"/>
    <col min="236" max="236" width="3" bestFit="1" customWidth="1"/>
    <col min="237" max="240" width="6" bestFit="1" customWidth="1"/>
    <col min="241" max="241" width="5" bestFit="1" customWidth="1"/>
    <col min="242" max="266" width="6" bestFit="1" customWidth="1"/>
    <col min="267" max="267" width="5" bestFit="1" customWidth="1"/>
    <col min="268" max="323" width="6" bestFit="1" customWidth="1"/>
    <col min="324" max="324" width="5" bestFit="1" customWidth="1"/>
    <col min="325" max="330" width="6" bestFit="1" customWidth="1"/>
    <col min="331" max="331" width="5" bestFit="1" customWidth="1"/>
    <col min="332" max="332" width="6" bestFit="1" customWidth="1"/>
    <col min="333" max="333" width="5" bestFit="1" customWidth="1"/>
    <col min="334" max="337" width="6" bestFit="1" customWidth="1"/>
    <col min="338" max="338" width="5" bestFit="1" customWidth="1"/>
    <col min="339" max="347" width="6" bestFit="1" customWidth="1"/>
    <col min="348" max="348" width="5" bestFit="1" customWidth="1"/>
    <col min="349" max="353" width="6" bestFit="1" customWidth="1"/>
    <col min="354" max="354" width="5" bestFit="1" customWidth="1"/>
    <col min="355" max="376" width="6" bestFit="1" customWidth="1"/>
    <col min="377" max="377" width="5" bestFit="1" customWidth="1"/>
    <col min="378" max="378" width="6" bestFit="1" customWidth="1"/>
    <col min="379" max="379" width="5" bestFit="1" customWidth="1"/>
    <col min="380" max="387" width="6" bestFit="1" customWidth="1"/>
    <col min="388" max="388" width="5" bestFit="1" customWidth="1"/>
    <col min="389" max="393" width="6" bestFit="1" customWidth="1"/>
    <col min="394" max="395" width="5" bestFit="1" customWidth="1"/>
    <col min="396" max="421" width="6" bestFit="1" customWidth="1"/>
    <col min="422" max="422" width="5" bestFit="1" customWidth="1"/>
    <col min="423" max="434" width="6" bestFit="1" customWidth="1"/>
    <col min="435" max="435" width="3" bestFit="1" customWidth="1"/>
    <col min="436" max="442" width="6" bestFit="1" customWidth="1"/>
    <col min="443" max="443" width="5" bestFit="1" customWidth="1"/>
    <col min="444" max="456" width="6" bestFit="1" customWidth="1"/>
    <col min="457" max="457" width="5" bestFit="1" customWidth="1"/>
    <col min="458" max="458" width="6" bestFit="1" customWidth="1"/>
    <col min="459" max="459" width="5" bestFit="1" customWidth="1"/>
    <col min="460" max="463" width="6" bestFit="1" customWidth="1"/>
    <col min="464" max="464" width="5" bestFit="1" customWidth="1"/>
    <col min="465" max="476" width="6" bestFit="1" customWidth="1"/>
    <col min="477" max="477" width="5" bestFit="1" customWidth="1"/>
    <col min="478" max="479" width="6" bestFit="1" customWidth="1"/>
    <col min="480" max="480" width="5" bestFit="1" customWidth="1"/>
    <col min="481" max="488" width="6" bestFit="1" customWidth="1"/>
    <col min="489" max="489" width="5" bestFit="1" customWidth="1"/>
    <col min="490" max="495" width="6" bestFit="1" customWidth="1"/>
    <col min="496" max="496" width="5" bestFit="1" customWidth="1"/>
    <col min="497" max="504" width="6" bestFit="1" customWidth="1"/>
    <col min="505" max="505" width="5" bestFit="1" customWidth="1"/>
    <col min="506" max="516" width="6" bestFit="1" customWidth="1"/>
    <col min="517" max="517" width="5" bestFit="1" customWidth="1"/>
    <col min="518" max="522" width="6" bestFit="1" customWidth="1"/>
    <col min="523" max="523" width="5" bestFit="1" customWidth="1"/>
    <col min="524" max="526" width="6" bestFit="1" customWidth="1"/>
    <col min="527" max="527" width="5" bestFit="1" customWidth="1"/>
    <col min="528" max="528" width="6" bestFit="1" customWidth="1"/>
    <col min="529" max="529" width="5" bestFit="1" customWidth="1"/>
    <col min="530" max="530" width="6" bestFit="1" customWidth="1"/>
    <col min="531" max="531" width="5" bestFit="1" customWidth="1"/>
    <col min="532" max="561" width="6" bestFit="1" customWidth="1"/>
    <col min="562" max="562" width="5" bestFit="1" customWidth="1"/>
    <col min="563" max="563" width="3" bestFit="1" customWidth="1"/>
    <col min="564" max="579" width="6" bestFit="1" customWidth="1"/>
    <col min="580" max="580" width="5" bestFit="1" customWidth="1"/>
    <col min="581" max="592" width="6" bestFit="1" customWidth="1"/>
    <col min="593" max="593" width="5" bestFit="1" customWidth="1"/>
    <col min="594" max="610" width="6" bestFit="1" customWidth="1"/>
    <col min="611" max="611" width="5" bestFit="1" customWidth="1"/>
    <col min="612" max="614" width="6" bestFit="1" customWidth="1"/>
    <col min="615" max="615" width="5" bestFit="1" customWidth="1"/>
    <col min="616" max="647" width="6" bestFit="1" customWidth="1"/>
    <col min="648" max="648" width="5" bestFit="1" customWidth="1"/>
    <col min="649" max="657" width="6" bestFit="1" customWidth="1"/>
    <col min="658" max="658" width="5" bestFit="1" customWidth="1"/>
    <col min="659" max="659" width="6" bestFit="1" customWidth="1"/>
    <col min="660" max="660" width="5" bestFit="1" customWidth="1"/>
    <col min="661" max="666" width="6" bestFit="1" customWidth="1"/>
    <col min="667" max="667" width="5" bestFit="1" customWidth="1"/>
    <col min="668" max="669" width="6" bestFit="1" customWidth="1"/>
    <col min="670" max="671" width="5" bestFit="1" customWidth="1"/>
    <col min="672" max="702" width="6" bestFit="1" customWidth="1"/>
    <col min="703" max="703" width="5" bestFit="1" customWidth="1"/>
    <col min="704" max="704" width="6" bestFit="1" customWidth="1"/>
    <col min="705" max="705" width="5" bestFit="1" customWidth="1"/>
    <col min="706" max="710" width="6" bestFit="1" customWidth="1"/>
    <col min="711" max="711" width="5" bestFit="1" customWidth="1"/>
    <col min="712" max="719" width="6" bestFit="1" customWidth="1"/>
    <col min="720" max="720" width="5" bestFit="1" customWidth="1"/>
    <col min="721" max="722" width="6" bestFit="1" customWidth="1"/>
    <col min="723" max="723" width="5" bestFit="1" customWidth="1"/>
    <col min="724" max="745" width="6" bestFit="1" customWidth="1"/>
    <col min="746" max="746" width="5" bestFit="1" customWidth="1"/>
    <col min="747" max="748" width="6" bestFit="1" customWidth="1"/>
    <col min="749" max="749" width="5" bestFit="1" customWidth="1"/>
    <col min="750" max="757" width="6" bestFit="1" customWidth="1"/>
    <col min="758" max="758" width="5" bestFit="1" customWidth="1"/>
    <col min="759" max="765" width="6" bestFit="1" customWidth="1"/>
    <col min="766" max="766" width="5" bestFit="1" customWidth="1"/>
    <col min="767" max="772" width="6" bestFit="1" customWidth="1"/>
    <col min="773" max="773" width="5" bestFit="1" customWidth="1"/>
    <col min="774" max="775" width="6" bestFit="1" customWidth="1"/>
    <col min="776" max="776" width="5" bestFit="1" customWidth="1"/>
    <col min="777" max="793" width="6" bestFit="1" customWidth="1"/>
    <col min="794" max="794" width="3" bestFit="1" customWidth="1"/>
    <col min="795" max="804" width="6" bestFit="1" customWidth="1"/>
    <col min="805" max="805" width="5" bestFit="1" customWidth="1"/>
    <col min="806" max="808" width="6" bestFit="1" customWidth="1"/>
    <col min="809" max="809" width="4" bestFit="1" customWidth="1"/>
    <col min="810" max="822" width="7" bestFit="1" customWidth="1"/>
    <col min="823" max="823" width="6" bestFit="1" customWidth="1"/>
    <col min="824" max="824" width="7" bestFit="1" customWidth="1"/>
    <col min="825" max="825" width="6" bestFit="1" customWidth="1"/>
    <col min="826" max="827" width="7" bestFit="1" customWidth="1"/>
    <col min="828" max="828" width="6" bestFit="1" customWidth="1"/>
    <col min="829" max="849" width="7" bestFit="1" customWidth="1"/>
    <col min="850" max="850" width="6" bestFit="1" customWidth="1"/>
    <col min="851" max="856" width="7" bestFit="1" customWidth="1"/>
    <col min="857" max="857" width="6" bestFit="1" customWidth="1"/>
    <col min="858" max="864" width="7" bestFit="1" customWidth="1"/>
    <col min="865" max="865" width="6" bestFit="1" customWidth="1"/>
    <col min="866" max="871" width="7" bestFit="1" customWidth="1"/>
    <col min="872" max="872" width="6" bestFit="1" customWidth="1"/>
    <col min="873" max="874" width="7" bestFit="1" customWidth="1"/>
    <col min="875" max="875" width="4" bestFit="1" customWidth="1"/>
    <col min="876" max="876" width="6" bestFit="1" customWidth="1"/>
    <col min="877" max="881" width="7" bestFit="1" customWidth="1"/>
    <col min="882" max="882" width="6" bestFit="1" customWidth="1"/>
    <col min="883" max="884" width="7" bestFit="1" customWidth="1"/>
    <col min="885" max="885" width="4" bestFit="1" customWidth="1"/>
    <col min="886" max="886" width="6" bestFit="1" customWidth="1"/>
    <col min="887" max="902" width="7" bestFit="1" customWidth="1"/>
    <col min="903" max="903" width="4" bestFit="1" customWidth="1"/>
    <col min="904" max="925" width="7" bestFit="1" customWidth="1"/>
    <col min="926" max="926" width="6" bestFit="1" customWidth="1"/>
    <col min="927" max="933" width="7" bestFit="1" customWidth="1"/>
    <col min="934" max="934" width="6" bestFit="1" customWidth="1"/>
    <col min="935" max="940" width="7" bestFit="1" customWidth="1"/>
    <col min="941" max="941" width="6" bestFit="1" customWidth="1"/>
    <col min="942" max="953" width="7" bestFit="1" customWidth="1"/>
    <col min="954" max="954" width="6" bestFit="1" customWidth="1"/>
    <col min="955" max="959" width="7" bestFit="1" customWidth="1"/>
    <col min="960" max="960" width="10.77734375" bestFit="1" customWidth="1"/>
  </cols>
  <sheetData>
    <row r="2" spans="1:10" ht="43.2" customHeight="1" x14ac:dyDescent="0.5">
      <c r="A2" s="82" t="s">
        <v>108</v>
      </c>
      <c r="B2" s="82"/>
      <c r="G2" s="87" t="s">
        <v>111</v>
      </c>
      <c r="H2" s="87"/>
    </row>
    <row r="3" spans="1:10" ht="10.8" customHeight="1" x14ac:dyDescent="0.3">
      <c r="A3" s="82"/>
      <c r="B3" s="82"/>
    </row>
    <row r="4" spans="1:10" x14ac:dyDescent="0.3">
      <c r="C4" s="23"/>
      <c r="E4" s="85" t="s">
        <v>112</v>
      </c>
      <c r="F4" s="4"/>
      <c r="G4" s="30" t="s">
        <v>10</v>
      </c>
      <c r="H4" s="4" t="s">
        <v>78</v>
      </c>
      <c r="I4" s="4"/>
      <c r="J4" s="21"/>
    </row>
    <row r="5" spans="1:10" x14ac:dyDescent="0.3">
      <c r="A5" s="11" t="s">
        <v>86</v>
      </c>
      <c r="B5" t="s">
        <v>90</v>
      </c>
      <c r="C5" s="23"/>
      <c r="E5" s="86"/>
      <c r="F5" s="19"/>
      <c r="G5" s="19"/>
      <c r="H5" s="19"/>
      <c r="I5" s="19"/>
      <c r="J5" s="23"/>
    </row>
    <row r="6" spans="1:10" x14ac:dyDescent="0.3">
      <c r="A6" s="12" t="s">
        <v>14</v>
      </c>
      <c r="B6" s="14">
        <v>59041.265499999994</v>
      </c>
      <c r="C6" s="23"/>
      <c r="E6" s="86"/>
      <c r="F6" s="19"/>
      <c r="G6" s="31" t="s">
        <v>86</v>
      </c>
      <c r="H6" s="19" t="s">
        <v>90</v>
      </c>
      <c r="I6" s="19"/>
      <c r="J6" s="23"/>
    </row>
    <row r="7" spans="1:10" x14ac:dyDescent="0.3">
      <c r="A7" s="12" t="s">
        <v>15</v>
      </c>
      <c r="B7" s="14">
        <v>65139.902999999947</v>
      </c>
      <c r="C7" s="23"/>
      <c r="E7" s="86"/>
      <c r="F7" s="19"/>
      <c r="G7" s="32" t="s">
        <v>14</v>
      </c>
      <c r="H7" s="33">
        <v>-9196.0460000000003</v>
      </c>
      <c r="I7" s="19"/>
      <c r="J7" s="23"/>
    </row>
    <row r="8" spans="1:10" x14ac:dyDescent="0.3">
      <c r="A8" s="12" t="s">
        <v>87</v>
      </c>
      <c r="B8" s="14">
        <v>124181.16849999994</v>
      </c>
      <c r="C8" s="23"/>
      <c r="E8" s="22"/>
      <c r="F8" s="19"/>
      <c r="G8" s="32" t="s">
        <v>15</v>
      </c>
      <c r="H8" s="33">
        <v>-8056.4454999999989</v>
      </c>
      <c r="I8" s="19"/>
      <c r="J8" s="23"/>
    </row>
    <row r="9" spans="1:10" x14ac:dyDescent="0.3">
      <c r="A9" s="20"/>
      <c r="B9" s="20"/>
      <c r="C9" s="25"/>
      <c r="E9" s="22"/>
      <c r="F9" s="19"/>
      <c r="G9" s="32" t="s">
        <v>87</v>
      </c>
      <c r="H9" s="33">
        <v>-17252.4915</v>
      </c>
      <c r="I9" s="19"/>
      <c r="J9" s="23"/>
    </row>
    <row r="10" spans="1:10" ht="43.2" customHeight="1" x14ac:dyDescent="0.3">
      <c r="A10" s="83" t="s">
        <v>109</v>
      </c>
      <c r="B10" s="83"/>
      <c r="C10" s="23"/>
      <c r="E10" s="24"/>
      <c r="F10" s="20"/>
      <c r="G10" s="20"/>
      <c r="H10" s="20"/>
      <c r="I10" s="20"/>
      <c r="J10" s="25"/>
    </row>
    <row r="11" spans="1:10" x14ac:dyDescent="0.3">
      <c r="C11" s="23"/>
      <c r="E11" s="26"/>
      <c r="F11" s="4"/>
      <c r="G11" s="30" t="s">
        <v>10</v>
      </c>
      <c r="H11" s="4" t="s">
        <v>78</v>
      </c>
      <c r="I11" s="4"/>
      <c r="J11" s="21"/>
    </row>
    <row r="12" spans="1:10" x14ac:dyDescent="0.3">
      <c r="C12" s="23"/>
      <c r="E12" s="22"/>
      <c r="F12" s="19"/>
      <c r="G12" s="19"/>
      <c r="H12" s="19"/>
      <c r="I12" s="19"/>
      <c r="J12" s="23"/>
    </row>
    <row r="13" spans="1:10" x14ac:dyDescent="0.3">
      <c r="A13" s="11" t="s">
        <v>86</v>
      </c>
      <c r="B13" t="s">
        <v>89</v>
      </c>
      <c r="C13" s="23"/>
      <c r="E13" s="22"/>
      <c r="F13" s="19"/>
      <c r="G13" s="31" t="s">
        <v>99</v>
      </c>
      <c r="H13" s="31" t="s">
        <v>98</v>
      </c>
      <c r="I13" s="19"/>
      <c r="J13" s="23"/>
    </row>
    <row r="14" spans="1:10" x14ac:dyDescent="0.3">
      <c r="A14" s="12" t="s">
        <v>68</v>
      </c>
      <c r="B14" s="9">
        <v>517</v>
      </c>
      <c r="C14" s="23"/>
      <c r="E14" s="22"/>
      <c r="F14" s="19"/>
      <c r="G14" s="31" t="s">
        <v>86</v>
      </c>
      <c r="H14" s="19" t="s">
        <v>14</v>
      </c>
      <c r="I14" s="19" t="s">
        <v>15</v>
      </c>
      <c r="J14" s="23" t="s">
        <v>87</v>
      </c>
    </row>
    <row r="15" spans="1:10" x14ac:dyDescent="0.3">
      <c r="A15" s="12" t="s">
        <v>67</v>
      </c>
      <c r="B15" s="9">
        <v>570</v>
      </c>
      <c r="C15" s="23"/>
      <c r="E15" s="22"/>
      <c r="F15" s="19"/>
      <c r="G15" s="32">
        <v>0</v>
      </c>
      <c r="H15" s="60">
        <v>10</v>
      </c>
      <c r="I15" s="60">
        <v>11</v>
      </c>
      <c r="J15" s="61">
        <v>21</v>
      </c>
    </row>
    <row r="16" spans="1:10" x14ac:dyDescent="0.3">
      <c r="A16" s="12" t="s">
        <v>70</v>
      </c>
      <c r="B16" s="9">
        <v>603</v>
      </c>
      <c r="C16" s="23"/>
      <c r="E16" s="22"/>
      <c r="F16" s="19"/>
      <c r="G16" s="32">
        <v>5</v>
      </c>
      <c r="H16" s="60">
        <v>13</v>
      </c>
      <c r="I16" s="60">
        <v>11</v>
      </c>
      <c r="J16" s="61">
        <v>24</v>
      </c>
    </row>
    <row r="17" spans="1:10" x14ac:dyDescent="0.3">
      <c r="A17" s="12" t="s">
        <v>66</v>
      </c>
      <c r="B17" s="9">
        <v>635</v>
      </c>
      <c r="C17" s="23"/>
      <c r="E17" s="22"/>
      <c r="F17" s="19"/>
      <c r="G17" s="32">
        <v>10</v>
      </c>
      <c r="H17" s="60">
        <v>10</v>
      </c>
      <c r="I17" s="60">
        <v>10</v>
      </c>
      <c r="J17" s="61">
        <v>20</v>
      </c>
    </row>
    <row r="18" spans="1:10" x14ac:dyDescent="0.3">
      <c r="A18" s="12" t="s">
        <v>69</v>
      </c>
      <c r="B18" s="9">
        <v>657</v>
      </c>
      <c r="C18" s="23"/>
      <c r="E18" s="22"/>
      <c r="F18" s="19"/>
      <c r="G18" s="32">
        <v>15</v>
      </c>
      <c r="H18" s="60">
        <v>10</v>
      </c>
      <c r="I18" s="60">
        <v>13</v>
      </c>
      <c r="J18" s="61">
        <v>23</v>
      </c>
    </row>
    <row r="19" spans="1:10" x14ac:dyDescent="0.3">
      <c r="A19" s="12" t="s">
        <v>87</v>
      </c>
      <c r="B19" s="9">
        <v>2982</v>
      </c>
      <c r="C19" s="23"/>
      <c r="E19" s="22"/>
      <c r="F19" s="19"/>
      <c r="G19" s="32" t="s">
        <v>87</v>
      </c>
      <c r="H19" s="60">
        <v>43</v>
      </c>
      <c r="I19" s="60">
        <v>45</v>
      </c>
      <c r="J19" s="61">
        <v>88</v>
      </c>
    </row>
    <row r="20" spans="1:10" x14ac:dyDescent="0.3">
      <c r="C20" s="23"/>
      <c r="E20" s="86" t="s">
        <v>113</v>
      </c>
      <c r="F20" s="19"/>
      <c r="G20" s="19"/>
      <c r="H20" s="19"/>
      <c r="I20" s="19"/>
      <c r="J20" s="23"/>
    </row>
    <row r="21" spans="1:10" x14ac:dyDescent="0.3">
      <c r="A21" s="20"/>
      <c r="B21" s="20"/>
      <c r="C21" s="25"/>
      <c r="E21" s="86"/>
      <c r="F21" s="19"/>
      <c r="G21" s="19"/>
      <c r="H21" s="19"/>
      <c r="I21" s="19"/>
      <c r="J21" s="23"/>
    </row>
    <row r="22" spans="1:10" ht="57.6" customHeight="1" x14ac:dyDescent="0.3">
      <c r="A22" s="83" t="s">
        <v>110</v>
      </c>
      <c r="B22" s="83"/>
      <c r="C22" s="23"/>
      <c r="E22" s="22"/>
      <c r="F22" s="19"/>
      <c r="G22" s="31" t="s">
        <v>10</v>
      </c>
      <c r="H22" s="19" t="s">
        <v>78</v>
      </c>
      <c r="I22" s="19"/>
      <c r="J22" s="23"/>
    </row>
    <row r="23" spans="1:10" x14ac:dyDescent="0.3">
      <c r="A23" s="84"/>
      <c r="B23" s="84"/>
      <c r="C23" s="23"/>
      <c r="E23" s="22"/>
      <c r="F23" s="19"/>
      <c r="G23" s="19"/>
      <c r="H23" s="19"/>
      <c r="I23" s="19"/>
      <c r="J23" s="23"/>
    </row>
    <row r="24" spans="1:10" x14ac:dyDescent="0.3">
      <c r="C24" s="23"/>
      <c r="E24" s="22"/>
      <c r="F24" s="19"/>
      <c r="G24" s="31" t="s">
        <v>88</v>
      </c>
      <c r="H24" s="31" t="s">
        <v>98</v>
      </c>
      <c r="I24" s="19"/>
      <c r="J24" s="23"/>
    </row>
    <row r="25" spans="1:10" x14ac:dyDescent="0.3">
      <c r="C25" s="23"/>
      <c r="E25" s="22"/>
      <c r="F25" s="19"/>
      <c r="G25" s="31" t="s">
        <v>86</v>
      </c>
      <c r="H25" s="19" t="s">
        <v>14</v>
      </c>
      <c r="I25" s="19" t="s">
        <v>15</v>
      </c>
      <c r="J25" s="23" t="s">
        <v>87</v>
      </c>
    </row>
    <row r="26" spans="1:10" x14ac:dyDescent="0.3">
      <c r="A26" s="11" t="s">
        <v>10</v>
      </c>
      <c r="B26" t="s">
        <v>78</v>
      </c>
      <c r="C26" s="23"/>
      <c r="E26" s="22"/>
      <c r="F26" s="19"/>
      <c r="G26" s="32">
        <v>0</v>
      </c>
      <c r="H26" s="60">
        <v>-1873.58</v>
      </c>
      <c r="I26" s="60">
        <v>-2604.04</v>
      </c>
      <c r="J26" s="61">
        <v>-4477.62</v>
      </c>
    </row>
    <row r="27" spans="1:10" x14ac:dyDescent="0.3">
      <c r="C27" s="23"/>
      <c r="E27" s="22"/>
      <c r="F27" s="19"/>
      <c r="G27" s="32">
        <v>5</v>
      </c>
      <c r="H27" s="60">
        <v>-2667.2674999999999</v>
      </c>
      <c r="I27" s="60">
        <v>-2160.1385</v>
      </c>
      <c r="J27" s="61">
        <v>-4827.4059999999999</v>
      </c>
    </row>
    <row r="28" spans="1:10" x14ac:dyDescent="0.3">
      <c r="A28" s="11" t="s">
        <v>86</v>
      </c>
      <c r="B28" t="s">
        <v>88</v>
      </c>
      <c r="C28" s="23"/>
      <c r="E28" s="22"/>
      <c r="F28" s="19"/>
      <c r="G28" s="32">
        <v>10</v>
      </c>
      <c r="H28" s="60">
        <v>-2111.9219999999996</v>
      </c>
      <c r="I28" s="60">
        <v>-1610.2530000000002</v>
      </c>
      <c r="J28" s="61">
        <v>-3722.1749999999997</v>
      </c>
    </row>
    <row r="29" spans="1:10" x14ac:dyDescent="0.3">
      <c r="A29" s="12" t="s">
        <v>73</v>
      </c>
      <c r="B29" s="9">
        <v>-5393.5814999999993</v>
      </c>
      <c r="C29" s="23"/>
      <c r="E29" s="22"/>
      <c r="F29" s="19"/>
      <c r="G29" s="32">
        <v>15</v>
      </c>
      <c r="H29" s="60">
        <v>-2543.2764999999995</v>
      </c>
      <c r="I29" s="60">
        <v>-1682.0140000000001</v>
      </c>
      <c r="J29" s="61">
        <v>-4225.2904999999992</v>
      </c>
    </row>
    <row r="30" spans="1:10" x14ac:dyDescent="0.3">
      <c r="A30" s="12" t="s">
        <v>76</v>
      </c>
      <c r="B30" s="9">
        <v>-4643.4240000000009</v>
      </c>
      <c r="C30" s="23"/>
      <c r="E30" s="22"/>
      <c r="F30" s="19"/>
      <c r="G30" s="32" t="s">
        <v>87</v>
      </c>
      <c r="H30" s="60">
        <v>-9196.0459999999985</v>
      </c>
      <c r="I30" s="60">
        <v>-8056.4455000000007</v>
      </c>
      <c r="J30" s="61">
        <v>-17252.491499999996</v>
      </c>
    </row>
    <row r="31" spans="1:10" x14ac:dyDescent="0.3">
      <c r="A31" s="12" t="s">
        <v>75</v>
      </c>
      <c r="B31" s="9">
        <v>-3994.2880000000009</v>
      </c>
      <c r="C31" s="23"/>
      <c r="E31" s="22"/>
      <c r="F31" s="19"/>
      <c r="G31" s="19"/>
      <c r="H31" s="19"/>
      <c r="I31" s="19"/>
      <c r="J31" s="23"/>
    </row>
    <row r="32" spans="1:10" x14ac:dyDescent="0.3">
      <c r="A32" s="12" t="s">
        <v>74</v>
      </c>
      <c r="B32" s="9">
        <v>-3221.1980000000003</v>
      </c>
      <c r="C32" s="23"/>
      <c r="E32" s="24"/>
      <c r="F32" s="20"/>
      <c r="G32" s="20"/>
      <c r="H32" s="20"/>
      <c r="I32" s="20"/>
      <c r="J32" s="25"/>
    </row>
    <row r="33" spans="1:10" x14ac:dyDescent="0.3">
      <c r="A33" s="12" t="s">
        <v>87</v>
      </c>
      <c r="B33" s="9">
        <v>-17252.491500000004</v>
      </c>
      <c r="C33" s="23"/>
      <c r="E33" s="26"/>
      <c r="F33" s="4"/>
      <c r="G33" s="4"/>
      <c r="H33" s="21"/>
      <c r="I33" s="4"/>
      <c r="J33" s="21"/>
    </row>
    <row r="34" spans="1:10" x14ac:dyDescent="0.3">
      <c r="A34" s="20"/>
      <c r="B34" s="20"/>
      <c r="C34" s="25"/>
      <c r="E34" s="22"/>
      <c r="F34" s="19"/>
      <c r="G34" s="19"/>
      <c r="H34" s="23"/>
      <c r="I34" s="19"/>
      <c r="J34" s="23"/>
    </row>
    <row r="35" spans="1:10" x14ac:dyDescent="0.3">
      <c r="E35" s="22"/>
      <c r="F35" s="19"/>
      <c r="G35" s="19"/>
      <c r="H35" s="23"/>
      <c r="I35" s="19"/>
      <c r="J35" s="23"/>
    </row>
    <row r="36" spans="1:10" x14ac:dyDescent="0.3">
      <c r="E36" s="22"/>
      <c r="F36" s="19"/>
      <c r="G36" s="19"/>
      <c r="H36" s="23"/>
      <c r="I36" s="19"/>
      <c r="J36" s="23"/>
    </row>
    <row r="37" spans="1:10" x14ac:dyDescent="0.3">
      <c r="E37" s="22"/>
      <c r="F37" s="19"/>
      <c r="G37" s="31" t="s">
        <v>86</v>
      </c>
      <c r="H37" s="23" t="s">
        <v>89</v>
      </c>
      <c r="I37" s="31" t="s">
        <v>86</v>
      </c>
      <c r="J37" s="23" t="s">
        <v>103</v>
      </c>
    </row>
    <row r="38" spans="1:10" x14ac:dyDescent="0.3">
      <c r="E38" s="22"/>
      <c r="F38" s="19"/>
      <c r="G38" s="32" t="s">
        <v>68</v>
      </c>
      <c r="H38" s="61">
        <v>517</v>
      </c>
      <c r="I38" s="32" t="s">
        <v>68</v>
      </c>
      <c r="J38" s="61">
        <v>10354.489999999998</v>
      </c>
    </row>
    <row r="39" spans="1:10" x14ac:dyDescent="0.3">
      <c r="E39" s="22"/>
      <c r="F39" s="19"/>
      <c r="G39" s="32" t="s">
        <v>67</v>
      </c>
      <c r="H39" s="61">
        <v>570</v>
      </c>
      <c r="I39" s="32" t="s">
        <v>67</v>
      </c>
      <c r="J39" s="61">
        <v>12082.869999999992</v>
      </c>
    </row>
    <row r="40" spans="1:10" x14ac:dyDescent="0.3">
      <c r="E40" s="22"/>
      <c r="F40" s="19"/>
      <c r="G40" s="32" t="s">
        <v>70</v>
      </c>
      <c r="H40" s="61">
        <v>603</v>
      </c>
      <c r="I40" s="32" t="s">
        <v>66</v>
      </c>
      <c r="J40" s="61">
        <v>12783.63</v>
      </c>
    </row>
    <row r="41" spans="1:10" x14ac:dyDescent="0.3">
      <c r="E41" s="22"/>
      <c r="F41" s="19"/>
      <c r="G41" s="32" t="s">
        <v>66</v>
      </c>
      <c r="H41" s="61">
        <v>635</v>
      </c>
      <c r="I41" s="32" t="s">
        <v>70</v>
      </c>
      <c r="J41" s="61">
        <v>12869.450000000004</v>
      </c>
    </row>
    <row r="42" spans="1:10" x14ac:dyDescent="0.3">
      <c r="E42" s="86" t="s">
        <v>114</v>
      </c>
      <c r="F42" s="19"/>
      <c r="G42" s="32" t="s">
        <v>69</v>
      </c>
      <c r="H42" s="61">
        <v>657</v>
      </c>
      <c r="I42" s="32" t="s">
        <v>69</v>
      </c>
      <c r="J42" s="61">
        <v>13147.920000000006</v>
      </c>
    </row>
    <row r="43" spans="1:10" x14ac:dyDescent="0.3">
      <c r="E43" s="86"/>
      <c r="F43" s="19"/>
      <c r="G43" s="32" t="s">
        <v>87</v>
      </c>
      <c r="H43" s="61">
        <v>2982</v>
      </c>
      <c r="I43" s="32" t="s">
        <v>87</v>
      </c>
      <c r="J43" s="61">
        <v>61238.36</v>
      </c>
    </row>
    <row r="44" spans="1:10" x14ac:dyDescent="0.3">
      <c r="E44" s="22"/>
      <c r="F44" s="19"/>
      <c r="G44" s="19"/>
      <c r="H44" s="23"/>
      <c r="I44" s="19"/>
      <c r="J44" s="23"/>
    </row>
    <row r="45" spans="1:10" x14ac:dyDescent="0.3">
      <c r="E45" s="22"/>
      <c r="F45" s="19"/>
      <c r="G45" s="19"/>
      <c r="H45" s="23"/>
      <c r="I45" s="19"/>
      <c r="J45" s="23"/>
    </row>
    <row r="46" spans="1:10" x14ac:dyDescent="0.3">
      <c r="E46" s="22"/>
      <c r="F46" s="19"/>
      <c r="G46" s="31" t="s">
        <v>10</v>
      </c>
      <c r="H46" s="23" t="s">
        <v>78</v>
      </c>
      <c r="I46" s="19"/>
      <c r="J46" s="23"/>
    </row>
    <row r="47" spans="1:10" x14ac:dyDescent="0.3">
      <c r="E47" s="22"/>
      <c r="F47" s="19"/>
      <c r="G47" s="19"/>
      <c r="H47" s="23"/>
      <c r="I47" s="19"/>
      <c r="J47" s="23"/>
    </row>
    <row r="48" spans="1:10" x14ac:dyDescent="0.3">
      <c r="E48" s="22"/>
      <c r="F48" s="19"/>
      <c r="G48" s="31" t="s">
        <v>86</v>
      </c>
      <c r="H48" s="23" t="s">
        <v>103</v>
      </c>
      <c r="I48" s="19"/>
      <c r="J48" s="23"/>
    </row>
    <row r="49" spans="5:10" x14ac:dyDescent="0.3">
      <c r="E49" s="22"/>
      <c r="F49" s="19"/>
      <c r="G49" s="32" t="s">
        <v>68</v>
      </c>
      <c r="H49" s="61">
        <v>537.13</v>
      </c>
      <c r="I49" s="19"/>
      <c r="J49" s="23"/>
    </row>
    <row r="50" spans="5:10" x14ac:dyDescent="0.3">
      <c r="E50" s="22"/>
      <c r="F50" s="19"/>
      <c r="G50" s="32" t="s">
        <v>69</v>
      </c>
      <c r="H50" s="61">
        <v>1111.4699999999998</v>
      </c>
      <c r="I50" s="19"/>
      <c r="J50" s="23"/>
    </row>
    <row r="51" spans="5:10" x14ac:dyDescent="0.3">
      <c r="E51" s="22"/>
      <c r="F51" s="19"/>
      <c r="G51" s="32" t="s">
        <v>66</v>
      </c>
      <c r="H51" s="61">
        <v>1234.21</v>
      </c>
      <c r="I51" s="19"/>
      <c r="J51" s="23"/>
    </row>
    <row r="52" spans="5:10" x14ac:dyDescent="0.3">
      <c r="E52" s="22"/>
      <c r="F52" s="19"/>
      <c r="G52" s="32" t="s">
        <v>67</v>
      </c>
      <c r="H52" s="61">
        <v>1345.71</v>
      </c>
      <c r="I52" s="19"/>
      <c r="J52" s="23"/>
    </row>
    <row r="53" spans="5:10" x14ac:dyDescent="0.3">
      <c r="E53" s="22"/>
      <c r="F53" s="19"/>
      <c r="G53" s="32" t="s">
        <v>70</v>
      </c>
      <c r="H53" s="61">
        <v>1464.79</v>
      </c>
      <c r="I53" s="19"/>
      <c r="J53" s="23"/>
    </row>
    <row r="54" spans="5:10" x14ac:dyDescent="0.3">
      <c r="E54" s="24"/>
      <c r="F54" s="20"/>
      <c r="G54" s="62" t="s">
        <v>87</v>
      </c>
      <c r="H54" s="63">
        <v>5693.3099999999995</v>
      </c>
      <c r="I54" s="20"/>
      <c r="J54" s="25"/>
    </row>
    <row r="55" spans="5:10" x14ac:dyDescent="0.3">
      <c r="H55" s="4"/>
      <c r="I55" s="4"/>
    </row>
    <row r="56" spans="5:10" x14ac:dyDescent="0.3">
      <c r="H56" s="19"/>
    </row>
    <row r="57" spans="5:10" x14ac:dyDescent="0.3">
      <c r="H57" s="19"/>
    </row>
    <row r="58" spans="5:10" x14ac:dyDescent="0.3">
      <c r="H58" s="19"/>
    </row>
    <row r="59" spans="5:10" x14ac:dyDescent="0.3">
      <c r="H59" s="19"/>
    </row>
    <row r="60" spans="5:10" x14ac:dyDescent="0.3">
      <c r="H60" s="19"/>
      <c r="I60" s="19"/>
    </row>
    <row r="61" spans="5:10" x14ac:dyDescent="0.3">
      <c r="H61" s="19"/>
    </row>
    <row r="62" spans="5:10" x14ac:dyDescent="0.3">
      <c r="H62" s="19"/>
    </row>
    <row r="63" spans="5:10" x14ac:dyDescent="0.3">
      <c r="H63" s="19"/>
    </row>
    <row r="64" spans="5:10" x14ac:dyDescent="0.3">
      <c r="H64" s="19"/>
    </row>
    <row r="65" spans="8:8" x14ac:dyDescent="0.3">
      <c r="H65" s="19"/>
    </row>
  </sheetData>
  <mergeCells count="7">
    <mergeCell ref="G2:H2"/>
    <mergeCell ref="E20:E21"/>
    <mergeCell ref="E4:E7"/>
    <mergeCell ref="E42:E43"/>
    <mergeCell ref="A2:B3"/>
    <mergeCell ref="A10:B10"/>
    <mergeCell ref="A22:B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9D563-6A98-4AD3-A73E-FD2927D8BA4E}">
  <dimension ref="A1:R26"/>
  <sheetViews>
    <sheetView topLeftCell="A3" zoomScale="94" zoomScaleNormal="94" workbookViewId="0">
      <selection activeCell="F10" sqref="F10:M18"/>
    </sheetView>
  </sheetViews>
  <sheetFormatPr defaultRowHeight="14.4" x14ac:dyDescent="0.3"/>
  <cols>
    <col min="1" max="1" width="11.5546875" customWidth="1"/>
  </cols>
  <sheetData>
    <row r="1" spans="1:18" ht="25.8" customHeight="1" x14ac:dyDescent="0.3">
      <c r="A1" s="77" t="s">
        <v>93</v>
      </c>
      <c r="B1" s="77"/>
      <c r="C1" s="77"/>
      <c r="D1" s="77"/>
      <c r="E1" s="77"/>
      <c r="F1" s="77"/>
      <c r="G1" s="77"/>
      <c r="H1" s="77"/>
      <c r="I1" s="77"/>
      <c r="J1" s="77"/>
      <c r="K1" s="77"/>
      <c r="L1" s="77"/>
      <c r="M1" s="77"/>
    </row>
    <row r="2" spans="1:18" ht="14.4" customHeight="1" x14ac:dyDescent="0.3">
      <c r="A2" s="77"/>
      <c r="B2" s="77"/>
      <c r="C2" s="77"/>
      <c r="D2" s="77"/>
      <c r="E2" s="77"/>
      <c r="F2" s="77"/>
      <c r="G2" s="77"/>
      <c r="H2" s="77"/>
      <c r="I2" s="77"/>
      <c r="J2" s="77"/>
      <c r="K2" s="77"/>
      <c r="L2" s="77"/>
      <c r="M2" s="77"/>
    </row>
    <row r="3" spans="1:18" x14ac:dyDescent="0.3">
      <c r="A3" s="77"/>
      <c r="B3" s="77"/>
      <c r="C3" s="77"/>
      <c r="D3" s="77"/>
      <c r="E3" s="77"/>
      <c r="F3" s="77"/>
      <c r="G3" s="77"/>
      <c r="H3" s="77"/>
      <c r="I3" s="77"/>
      <c r="J3" s="77"/>
      <c r="K3" s="77"/>
      <c r="L3" s="77"/>
      <c r="M3" s="77"/>
    </row>
    <row r="4" spans="1:18" x14ac:dyDescent="0.3">
      <c r="A4" s="77"/>
      <c r="B4" s="77"/>
      <c r="C4" s="77"/>
      <c r="D4" s="77"/>
      <c r="E4" s="77"/>
      <c r="F4" s="77"/>
      <c r="G4" s="77"/>
      <c r="H4" s="77"/>
      <c r="I4" s="77"/>
      <c r="J4" s="77"/>
      <c r="K4" s="77"/>
      <c r="L4" s="77"/>
      <c r="M4" s="77"/>
    </row>
    <row r="5" spans="1:18" x14ac:dyDescent="0.3">
      <c r="A5" s="78"/>
      <c r="B5" s="78"/>
      <c r="C5" s="78"/>
      <c r="D5" s="78"/>
      <c r="E5" s="78"/>
      <c r="F5" s="78"/>
      <c r="G5" s="78"/>
      <c r="H5" s="78"/>
      <c r="I5" s="78"/>
      <c r="J5" s="78"/>
      <c r="K5" s="78"/>
      <c r="L5" s="78"/>
      <c r="M5" s="78"/>
    </row>
    <row r="6" spans="1:18" ht="18" x14ac:dyDescent="0.35">
      <c r="A6" s="27" t="s">
        <v>94</v>
      </c>
      <c r="B6" s="28"/>
      <c r="C6" s="28"/>
      <c r="D6" s="28"/>
      <c r="E6" s="29"/>
      <c r="F6" s="64" t="s">
        <v>96</v>
      </c>
      <c r="G6" s="65"/>
      <c r="H6" s="65"/>
      <c r="I6" s="65"/>
      <c r="J6" s="65"/>
      <c r="K6" s="65"/>
      <c r="L6" s="65"/>
      <c r="M6" s="66"/>
    </row>
    <row r="7" spans="1:18" x14ac:dyDescent="0.3">
      <c r="A7" s="53" t="s">
        <v>95</v>
      </c>
      <c r="B7" s="34"/>
      <c r="C7" s="34"/>
      <c r="D7" s="34"/>
      <c r="E7" s="54"/>
      <c r="F7" s="44" t="s">
        <v>101</v>
      </c>
      <c r="G7" s="45"/>
      <c r="H7" s="45"/>
      <c r="I7" s="45"/>
      <c r="J7" s="45"/>
      <c r="K7" s="45"/>
      <c r="L7" s="45"/>
      <c r="M7" s="46"/>
      <c r="N7" s="18"/>
      <c r="O7" s="18"/>
      <c r="P7" s="18"/>
      <c r="Q7" s="18"/>
      <c r="R7" s="18"/>
    </row>
    <row r="8" spans="1:18" x14ac:dyDescent="0.3">
      <c r="A8" s="55"/>
      <c r="B8" s="35"/>
      <c r="C8" s="35"/>
      <c r="D8" s="35"/>
      <c r="E8" s="56"/>
      <c r="F8" s="47"/>
      <c r="G8" s="48"/>
      <c r="H8" s="48"/>
      <c r="I8" s="48"/>
      <c r="J8" s="48"/>
      <c r="K8" s="48"/>
      <c r="L8" s="48"/>
      <c r="M8" s="49"/>
      <c r="N8" s="18"/>
      <c r="O8" s="18"/>
      <c r="P8" s="18"/>
      <c r="Q8" s="18"/>
      <c r="R8" s="18"/>
    </row>
    <row r="9" spans="1:18" ht="31.2" customHeight="1" x14ac:dyDescent="0.3">
      <c r="A9" s="57"/>
      <c r="B9" s="58"/>
      <c r="C9" s="58"/>
      <c r="D9" s="58"/>
      <c r="E9" s="59"/>
      <c r="F9" s="50"/>
      <c r="G9" s="51"/>
      <c r="H9" s="51"/>
      <c r="I9" s="51"/>
      <c r="J9" s="51"/>
      <c r="K9" s="51"/>
      <c r="L9" s="51"/>
      <c r="M9" s="52"/>
      <c r="N9" s="18"/>
      <c r="O9" s="18"/>
      <c r="P9" s="18"/>
      <c r="Q9" s="18"/>
      <c r="R9" s="18"/>
    </row>
    <row r="10" spans="1:18" x14ac:dyDescent="0.3">
      <c r="A10" s="53" t="s">
        <v>97</v>
      </c>
      <c r="B10" s="34"/>
      <c r="C10" s="34"/>
      <c r="D10" s="34"/>
      <c r="E10" s="34"/>
      <c r="F10" s="67" t="s">
        <v>100</v>
      </c>
      <c r="G10" s="36"/>
      <c r="H10" s="36"/>
      <c r="I10" s="36"/>
      <c r="J10" s="36"/>
      <c r="K10" s="36"/>
      <c r="L10" s="36"/>
      <c r="M10" s="40"/>
    </row>
    <row r="11" spans="1:18" x14ac:dyDescent="0.3">
      <c r="A11" s="55"/>
      <c r="B11" s="35"/>
      <c r="C11" s="35"/>
      <c r="D11" s="35"/>
      <c r="E11" s="35"/>
      <c r="F11" s="68"/>
      <c r="G11" s="37"/>
      <c r="H11" s="37"/>
      <c r="I11" s="37"/>
      <c r="J11" s="37"/>
      <c r="K11" s="37"/>
      <c r="L11" s="37"/>
      <c r="M11" s="41"/>
    </row>
    <row r="12" spans="1:18" x14ac:dyDescent="0.3">
      <c r="A12" s="55"/>
      <c r="B12" s="35"/>
      <c r="C12" s="35"/>
      <c r="D12" s="35"/>
      <c r="E12" s="35"/>
      <c r="F12" s="68"/>
      <c r="G12" s="37"/>
      <c r="H12" s="37"/>
      <c r="I12" s="37"/>
      <c r="J12" s="37"/>
      <c r="K12" s="37"/>
      <c r="L12" s="37"/>
      <c r="M12" s="41"/>
    </row>
    <row r="13" spans="1:18" x14ac:dyDescent="0.3">
      <c r="A13" s="55"/>
      <c r="B13" s="35"/>
      <c r="C13" s="35"/>
      <c r="D13" s="35"/>
      <c r="E13" s="35"/>
      <c r="F13" s="68"/>
      <c r="G13" s="37"/>
      <c r="H13" s="37"/>
      <c r="I13" s="37"/>
      <c r="J13" s="37"/>
      <c r="K13" s="37"/>
      <c r="L13" s="37"/>
      <c r="M13" s="41"/>
    </row>
    <row r="14" spans="1:18" x14ac:dyDescent="0.3">
      <c r="A14" s="55"/>
      <c r="B14" s="35"/>
      <c r="C14" s="35"/>
      <c r="D14" s="35"/>
      <c r="E14" s="35"/>
      <c r="F14" s="68"/>
      <c r="G14" s="37"/>
      <c r="H14" s="37"/>
      <c r="I14" s="37"/>
      <c r="J14" s="37"/>
      <c r="K14" s="37"/>
      <c r="L14" s="37"/>
      <c r="M14" s="41"/>
    </row>
    <row r="15" spans="1:18" x14ac:dyDescent="0.3">
      <c r="A15" s="55"/>
      <c r="B15" s="35"/>
      <c r="C15" s="35"/>
      <c r="D15" s="35"/>
      <c r="E15" s="35"/>
      <c r="F15" s="68"/>
      <c r="G15" s="37"/>
      <c r="H15" s="37"/>
      <c r="I15" s="37"/>
      <c r="J15" s="37"/>
      <c r="K15" s="37"/>
      <c r="L15" s="37"/>
      <c r="M15" s="41"/>
    </row>
    <row r="16" spans="1:18" x14ac:dyDescent="0.3">
      <c r="A16" s="55"/>
      <c r="B16" s="35"/>
      <c r="C16" s="35"/>
      <c r="D16" s="35"/>
      <c r="E16" s="35"/>
      <c r="F16" s="68"/>
      <c r="G16" s="37"/>
      <c r="H16" s="37"/>
      <c r="I16" s="37"/>
      <c r="J16" s="37"/>
      <c r="K16" s="37"/>
      <c r="L16" s="37"/>
      <c r="M16" s="41"/>
    </row>
    <row r="17" spans="1:13" x14ac:dyDescent="0.3">
      <c r="A17" s="55"/>
      <c r="B17" s="35"/>
      <c r="C17" s="35"/>
      <c r="D17" s="35"/>
      <c r="E17" s="35"/>
      <c r="F17" s="68"/>
      <c r="G17" s="37"/>
      <c r="H17" s="37"/>
      <c r="I17" s="37"/>
      <c r="J17" s="37"/>
      <c r="K17" s="37"/>
      <c r="L17" s="37"/>
      <c r="M17" s="41"/>
    </row>
    <row r="18" spans="1:13" x14ac:dyDescent="0.3">
      <c r="A18" s="57"/>
      <c r="B18" s="58"/>
      <c r="C18" s="58"/>
      <c r="D18" s="58"/>
      <c r="E18" s="58"/>
      <c r="F18" s="68"/>
      <c r="G18" s="37"/>
      <c r="H18" s="37"/>
      <c r="I18" s="37"/>
      <c r="J18" s="37"/>
      <c r="K18" s="37"/>
      <c r="L18" s="37"/>
      <c r="M18" s="41"/>
    </row>
    <row r="19" spans="1:13" ht="14.4" customHeight="1" x14ac:dyDescent="0.3">
      <c r="A19" s="67" t="s">
        <v>102</v>
      </c>
      <c r="B19" s="36"/>
      <c r="C19" s="36"/>
      <c r="D19" s="36"/>
      <c r="E19" s="40"/>
      <c r="F19" s="74" t="s">
        <v>104</v>
      </c>
      <c r="G19" s="38"/>
      <c r="H19" s="38"/>
      <c r="I19" s="38"/>
      <c r="J19" s="38"/>
      <c r="K19" s="38"/>
      <c r="L19" s="38"/>
      <c r="M19" s="70"/>
    </row>
    <row r="20" spans="1:13" x14ac:dyDescent="0.3">
      <c r="A20" s="68"/>
      <c r="B20" s="37"/>
      <c r="C20" s="37"/>
      <c r="D20" s="37"/>
      <c r="E20" s="41"/>
      <c r="F20" s="75"/>
      <c r="G20" s="39"/>
      <c r="H20" s="39"/>
      <c r="I20" s="39"/>
      <c r="J20" s="39"/>
      <c r="K20" s="39"/>
      <c r="L20" s="39"/>
      <c r="M20" s="71"/>
    </row>
    <row r="21" spans="1:13" x14ac:dyDescent="0.3">
      <c r="A21" s="68"/>
      <c r="B21" s="37"/>
      <c r="C21" s="37"/>
      <c r="D21" s="37"/>
      <c r="E21" s="41"/>
      <c r="F21" s="75"/>
      <c r="G21" s="39"/>
      <c r="H21" s="39"/>
      <c r="I21" s="39"/>
      <c r="J21" s="39"/>
      <c r="K21" s="39"/>
      <c r="L21" s="39"/>
      <c r="M21" s="71"/>
    </row>
    <row r="22" spans="1:13" x14ac:dyDescent="0.3">
      <c r="A22" s="68"/>
      <c r="B22" s="37"/>
      <c r="C22" s="37"/>
      <c r="D22" s="37"/>
      <c r="E22" s="41"/>
      <c r="F22" s="75"/>
      <c r="G22" s="39"/>
      <c r="H22" s="39"/>
      <c r="I22" s="39"/>
      <c r="J22" s="39"/>
      <c r="K22" s="39"/>
      <c r="L22" s="39"/>
      <c r="M22" s="71"/>
    </row>
    <row r="23" spans="1:13" x14ac:dyDescent="0.3">
      <c r="A23" s="68"/>
      <c r="B23" s="37"/>
      <c r="C23" s="37"/>
      <c r="D23" s="37"/>
      <c r="E23" s="41"/>
      <c r="F23" s="75"/>
      <c r="G23" s="39"/>
      <c r="H23" s="39"/>
      <c r="I23" s="39"/>
      <c r="J23" s="39"/>
      <c r="K23" s="39"/>
      <c r="L23" s="39"/>
      <c r="M23" s="71"/>
    </row>
    <row r="24" spans="1:13" x14ac:dyDescent="0.3">
      <c r="A24" s="68"/>
      <c r="B24" s="37"/>
      <c r="C24" s="37"/>
      <c r="D24" s="37"/>
      <c r="E24" s="41"/>
      <c r="F24" s="75"/>
      <c r="G24" s="39"/>
      <c r="H24" s="39"/>
      <c r="I24" s="39"/>
      <c r="J24" s="39"/>
      <c r="K24" s="39"/>
      <c r="L24" s="39"/>
      <c r="M24" s="71"/>
    </row>
    <row r="25" spans="1:13" x14ac:dyDescent="0.3">
      <c r="A25" s="68"/>
      <c r="B25" s="37"/>
      <c r="C25" s="37"/>
      <c r="D25" s="37"/>
      <c r="E25" s="41"/>
      <c r="F25" s="75"/>
      <c r="G25" s="39"/>
      <c r="H25" s="39"/>
      <c r="I25" s="39"/>
      <c r="J25" s="39"/>
      <c r="K25" s="39"/>
      <c r="L25" s="39"/>
      <c r="M25" s="71"/>
    </row>
    <row r="26" spans="1:13" x14ac:dyDescent="0.3">
      <c r="A26" s="69"/>
      <c r="B26" s="42"/>
      <c r="C26" s="42"/>
      <c r="D26" s="42"/>
      <c r="E26" s="43"/>
      <c r="F26" s="76"/>
      <c r="G26" s="72"/>
      <c r="H26" s="72"/>
      <c r="I26" s="72"/>
      <c r="J26" s="72"/>
      <c r="K26" s="72"/>
      <c r="L26" s="72"/>
      <c r="M26" s="73"/>
    </row>
  </sheetData>
  <mergeCells count="9">
    <mergeCell ref="F19:M26"/>
    <mergeCell ref="A19:E26"/>
    <mergeCell ref="A1:M5"/>
    <mergeCell ref="F10:M18"/>
    <mergeCell ref="A10:E18"/>
    <mergeCell ref="F7:M9"/>
    <mergeCell ref="A7:E9"/>
    <mergeCell ref="A6:E6"/>
    <mergeCell ref="F6:M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CB8DA-E657-4AD0-85F0-2A96ED1FFD1A}">
  <dimension ref="A1:S6"/>
  <sheetViews>
    <sheetView tabSelected="1" zoomScale="79" zoomScaleNormal="79" workbookViewId="0">
      <selection activeCell="V9" sqref="V9"/>
    </sheetView>
  </sheetViews>
  <sheetFormatPr defaultRowHeight="14.4" x14ac:dyDescent="0.3"/>
  <sheetData>
    <row r="1" spans="1:19" x14ac:dyDescent="0.3">
      <c r="A1" s="17" t="s">
        <v>92</v>
      </c>
      <c r="B1" s="16"/>
      <c r="C1" s="16"/>
      <c r="D1" s="16"/>
      <c r="E1" s="16"/>
      <c r="F1" s="16"/>
      <c r="G1" s="16"/>
      <c r="H1" s="16"/>
      <c r="I1" s="16"/>
      <c r="J1" s="16"/>
      <c r="K1" s="16"/>
      <c r="L1" s="16"/>
      <c r="M1" s="16"/>
      <c r="N1" s="16"/>
      <c r="O1" s="16"/>
      <c r="P1" s="16"/>
      <c r="Q1" s="16"/>
      <c r="R1" s="16"/>
      <c r="S1" s="16"/>
    </row>
    <row r="2" spans="1:19" x14ac:dyDescent="0.3">
      <c r="A2" s="16"/>
      <c r="B2" s="16"/>
      <c r="C2" s="16"/>
      <c r="D2" s="16"/>
      <c r="E2" s="16"/>
      <c r="F2" s="16"/>
      <c r="G2" s="16"/>
      <c r="H2" s="16"/>
      <c r="I2" s="16"/>
      <c r="J2" s="16"/>
      <c r="K2" s="16"/>
      <c r="L2" s="16"/>
      <c r="M2" s="16"/>
      <c r="N2" s="16"/>
      <c r="O2" s="16"/>
      <c r="P2" s="16"/>
      <c r="Q2" s="16"/>
      <c r="R2" s="16"/>
      <c r="S2" s="16"/>
    </row>
    <row r="3" spans="1:19" ht="33.6" customHeight="1" x14ac:dyDescent="0.3">
      <c r="A3" s="16"/>
      <c r="B3" s="16"/>
      <c r="C3" s="16"/>
      <c r="D3" s="16"/>
      <c r="E3" s="16"/>
      <c r="F3" s="16"/>
      <c r="G3" s="16"/>
      <c r="H3" s="16"/>
      <c r="I3" s="16"/>
      <c r="J3" s="16"/>
      <c r="K3" s="16"/>
      <c r="L3" s="16"/>
      <c r="M3" s="16"/>
      <c r="N3" s="16"/>
      <c r="O3" s="16"/>
      <c r="P3" s="16"/>
      <c r="Q3" s="16"/>
      <c r="R3" s="16"/>
      <c r="S3" s="16"/>
    </row>
    <row r="6" spans="1:19" ht="15.6" x14ac:dyDescent="0.3">
      <c r="M6" s="15"/>
    </row>
  </sheetData>
  <mergeCells count="1">
    <mergeCell ref="A1:S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583-6412-4D65-B3BD-8266EC78E094}">
  <dimension ref="A2:R102"/>
  <sheetViews>
    <sheetView topLeftCell="A62" workbookViewId="0">
      <selection activeCell="Q6" sqref="Q6"/>
    </sheetView>
  </sheetViews>
  <sheetFormatPr defaultRowHeight="14.4" x14ac:dyDescent="0.3"/>
  <cols>
    <col min="1" max="1" width="15.5546875" customWidth="1"/>
    <col min="2" max="2" width="14.21875" customWidth="1"/>
    <col min="3" max="3" width="15.6640625" customWidth="1"/>
    <col min="13" max="13" width="13" customWidth="1"/>
    <col min="14" max="14" width="14" customWidth="1"/>
    <col min="17" max="17" width="13.44140625" customWidth="1"/>
    <col min="18" max="18" width="18" customWidth="1"/>
  </cols>
  <sheetData>
    <row r="2" spans="1:18" ht="28.8" x14ac:dyDescent="0.3">
      <c r="A2" s="88" t="s">
        <v>4</v>
      </c>
      <c r="B2" s="88" t="s">
        <v>5</v>
      </c>
      <c r="C2" s="88" t="s">
        <v>115</v>
      </c>
      <c r="M2" s="90" t="s">
        <v>215</v>
      </c>
      <c r="N2" s="90" t="s">
        <v>4</v>
      </c>
      <c r="O2" s="90" t="s">
        <v>2</v>
      </c>
      <c r="P2" s="90" t="s">
        <v>6</v>
      </c>
      <c r="Q2" s="90" t="s">
        <v>5</v>
      </c>
      <c r="R2" s="90" t="s">
        <v>115</v>
      </c>
    </row>
    <row r="3" spans="1:18" x14ac:dyDescent="0.3">
      <c r="A3" s="89" t="s">
        <v>69</v>
      </c>
      <c r="B3" s="89" t="s">
        <v>72</v>
      </c>
      <c r="C3" s="89">
        <v>25</v>
      </c>
      <c r="M3" s="91">
        <v>1</v>
      </c>
      <c r="N3" s="92" t="s">
        <v>69</v>
      </c>
      <c r="O3" s="92" t="s">
        <v>14</v>
      </c>
      <c r="P3" s="91">
        <v>2</v>
      </c>
      <c r="Q3" s="92" t="str">
        <f>VLOOKUP(N3,Table6[],2,FALSE)</f>
        <v>Accessories</v>
      </c>
      <c r="R3" s="92">
        <f>VLOOKUP(N3,Table6[],3,FALSE)</f>
        <v>25</v>
      </c>
    </row>
    <row r="4" spans="1:18" ht="20.399999999999999" customHeight="1" x14ac:dyDescent="0.3">
      <c r="A4" s="89" t="s">
        <v>116</v>
      </c>
      <c r="B4" s="89" t="s">
        <v>72</v>
      </c>
      <c r="C4" s="89">
        <v>40</v>
      </c>
      <c r="M4" s="91">
        <v>2</v>
      </c>
      <c r="N4" s="92" t="s">
        <v>116</v>
      </c>
      <c r="O4" s="92" t="s">
        <v>15</v>
      </c>
      <c r="P4" s="91">
        <v>1</v>
      </c>
      <c r="Q4" s="92" t="str">
        <f>VLOOKUP(N4,Table6[],2,FALSE)</f>
        <v>Accessories</v>
      </c>
      <c r="R4" s="92">
        <f>VLOOKUP(N4,Table6[],3,FALSE)</f>
        <v>40</v>
      </c>
    </row>
    <row r="5" spans="1:18" x14ac:dyDescent="0.3">
      <c r="A5" s="89" t="s">
        <v>117</v>
      </c>
      <c r="B5" s="89" t="s">
        <v>72</v>
      </c>
      <c r="C5" s="89">
        <v>10</v>
      </c>
      <c r="M5" s="91">
        <v>3</v>
      </c>
      <c r="N5" s="92" t="s">
        <v>117</v>
      </c>
      <c r="O5" s="92" t="s">
        <v>14</v>
      </c>
      <c r="P5" s="91">
        <v>5</v>
      </c>
      <c r="Q5" s="92" t="str">
        <f>VLOOKUP(N5,Table6[],2,FALSE)</f>
        <v>Accessories</v>
      </c>
      <c r="R5" s="92">
        <f>VLOOKUP(N5,Table6[],3,FALSE)</f>
        <v>10</v>
      </c>
    </row>
    <row r="6" spans="1:18" x14ac:dyDescent="0.3">
      <c r="A6" s="89" t="s">
        <v>118</v>
      </c>
      <c r="B6" s="89" t="s">
        <v>71</v>
      </c>
      <c r="C6" s="89">
        <v>180</v>
      </c>
      <c r="M6" s="91">
        <v>4</v>
      </c>
      <c r="N6" s="92" t="s">
        <v>118</v>
      </c>
      <c r="O6" s="92" t="s">
        <v>15</v>
      </c>
      <c r="P6" s="91">
        <v>1</v>
      </c>
      <c r="Q6" s="92" t="str">
        <f>VLOOKUP(N6,Table6[],2,FALSE)</f>
        <v>Electronics</v>
      </c>
      <c r="R6" s="92">
        <f>VLOOKUP(N6,Table6[],3,FALSE)</f>
        <v>180</v>
      </c>
    </row>
    <row r="7" spans="1:18" x14ac:dyDescent="0.3">
      <c r="A7" s="89" t="s">
        <v>119</v>
      </c>
      <c r="B7" s="89" t="s">
        <v>71</v>
      </c>
      <c r="C7" s="89">
        <v>60</v>
      </c>
      <c r="M7" s="91">
        <v>5</v>
      </c>
      <c r="N7" s="92" t="s">
        <v>119</v>
      </c>
      <c r="O7" s="92" t="s">
        <v>14</v>
      </c>
      <c r="P7" s="91">
        <v>2</v>
      </c>
      <c r="Q7" s="92" t="str">
        <f>VLOOKUP(N7,Table6[],2,FALSE)</f>
        <v>Electronics</v>
      </c>
      <c r="R7" s="92">
        <f>VLOOKUP(N7,Table6[],3,FALSE)</f>
        <v>60</v>
      </c>
    </row>
    <row r="8" spans="1:18" x14ac:dyDescent="0.3">
      <c r="A8" s="89" t="s">
        <v>120</v>
      </c>
      <c r="B8" s="89" t="s">
        <v>71</v>
      </c>
      <c r="C8" s="89">
        <v>55</v>
      </c>
      <c r="M8" s="91">
        <v>6</v>
      </c>
      <c r="N8" s="92" t="s">
        <v>120</v>
      </c>
      <c r="O8" s="92" t="s">
        <v>15</v>
      </c>
      <c r="P8" s="91">
        <v>1</v>
      </c>
      <c r="Q8" s="92" t="str">
        <f>VLOOKUP(N8,Table6[],2,FALSE)</f>
        <v>Electronics</v>
      </c>
      <c r="R8" s="92">
        <f>VLOOKUP(N8,Table6[],3,FALSE)</f>
        <v>55</v>
      </c>
    </row>
    <row r="9" spans="1:18" x14ac:dyDescent="0.3">
      <c r="A9" s="89" t="s">
        <v>121</v>
      </c>
      <c r="B9" s="89" t="s">
        <v>72</v>
      </c>
      <c r="C9" s="89">
        <v>8</v>
      </c>
      <c r="M9" s="91">
        <v>7</v>
      </c>
      <c r="N9" s="92" t="s">
        <v>121</v>
      </c>
      <c r="O9" s="92" t="s">
        <v>14</v>
      </c>
      <c r="P9" s="91">
        <v>3</v>
      </c>
      <c r="Q9" s="92" t="str">
        <f>VLOOKUP(N9,Table6[],2,FALSE)</f>
        <v>Accessories</v>
      </c>
      <c r="R9" s="92">
        <f>VLOOKUP(N9,Table6[],3,FALSE)</f>
        <v>8</v>
      </c>
    </row>
    <row r="10" spans="1:18" x14ac:dyDescent="0.3">
      <c r="A10" s="89" t="s">
        <v>122</v>
      </c>
      <c r="B10" s="89" t="s">
        <v>72</v>
      </c>
      <c r="C10" s="89">
        <v>12</v>
      </c>
      <c r="M10" s="91">
        <v>8</v>
      </c>
      <c r="N10" s="92" t="s">
        <v>122</v>
      </c>
      <c r="O10" s="92" t="s">
        <v>15</v>
      </c>
      <c r="P10" s="91">
        <v>2</v>
      </c>
      <c r="Q10" s="92" t="str">
        <f>VLOOKUP(N10,Table6[],2,FALSE)</f>
        <v>Accessories</v>
      </c>
      <c r="R10" s="92">
        <f>VLOOKUP(N10,Table6[],3,FALSE)</f>
        <v>12</v>
      </c>
    </row>
    <row r="11" spans="1:18" x14ac:dyDescent="0.3">
      <c r="A11" s="89" t="s">
        <v>123</v>
      </c>
      <c r="B11" s="89" t="s">
        <v>71</v>
      </c>
      <c r="C11" s="89">
        <v>45</v>
      </c>
      <c r="M11" s="91">
        <v>9</v>
      </c>
      <c r="N11" s="92" t="s">
        <v>123</v>
      </c>
      <c r="O11" s="92" t="s">
        <v>14</v>
      </c>
      <c r="P11" s="91">
        <v>1</v>
      </c>
      <c r="Q11" s="92" t="str">
        <f>VLOOKUP(N11,Table6[],2,FALSE)</f>
        <v>Electronics</v>
      </c>
      <c r="R11" s="92">
        <f>VLOOKUP(N11,Table6[],3,FALSE)</f>
        <v>45</v>
      </c>
    </row>
    <row r="12" spans="1:18" x14ac:dyDescent="0.3">
      <c r="A12" s="89" t="s">
        <v>124</v>
      </c>
      <c r="B12" s="89" t="s">
        <v>72</v>
      </c>
      <c r="C12" s="89">
        <v>30</v>
      </c>
      <c r="M12" s="91">
        <v>10</v>
      </c>
      <c r="N12" s="92" t="s">
        <v>124</v>
      </c>
      <c r="O12" s="92" t="s">
        <v>15</v>
      </c>
      <c r="P12" s="91">
        <v>2</v>
      </c>
      <c r="Q12" s="92" t="str">
        <f>VLOOKUP(N12,Table6[],2,FALSE)</f>
        <v>Accessories</v>
      </c>
      <c r="R12" s="92">
        <f>VLOOKUP(N12,Table6[],3,FALSE)</f>
        <v>30</v>
      </c>
    </row>
    <row r="13" spans="1:18" x14ac:dyDescent="0.3">
      <c r="A13" s="89" t="s">
        <v>125</v>
      </c>
      <c r="B13" s="89" t="s">
        <v>72</v>
      </c>
      <c r="C13" s="89">
        <v>15</v>
      </c>
      <c r="M13" s="91">
        <v>11</v>
      </c>
      <c r="N13" s="92" t="s">
        <v>125</v>
      </c>
      <c r="O13" s="92" t="s">
        <v>14</v>
      </c>
      <c r="P13" s="91">
        <v>4</v>
      </c>
      <c r="Q13" s="92" t="str">
        <f>VLOOKUP(N13,Table6[],2,FALSE)</f>
        <v>Accessories</v>
      </c>
      <c r="R13" s="92">
        <f>VLOOKUP(N13,Table6[],3,FALSE)</f>
        <v>15</v>
      </c>
    </row>
    <row r="14" spans="1:18" x14ac:dyDescent="0.3">
      <c r="A14" s="89" t="s">
        <v>126</v>
      </c>
      <c r="B14" s="89" t="s">
        <v>72</v>
      </c>
      <c r="C14" s="89">
        <v>18</v>
      </c>
      <c r="M14" s="91">
        <v>12</v>
      </c>
      <c r="N14" s="92" t="s">
        <v>126</v>
      </c>
      <c r="O14" s="92" t="s">
        <v>15</v>
      </c>
      <c r="P14" s="91">
        <v>1</v>
      </c>
      <c r="Q14" s="92" t="str">
        <f>VLOOKUP(N14,Table6[],2,FALSE)</f>
        <v>Accessories</v>
      </c>
      <c r="R14" s="92">
        <f>VLOOKUP(N14,Table6[],3,FALSE)</f>
        <v>18</v>
      </c>
    </row>
    <row r="15" spans="1:18" x14ac:dyDescent="0.3">
      <c r="A15" s="89" t="s">
        <v>127</v>
      </c>
      <c r="B15" s="89" t="s">
        <v>72</v>
      </c>
      <c r="C15" s="89">
        <v>22</v>
      </c>
      <c r="M15" s="91">
        <v>13</v>
      </c>
      <c r="N15" s="92" t="s">
        <v>127</v>
      </c>
      <c r="O15" s="92" t="s">
        <v>14</v>
      </c>
      <c r="P15" s="91">
        <v>2</v>
      </c>
      <c r="Q15" s="92" t="str">
        <f>VLOOKUP(N15,Table6[],2,FALSE)</f>
        <v>Accessories</v>
      </c>
      <c r="R15" s="92">
        <f>VLOOKUP(N15,Table6[],3,FALSE)</f>
        <v>22</v>
      </c>
    </row>
    <row r="16" spans="1:18" x14ac:dyDescent="0.3">
      <c r="A16" s="89" t="s">
        <v>128</v>
      </c>
      <c r="B16" s="89" t="s">
        <v>72</v>
      </c>
      <c r="C16" s="89">
        <v>28</v>
      </c>
      <c r="M16" s="91">
        <v>14</v>
      </c>
      <c r="N16" s="92" t="s">
        <v>128</v>
      </c>
      <c r="O16" s="92" t="s">
        <v>15</v>
      </c>
      <c r="P16" s="91">
        <v>3</v>
      </c>
      <c r="Q16" s="92" t="str">
        <f>VLOOKUP(N16,Table6[],2,FALSE)</f>
        <v>Accessories</v>
      </c>
      <c r="R16" s="92">
        <f>VLOOKUP(N16,Table6[],3,FALSE)</f>
        <v>28</v>
      </c>
    </row>
    <row r="17" spans="1:18" x14ac:dyDescent="0.3">
      <c r="A17" s="89" t="s">
        <v>129</v>
      </c>
      <c r="B17" s="89" t="s">
        <v>72</v>
      </c>
      <c r="C17" s="89">
        <v>35</v>
      </c>
      <c r="M17" s="91">
        <v>15</v>
      </c>
      <c r="N17" s="92" t="s">
        <v>129</v>
      </c>
      <c r="O17" s="92" t="s">
        <v>14</v>
      </c>
      <c r="P17" s="91">
        <v>1</v>
      </c>
      <c r="Q17" s="92" t="str">
        <f>VLOOKUP(N17,Table6[],2,FALSE)</f>
        <v>Accessories</v>
      </c>
      <c r="R17" s="92">
        <f>VLOOKUP(N17,Table6[],3,FALSE)</f>
        <v>35</v>
      </c>
    </row>
    <row r="18" spans="1:18" x14ac:dyDescent="0.3">
      <c r="A18" s="89" t="s">
        <v>130</v>
      </c>
      <c r="B18" s="89" t="s">
        <v>71</v>
      </c>
      <c r="C18" s="89">
        <v>75</v>
      </c>
      <c r="M18" s="91">
        <v>16</v>
      </c>
      <c r="N18" s="92" t="s">
        <v>130</v>
      </c>
      <c r="O18" s="92" t="s">
        <v>15</v>
      </c>
      <c r="P18" s="91">
        <v>2</v>
      </c>
      <c r="Q18" s="92" t="str">
        <f>VLOOKUP(N18,Table6[],2,FALSE)</f>
        <v>Electronics</v>
      </c>
      <c r="R18" s="92">
        <f>VLOOKUP(N18,Table6[],3,FALSE)</f>
        <v>75</v>
      </c>
    </row>
    <row r="19" spans="1:18" x14ac:dyDescent="0.3">
      <c r="A19" s="89" t="s">
        <v>131</v>
      </c>
      <c r="B19" s="89" t="s">
        <v>71</v>
      </c>
      <c r="C19" s="89">
        <v>95</v>
      </c>
      <c r="M19" s="91">
        <v>17</v>
      </c>
      <c r="N19" s="92" t="s">
        <v>131</v>
      </c>
      <c r="O19" s="92" t="s">
        <v>14</v>
      </c>
      <c r="P19" s="91">
        <v>1</v>
      </c>
      <c r="Q19" s="92" t="str">
        <f>VLOOKUP(N19,Table6[],2,FALSE)</f>
        <v>Electronics</v>
      </c>
      <c r="R19" s="92">
        <f>VLOOKUP(N19,Table6[],3,FALSE)</f>
        <v>95</v>
      </c>
    </row>
    <row r="20" spans="1:18" x14ac:dyDescent="0.3">
      <c r="A20" s="89" t="s">
        <v>132</v>
      </c>
      <c r="B20" s="89" t="s">
        <v>71</v>
      </c>
      <c r="C20" s="89">
        <v>110</v>
      </c>
      <c r="M20" s="91">
        <v>18</v>
      </c>
      <c r="N20" s="92" t="s">
        <v>132</v>
      </c>
      <c r="O20" s="92" t="s">
        <v>15</v>
      </c>
      <c r="P20" s="91">
        <v>2</v>
      </c>
      <c r="Q20" s="92" t="str">
        <f>VLOOKUP(N20,Table6[],2,FALSE)</f>
        <v>Electronics</v>
      </c>
      <c r="R20" s="92">
        <f>VLOOKUP(N20,Table6[],3,FALSE)</f>
        <v>110</v>
      </c>
    </row>
    <row r="21" spans="1:18" x14ac:dyDescent="0.3">
      <c r="A21" s="89" t="s">
        <v>133</v>
      </c>
      <c r="B21" s="89" t="s">
        <v>71</v>
      </c>
      <c r="C21" s="89">
        <v>140</v>
      </c>
      <c r="M21" s="91">
        <v>19</v>
      </c>
      <c r="N21" s="92" t="s">
        <v>133</v>
      </c>
      <c r="O21" s="92" t="s">
        <v>14</v>
      </c>
      <c r="P21" s="91">
        <v>1</v>
      </c>
      <c r="Q21" s="92" t="str">
        <f>VLOOKUP(N21,Table6[],2,FALSE)</f>
        <v>Electronics</v>
      </c>
      <c r="R21" s="92">
        <f>VLOOKUP(N21,Table6[],3,FALSE)</f>
        <v>140</v>
      </c>
    </row>
    <row r="22" spans="1:18" x14ac:dyDescent="0.3">
      <c r="A22" s="89" t="s">
        <v>134</v>
      </c>
      <c r="B22" s="89" t="s">
        <v>71</v>
      </c>
      <c r="C22" s="89">
        <v>160</v>
      </c>
      <c r="M22" s="91">
        <v>20</v>
      </c>
      <c r="N22" s="92" t="s">
        <v>134</v>
      </c>
      <c r="O22" s="92" t="s">
        <v>15</v>
      </c>
      <c r="P22" s="91">
        <v>3</v>
      </c>
      <c r="Q22" s="92" t="str">
        <f>VLOOKUP(N22,Table6[],2,FALSE)</f>
        <v>Electronics</v>
      </c>
      <c r="R22" s="92">
        <f>VLOOKUP(N22,Table6[],3,FALSE)</f>
        <v>160</v>
      </c>
    </row>
    <row r="23" spans="1:18" x14ac:dyDescent="0.3">
      <c r="A23" s="89" t="s">
        <v>135</v>
      </c>
      <c r="B23" s="89" t="s">
        <v>72</v>
      </c>
      <c r="C23" s="89">
        <v>20</v>
      </c>
      <c r="M23" s="91">
        <v>21</v>
      </c>
      <c r="N23" s="92" t="s">
        <v>135</v>
      </c>
      <c r="O23" s="92" t="s">
        <v>14</v>
      </c>
      <c r="P23" s="91">
        <v>2</v>
      </c>
      <c r="Q23" s="92" t="str">
        <f>VLOOKUP(N23,Table6[],2,FALSE)</f>
        <v>Accessories</v>
      </c>
      <c r="R23" s="92">
        <f>VLOOKUP(N23,Table6[],3,FALSE)</f>
        <v>20</v>
      </c>
    </row>
    <row r="24" spans="1:18" x14ac:dyDescent="0.3">
      <c r="A24" s="89" t="s">
        <v>136</v>
      </c>
      <c r="B24" s="89" t="s">
        <v>72</v>
      </c>
      <c r="C24" s="89">
        <v>24</v>
      </c>
      <c r="M24" s="91">
        <v>22</v>
      </c>
      <c r="N24" s="92" t="s">
        <v>136</v>
      </c>
      <c r="O24" s="92" t="s">
        <v>15</v>
      </c>
      <c r="P24" s="91">
        <v>4</v>
      </c>
      <c r="Q24" s="92" t="str">
        <f>VLOOKUP(N24,Table6[],2,FALSE)</f>
        <v>Accessories</v>
      </c>
      <c r="R24" s="92">
        <f>VLOOKUP(N24,Table6[],3,FALSE)</f>
        <v>24</v>
      </c>
    </row>
    <row r="25" spans="1:18" x14ac:dyDescent="0.3">
      <c r="A25" s="89" t="s">
        <v>137</v>
      </c>
      <c r="B25" s="89" t="s">
        <v>72</v>
      </c>
      <c r="C25" s="89">
        <v>26</v>
      </c>
      <c r="M25" s="91">
        <v>23</v>
      </c>
      <c r="N25" s="92" t="s">
        <v>137</v>
      </c>
      <c r="O25" s="92" t="s">
        <v>14</v>
      </c>
      <c r="P25" s="91">
        <v>1</v>
      </c>
      <c r="Q25" s="92" t="str">
        <f>VLOOKUP(N25,Table6[],2,FALSE)</f>
        <v>Accessories</v>
      </c>
      <c r="R25" s="92">
        <f>VLOOKUP(N25,Table6[],3,FALSE)</f>
        <v>26</v>
      </c>
    </row>
    <row r="26" spans="1:18" x14ac:dyDescent="0.3">
      <c r="A26" s="89" t="s">
        <v>138</v>
      </c>
      <c r="B26" s="89" t="s">
        <v>72</v>
      </c>
      <c r="C26" s="89">
        <v>32</v>
      </c>
      <c r="M26" s="91">
        <v>24</v>
      </c>
      <c r="N26" s="92" t="s">
        <v>138</v>
      </c>
      <c r="O26" s="92" t="s">
        <v>15</v>
      </c>
      <c r="P26" s="91">
        <v>2</v>
      </c>
      <c r="Q26" s="92" t="str">
        <f>VLOOKUP(N26,Table6[],2,FALSE)</f>
        <v>Accessories</v>
      </c>
      <c r="R26" s="92">
        <f>VLOOKUP(N26,Table6[],3,FALSE)</f>
        <v>32</v>
      </c>
    </row>
    <row r="27" spans="1:18" x14ac:dyDescent="0.3">
      <c r="A27" s="89" t="s">
        <v>139</v>
      </c>
      <c r="B27" s="89" t="s">
        <v>72</v>
      </c>
      <c r="C27" s="89">
        <v>38</v>
      </c>
      <c r="M27" s="91">
        <v>25</v>
      </c>
      <c r="N27" s="92" t="s">
        <v>139</v>
      </c>
      <c r="O27" s="92" t="s">
        <v>14</v>
      </c>
      <c r="P27" s="91">
        <v>3</v>
      </c>
      <c r="Q27" s="92" t="str">
        <f>VLOOKUP(N27,Table6[],2,FALSE)</f>
        <v>Accessories</v>
      </c>
      <c r="R27" s="92">
        <f>VLOOKUP(N27,Table6[],3,FALSE)</f>
        <v>38</v>
      </c>
    </row>
    <row r="28" spans="1:18" x14ac:dyDescent="0.3">
      <c r="A28" s="89" t="s">
        <v>140</v>
      </c>
      <c r="B28" s="89" t="s">
        <v>71</v>
      </c>
      <c r="C28" s="89">
        <v>85</v>
      </c>
      <c r="M28" s="91">
        <v>26</v>
      </c>
      <c r="N28" s="92" t="s">
        <v>140</v>
      </c>
      <c r="O28" s="92" t="s">
        <v>15</v>
      </c>
      <c r="P28" s="91">
        <v>1</v>
      </c>
      <c r="Q28" s="92" t="str">
        <f>VLOOKUP(N28,Table6[],2,FALSE)</f>
        <v>Electronics</v>
      </c>
      <c r="R28" s="92">
        <f>VLOOKUP(N28,Table6[],3,FALSE)</f>
        <v>85</v>
      </c>
    </row>
    <row r="29" spans="1:18" x14ac:dyDescent="0.3">
      <c r="A29" s="89" t="s">
        <v>141</v>
      </c>
      <c r="B29" s="89" t="s">
        <v>71</v>
      </c>
      <c r="C29" s="89">
        <v>105</v>
      </c>
      <c r="M29" s="91">
        <v>27</v>
      </c>
      <c r="N29" s="92" t="s">
        <v>141</v>
      </c>
      <c r="O29" s="92" t="s">
        <v>14</v>
      </c>
      <c r="P29" s="91">
        <v>2</v>
      </c>
      <c r="Q29" s="92" t="str">
        <f>VLOOKUP(N29,Table6[],2,FALSE)</f>
        <v>Electronics</v>
      </c>
      <c r="R29" s="92">
        <f>VLOOKUP(N29,Table6[],3,FALSE)</f>
        <v>105</v>
      </c>
    </row>
    <row r="30" spans="1:18" x14ac:dyDescent="0.3">
      <c r="A30" s="89" t="s">
        <v>142</v>
      </c>
      <c r="B30" s="89" t="s">
        <v>71</v>
      </c>
      <c r="C30" s="89">
        <v>125</v>
      </c>
      <c r="M30" s="91">
        <v>28</v>
      </c>
      <c r="N30" s="92" t="s">
        <v>142</v>
      </c>
      <c r="O30" s="92" t="s">
        <v>15</v>
      </c>
      <c r="P30" s="91">
        <v>1</v>
      </c>
      <c r="Q30" s="92" t="str">
        <f>VLOOKUP(N30,Table6[],2,FALSE)</f>
        <v>Electronics</v>
      </c>
      <c r="R30" s="92">
        <f>VLOOKUP(N30,Table6[],3,FALSE)</f>
        <v>125</v>
      </c>
    </row>
    <row r="31" spans="1:18" x14ac:dyDescent="0.3">
      <c r="A31" s="89" t="s">
        <v>143</v>
      </c>
      <c r="B31" s="89" t="s">
        <v>71</v>
      </c>
      <c r="C31" s="89">
        <v>145</v>
      </c>
      <c r="M31" s="91">
        <v>29</v>
      </c>
      <c r="N31" s="92" t="s">
        <v>143</v>
      </c>
      <c r="O31" s="92" t="s">
        <v>14</v>
      </c>
      <c r="P31" s="91">
        <v>3</v>
      </c>
      <c r="Q31" s="92" t="str">
        <f>VLOOKUP(N31,Table6[],2,FALSE)</f>
        <v>Electronics</v>
      </c>
      <c r="R31" s="92">
        <f>VLOOKUP(N31,Table6[],3,FALSE)</f>
        <v>145</v>
      </c>
    </row>
    <row r="32" spans="1:18" x14ac:dyDescent="0.3">
      <c r="A32" s="89" t="s">
        <v>144</v>
      </c>
      <c r="B32" s="89" t="s">
        <v>71</v>
      </c>
      <c r="C32" s="89">
        <v>165</v>
      </c>
      <c r="M32" s="91">
        <v>30</v>
      </c>
      <c r="N32" s="92" t="s">
        <v>144</v>
      </c>
      <c r="O32" s="92" t="s">
        <v>15</v>
      </c>
      <c r="P32" s="91">
        <v>2</v>
      </c>
      <c r="Q32" s="92" t="str">
        <f>VLOOKUP(N32,Table6[],2,FALSE)</f>
        <v>Electronics</v>
      </c>
      <c r="R32" s="92">
        <f>VLOOKUP(N32,Table6[],3,FALSE)</f>
        <v>165</v>
      </c>
    </row>
    <row r="33" spans="1:18" x14ac:dyDescent="0.3">
      <c r="A33" s="89" t="s">
        <v>145</v>
      </c>
      <c r="B33" s="89" t="s">
        <v>72</v>
      </c>
      <c r="C33" s="89">
        <v>14</v>
      </c>
      <c r="M33" s="91">
        <v>31</v>
      </c>
      <c r="N33" s="92" t="s">
        <v>145</v>
      </c>
      <c r="O33" s="92" t="s">
        <v>14</v>
      </c>
      <c r="P33" s="91">
        <v>4</v>
      </c>
      <c r="Q33" s="92" t="str">
        <f>VLOOKUP(N33,Table6[],2,FALSE)</f>
        <v>Accessories</v>
      </c>
      <c r="R33" s="92">
        <f>VLOOKUP(N33,Table6[],3,FALSE)</f>
        <v>14</v>
      </c>
    </row>
    <row r="34" spans="1:18" x14ac:dyDescent="0.3">
      <c r="A34" s="89" t="s">
        <v>146</v>
      </c>
      <c r="B34" s="89" t="s">
        <v>72</v>
      </c>
      <c r="C34" s="89">
        <v>19</v>
      </c>
      <c r="M34" s="91">
        <v>32</v>
      </c>
      <c r="N34" s="92" t="s">
        <v>146</v>
      </c>
      <c r="O34" s="92" t="s">
        <v>15</v>
      </c>
      <c r="P34" s="91">
        <v>2</v>
      </c>
      <c r="Q34" s="92" t="str">
        <f>VLOOKUP(N34,Table6[],2,FALSE)</f>
        <v>Accessories</v>
      </c>
      <c r="R34" s="92">
        <f>VLOOKUP(N34,Table6[],3,FALSE)</f>
        <v>19</v>
      </c>
    </row>
    <row r="35" spans="1:18" x14ac:dyDescent="0.3">
      <c r="A35" s="89" t="s">
        <v>147</v>
      </c>
      <c r="B35" s="89" t="s">
        <v>72</v>
      </c>
      <c r="C35" s="89">
        <v>21</v>
      </c>
      <c r="M35" s="91">
        <v>33</v>
      </c>
      <c r="N35" s="92" t="s">
        <v>147</v>
      </c>
      <c r="O35" s="92" t="s">
        <v>14</v>
      </c>
      <c r="P35" s="91">
        <v>1</v>
      </c>
      <c r="Q35" s="92" t="str">
        <f>VLOOKUP(N35,Table6[],2,FALSE)</f>
        <v>Accessories</v>
      </c>
      <c r="R35" s="92">
        <f>VLOOKUP(N35,Table6[],3,FALSE)</f>
        <v>21</v>
      </c>
    </row>
    <row r="36" spans="1:18" x14ac:dyDescent="0.3">
      <c r="A36" s="89" t="s">
        <v>148</v>
      </c>
      <c r="B36" s="89" t="s">
        <v>72</v>
      </c>
      <c r="C36" s="89">
        <v>27</v>
      </c>
      <c r="M36" s="91">
        <v>34</v>
      </c>
      <c r="N36" s="92" t="s">
        <v>148</v>
      </c>
      <c r="O36" s="92" t="s">
        <v>15</v>
      </c>
      <c r="P36" s="91">
        <v>3</v>
      </c>
      <c r="Q36" s="92" t="str">
        <f>VLOOKUP(N36,Table6[],2,FALSE)</f>
        <v>Accessories</v>
      </c>
      <c r="R36" s="92">
        <f>VLOOKUP(N36,Table6[],3,FALSE)</f>
        <v>27</v>
      </c>
    </row>
    <row r="37" spans="1:18" x14ac:dyDescent="0.3">
      <c r="A37" s="89" t="s">
        <v>149</v>
      </c>
      <c r="B37" s="89" t="s">
        <v>72</v>
      </c>
      <c r="C37" s="89">
        <v>34</v>
      </c>
      <c r="M37" s="91">
        <v>35</v>
      </c>
      <c r="N37" s="92" t="s">
        <v>149</v>
      </c>
      <c r="O37" s="92" t="s">
        <v>14</v>
      </c>
      <c r="P37" s="91">
        <v>2</v>
      </c>
      <c r="Q37" s="92" t="str">
        <f>VLOOKUP(N37,Table6[],2,FALSE)</f>
        <v>Accessories</v>
      </c>
      <c r="R37" s="92">
        <f>VLOOKUP(N37,Table6[],3,FALSE)</f>
        <v>34</v>
      </c>
    </row>
    <row r="38" spans="1:18" x14ac:dyDescent="0.3">
      <c r="A38" s="89" t="s">
        <v>150</v>
      </c>
      <c r="B38" s="89" t="s">
        <v>71</v>
      </c>
      <c r="C38" s="89">
        <v>70</v>
      </c>
      <c r="M38" s="91">
        <v>36</v>
      </c>
      <c r="N38" s="92" t="s">
        <v>150</v>
      </c>
      <c r="O38" s="92" t="s">
        <v>15</v>
      </c>
      <c r="P38" s="91">
        <v>1</v>
      </c>
      <c r="Q38" s="92" t="str">
        <f>VLOOKUP(N38,Table6[],2,FALSE)</f>
        <v>Electronics</v>
      </c>
      <c r="R38" s="92">
        <f>VLOOKUP(N38,Table6[],3,FALSE)</f>
        <v>70</v>
      </c>
    </row>
    <row r="39" spans="1:18" x14ac:dyDescent="0.3">
      <c r="A39" s="89" t="s">
        <v>151</v>
      </c>
      <c r="B39" s="89" t="s">
        <v>71</v>
      </c>
      <c r="C39" s="89">
        <v>90</v>
      </c>
      <c r="M39" s="91">
        <v>37</v>
      </c>
      <c r="N39" s="92" t="s">
        <v>151</v>
      </c>
      <c r="O39" s="92" t="s">
        <v>14</v>
      </c>
      <c r="P39" s="91">
        <v>3</v>
      </c>
      <c r="Q39" s="92" t="str">
        <f>VLOOKUP(N39,Table6[],2,FALSE)</f>
        <v>Electronics</v>
      </c>
      <c r="R39" s="92">
        <f>VLOOKUP(N39,Table6[],3,FALSE)</f>
        <v>90</v>
      </c>
    </row>
    <row r="40" spans="1:18" x14ac:dyDescent="0.3">
      <c r="A40" s="89" t="s">
        <v>152</v>
      </c>
      <c r="B40" s="89" t="s">
        <v>71</v>
      </c>
      <c r="C40" s="89">
        <v>115</v>
      </c>
      <c r="M40" s="91">
        <v>38</v>
      </c>
      <c r="N40" s="92" t="s">
        <v>152</v>
      </c>
      <c r="O40" s="92" t="s">
        <v>15</v>
      </c>
      <c r="P40" s="91">
        <v>2</v>
      </c>
      <c r="Q40" s="92" t="str">
        <f>VLOOKUP(N40,Table6[],2,FALSE)</f>
        <v>Electronics</v>
      </c>
      <c r="R40" s="92">
        <f>VLOOKUP(N40,Table6[],3,FALSE)</f>
        <v>115</v>
      </c>
    </row>
    <row r="41" spans="1:18" x14ac:dyDescent="0.3">
      <c r="A41" s="89" t="s">
        <v>153</v>
      </c>
      <c r="B41" s="89" t="s">
        <v>71</v>
      </c>
      <c r="C41" s="89">
        <v>135</v>
      </c>
      <c r="M41" s="91">
        <v>39</v>
      </c>
      <c r="N41" s="92" t="s">
        <v>153</v>
      </c>
      <c r="O41" s="92" t="s">
        <v>14</v>
      </c>
      <c r="P41" s="91">
        <v>1</v>
      </c>
      <c r="Q41" s="92" t="str">
        <f>VLOOKUP(N41,Table6[],2,FALSE)</f>
        <v>Electronics</v>
      </c>
      <c r="R41" s="92">
        <f>VLOOKUP(N41,Table6[],3,FALSE)</f>
        <v>135</v>
      </c>
    </row>
    <row r="42" spans="1:18" x14ac:dyDescent="0.3">
      <c r="A42" s="89" t="s">
        <v>154</v>
      </c>
      <c r="B42" s="89" t="s">
        <v>71</v>
      </c>
      <c r="C42" s="89">
        <v>155</v>
      </c>
      <c r="M42" s="91">
        <v>40</v>
      </c>
      <c r="N42" s="92" t="s">
        <v>154</v>
      </c>
      <c r="O42" s="92" t="s">
        <v>15</v>
      </c>
      <c r="P42" s="91">
        <v>2</v>
      </c>
      <c r="Q42" s="92" t="str">
        <f>VLOOKUP(N42,Table6[],2,FALSE)</f>
        <v>Electronics</v>
      </c>
      <c r="R42" s="92">
        <f>VLOOKUP(N42,Table6[],3,FALSE)</f>
        <v>155</v>
      </c>
    </row>
    <row r="43" spans="1:18" x14ac:dyDescent="0.3">
      <c r="A43" s="89" t="s">
        <v>155</v>
      </c>
      <c r="B43" s="89" t="s">
        <v>72</v>
      </c>
      <c r="C43" s="89">
        <v>16</v>
      </c>
      <c r="M43" s="91">
        <v>41</v>
      </c>
      <c r="N43" s="92" t="s">
        <v>155</v>
      </c>
      <c r="O43" s="92" t="s">
        <v>14</v>
      </c>
      <c r="P43" s="91">
        <v>3</v>
      </c>
      <c r="Q43" s="92" t="str">
        <f>VLOOKUP(N43,Table6[],2,FALSE)</f>
        <v>Accessories</v>
      </c>
      <c r="R43" s="92">
        <f>VLOOKUP(N43,Table6[],3,FALSE)</f>
        <v>16</v>
      </c>
    </row>
    <row r="44" spans="1:18" x14ac:dyDescent="0.3">
      <c r="A44" s="89" t="s">
        <v>156</v>
      </c>
      <c r="B44" s="89" t="s">
        <v>72</v>
      </c>
      <c r="C44" s="89">
        <v>23</v>
      </c>
      <c r="M44" s="91">
        <v>42</v>
      </c>
      <c r="N44" s="92" t="s">
        <v>156</v>
      </c>
      <c r="O44" s="92" t="s">
        <v>15</v>
      </c>
      <c r="P44" s="91">
        <v>1</v>
      </c>
      <c r="Q44" s="92" t="str">
        <f>VLOOKUP(N44,Table6[],2,FALSE)</f>
        <v>Accessories</v>
      </c>
      <c r="R44" s="92">
        <f>VLOOKUP(N44,Table6[],3,FALSE)</f>
        <v>23</v>
      </c>
    </row>
    <row r="45" spans="1:18" x14ac:dyDescent="0.3">
      <c r="A45" s="89" t="s">
        <v>157</v>
      </c>
      <c r="B45" s="89" t="s">
        <v>72</v>
      </c>
      <c r="C45" s="89">
        <v>29</v>
      </c>
      <c r="M45" s="91">
        <v>43</v>
      </c>
      <c r="N45" s="92" t="s">
        <v>157</v>
      </c>
      <c r="O45" s="92" t="s">
        <v>14</v>
      </c>
      <c r="P45" s="91">
        <v>2</v>
      </c>
      <c r="Q45" s="92" t="str">
        <f>VLOOKUP(N45,Table6[],2,FALSE)</f>
        <v>Accessories</v>
      </c>
      <c r="R45" s="92">
        <f>VLOOKUP(N45,Table6[],3,FALSE)</f>
        <v>29</v>
      </c>
    </row>
    <row r="46" spans="1:18" x14ac:dyDescent="0.3">
      <c r="A46" s="89" t="s">
        <v>158</v>
      </c>
      <c r="B46" s="89" t="s">
        <v>72</v>
      </c>
      <c r="C46" s="89">
        <v>31</v>
      </c>
      <c r="M46" s="91">
        <v>44</v>
      </c>
      <c r="N46" s="92" t="s">
        <v>158</v>
      </c>
      <c r="O46" s="92" t="s">
        <v>15</v>
      </c>
      <c r="P46" s="91">
        <v>3</v>
      </c>
      <c r="Q46" s="92" t="str">
        <f>VLOOKUP(N46,Table6[],2,FALSE)</f>
        <v>Accessories</v>
      </c>
      <c r="R46" s="92">
        <f>VLOOKUP(N46,Table6[],3,FALSE)</f>
        <v>31</v>
      </c>
    </row>
    <row r="47" spans="1:18" x14ac:dyDescent="0.3">
      <c r="A47" s="89" t="s">
        <v>159</v>
      </c>
      <c r="B47" s="89" t="s">
        <v>72</v>
      </c>
      <c r="C47" s="89">
        <v>36</v>
      </c>
      <c r="M47" s="91">
        <v>45</v>
      </c>
      <c r="N47" s="92" t="s">
        <v>159</v>
      </c>
      <c r="O47" s="92" t="s">
        <v>14</v>
      </c>
      <c r="P47" s="91">
        <v>1</v>
      </c>
      <c r="Q47" s="92" t="str">
        <f>VLOOKUP(N47,Table6[],2,FALSE)</f>
        <v>Accessories</v>
      </c>
      <c r="R47" s="92">
        <f>VLOOKUP(N47,Table6[],3,FALSE)</f>
        <v>36</v>
      </c>
    </row>
    <row r="48" spans="1:18" x14ac:dyDescent="0.3">
      <c r="A48" s="89" t="s">
        <v>160</v>
      </c>
      <c r="B48" s="89" t="s">
        <v>71</v>
      </c>
      <c r="C48" s="89">
        <v>78</v>
      </c>
      <c r="M48" s="91">
        <v>46</v>
      </c>
      <c r="N48" s="92" t="s">
        <v>160</v>
      </c>
      <c r="O48" s="92" t="s">
        <v>15</v>
      </c>
      <c r="P48" s="91">
        <v>2</v>
      </c>
      <c r="Q48" s="92" t="str">
        <f>VLOOKUP(N48,Table6[],2,FALSE)</f>
        <v>Electronics</v>
      </c>
      <c r="R48" s="92">
        <f>VLOOKUP(N48,Table6[],3,FALSE)</f>
        <v>78</v>
      </c>
    </row>
    <row r="49" spans="1:18" x14ac:dyDescent="0.3">
      <c r="A49" s="89" t="s">
        <v>161</v>
      </c>
      <c r="B49" s="89" t="s">
        <v>71</v>
      </c>
      <c r="C49" s="89">
        <v>98</v>
      </c>
      <c r="M49" s="91">
        <v>47</v>
      </c>
      <c r="N49" s="92" t="s">
        <v>161</v>
      </c>
      <c r="O49" s="92" t="s">
        <v>14</v>
      </c>
      <c r="P49" s="91">
        <v>3</v>
      </c>
      <c r="Q49" s="92" t="str">
        <f>VLOOKUP(N49,Table6[],2,FALSE)</f>
        <v>Electronics</v>
      </c>
      <c r="R49" s="92">
        <f>VLOOKUP(N49,Table6[],3,FALSE)</f>
        <v>98</v>
      </c>
    </row>
    <row r="50" spans="1:18" x14ac:dyDescent="0.3">
      <c r="A50" s="89" t="s">
        <v>162</v>
      </c>
      <c r="B50" s="89" t="s">
        <v>71</v>
      </c>
      <c r="C50" s="89">
        <v>118</v>
      </c>
      <c r="M50" s="91">
        <v>48</v>
      </c>
      <c r="N50" s="92" t="s">
        <v>162</v>
      </c>
      <c r="O50" s="92" t="s">
        <v>15</v>
      </c>
      <c r="P50" s="91">
        <v>1</v>
      </c>
      <c r="Q50" s="92" t="str">
        <f>VLOOKUP(N50,Table6[],2,FALSE)</f>
        <v>Electronics</v>
      </c>
      <c r="R50" s="92">
        <f>VLOOKUP(N50,Table6[],3,FALSE)</f>
        <v>118</v>
      </c>
    </row>
    <row r="51" spans="1:18" x14ac:dyDescent="0.3">
      <c r="A51" s="89" t="s">
        <v>163</v>
      </c>
      <c r="B51" s="89" t="s">
        <v>71</v>
      </c>
      <c r="C51" s="89">
        <v>138</v>
      </c>
      <c r="M51" s="91">
        <v>49</v>
      </c>
      <c r="N51" s="92" t="s">
        <v>163</v>
      </c>
      <c r="O51" s="92" t="s">
        <v>14</v>
      </c>
      <c r="P51" s="91">
        <v>2</v>
      </c>
      <c r="Q51" s="92" t="str">
        <f>VLOOKUP(N51,Table6[],2,FALSE)</f>
        <v>Electronics</v>
      </c>
      <c r="R51" s="92">
        <f>VLOOKUP(N51,Table6[],3,FALSE)</f>
        <v>138</v>
      </c>
    </row>
    <row r="52" spans="1:18" x14ac:dyDescent="0.3">
      <c r="A52" s="89" t="s">
        <v>164</v>
      </c>
      <c r="B52" s="89" t="s">
        <v>71</v>
      </c>
      <c r="C52" s="89">
        <v>158</v>
      </c>
      <c r="M52" s="91">
        <v>50</v>
      </c>
      <c r="N52" s="92" t="s">
        <v>164</v>
      </c>
      <c r="O52" s="92" t="s">
        <v>15</v>
      </c>
      <c r="P52" s="91">
        <v>3</v>
      </c>
      <c r="Q52" s="92" t="str">
        <f>VLOOKUP(N52,Table6[],2,FALSE)</f>
        <v>Electronics</v>
      </c>
      <c r="R52" s="92">
        <f>VLOOKUP(N52,Table6[],3,FALSE)</f>
        <v>158</v>
      </c>
    </row>
    <row r="53" spans="1:18" x14ac:dyDescent="0.3">
      <c r="A53" s="89" t="s">
        <v>165</v>
      </c>
      <c r="B53" s="89" t="s">
        <v>72</v>
      </c>
      <c r="C53" s="89">
        <v>17</v>
      </c>
      <c r="M53" s="91">
        <v>51</v>
      </c>
      <c r="N53" s="92" t="s">
        <v>165</v>
      </c>
      <c r="O53" s="92" t="s">
        <v>14</v>
      </c>
      <c r="P53" s="91">
        <v>1</v>
      </c>
      <c r="Q53" s="92" t="str">
        <f>VLOOKUP(N53,Table6[],2,FALSE)</f>
        <v>Accessories</v>
      </c>
      <c r="R53" s="92">
        <f>VLOOKUP(N53,Table6[],3,FALSE)</f>
        <v>17</v>
      </c>
    </row>
    <row r="54" spans="1:18" x14ac:dyDescent="0.3">
      <c r="A54" s="89" t="s">
        <v>166</v>
      </c>
      <c r="B54" s="89" t="s">
        <v>72</v>
      </c>
      <c r="C54" s="89">
        <v>20</v>
      </c>
      <c r="M54" s="91">
        <v>52</v>
      </c>
      <c r="N54" s="92" t="s">
        <v>166</v>
      </c>
      <c r="O54" s="92" t="s">
        <v>15</v>
      </c>
      <c r="P54" s="91">
        <v>2</v>
      </c>
      <c r="Q54" s="92" t="str">
        <f>VLOOKUP(N54,Table6[],2,FALSE)</f>
        <v>Accessories</v>
      </c>
      <c r="R54" s="92">
        <f>VLOOKUP(N54,Table6[],3,FALSE)</f>
        <v>20</v>
      </c>
    </row>
    <row r="55" spans="1:18" x14ac:dyDescent="0.3">
      <c r="A55" s="89" t="s">
        <v>167</v>
      </c>
      <c r="B55" s="89" t="s">
        <v>72</v>
      </c>
      <c r="C55" s="89">
        <v>25</v>
      </c>
      <c r="M55" s="91">
        <v>53</v>
      </c>
      <c r="N55" s="92" t="s">
        <v>167</v>
      </c>
      <c r="O55" s="92" t="s">
        <v>14</v>
      </c>
      <c r="P55" s="91">
        <v>4</v>
      </c>
      <c r="Q55" s="92" t="str">
        <f>VLOOKUP(N55,Table6[],2,FALSE)</f>
        <v>Accessories</v>
      </c>
      <c r="R55" s="92">
        <f>VLOOKUP(N55,Table6[],3,FALSE)</f>
        <v>25</v>
      </c>
    </row>
    <row r="56" spans="1:18" x14ac:dyDescent="0.3">
      <c r="A56" s="89" t="s">
        <v>168</v>
      </c>
      <c r="B56" s="89" t="s">
        <v>72</v>
      </c>
      <c r="C56" s="89">
        <v>33</v>
      </c>
      <c r="M56" s="91">
        <v>54</v>
      </c>
      <c r="N56" s="92" t="s">
        <v>168</v>
      </c>
      <c r="O56" s="92" t="s">
        <v>15</v>
      </c>
      <c r="P56" s="91">
        <v>1</v>
      </c>
      <c r="Q56" s="92" t="str">
        <f>VLOOKUP(N56,Table6[],2,FALSE)</f>
        <v>Accessories</v>
      </c>
      <c r="R56" s="92">
        <f>VLOOKUP(N56,Table6[],3,FALSE)</f>
        <v>33</v>
      </c>
    </row>
    <row r="57" spans="1:18" x14ac:dyDescent="0.3">
      <c r="A57" s="89" t="s">
        <v>169</v>
      </c>
      <c r="B57" s="89" t="s">
        <v>72</v>
      </c>
      <c r="C57" s="89">
        <v>37</v>
      </c>
      <c r="M57" s="91">
        <v>55</v>
      </c>
      <c r="N57" s="92" t="s">
        <v>169</v>
      </c>
      <c r="O57" s="92" t="s">
        <v>14</v>
      </c>
      <c r="P57" s="91">
        <v>2</v>
      </c>
      <c r="Q57" s="92" t="str">
        <f>VLOOKUP(N57,Table6[],2,FALSE)</f>
        <v>Accessories</v>
      </c>
      <c r="R57" s="92">
        <f>VLOOKUP(N57,Table6[],3,FALSE)</f>
        <v>37</v>
      </c>
    </row>
    <row r="58" spans="1:18" x14ac:dyDescent="0.3">
      <c r="A58" s="89" t="s">
        <v>170</v>
      </c>
      <c r="B58" s="89" t="s">
        <v>71</v>
      </c>
      <c r="C58" s="89">
        <v>82</v>
      </c>
      <c r="M58" s="91">
        <v>56</v>
      </c>
      <c r="N58" s="92" t="s">
        <v>170</v>
      </c>
      <c r="O58" s="92" t="s">
        <v>15</v>
      </c>
      <c r="P58" s="91">
        <v>3</v>
      </c>
      <c r="Q58" s="92" t="str">
        <f>VLOOKUP(N58,Table6[],2,FALSE)</f>
        <v>Electronics</v>
      </c>
      <c r="R58" s="92">
        <f>VLOOKUP(N58,Table6[],3,FALSE)</f>
        <v>82</v>
      </c>
    </row>
    <row r="59" spans="1:18" x14ac:dyDescent="0.3">
      <c r="A59" s="89" t="s">
        <v>171</v>
      </c>
      <c r="B59" s="89" t="s">
        <v>71</v>
      </c>
      <c r="C59" s="89">
        <v>102</v>
      </c>
      <c r="M59" s="91">
        <v>57</v>
      </c>
      <c r="N59" s="92" t="s">
        <v>171</v>
      </c>
      <c r="O59" s="92" t="s">
        <v>14</v>
      </c>
      <c r="P59" s="91">
        <v>1</v>
      </c>
      <c r="Q59" s="92" t="str">
        <f>VLOOKUP(N59,Table6[],2,FALSE)</f>
        <v>Electronics</v>
      </c>
      <c r="R59" s="92">
        <f>VLOOKUP(N59,Table6[],3,FALSE)</f>
        <v>102</v>
      </c>
    </row>
    <row r="60" spans="1:18" x14ac:dyDescent="0.3">
      <c r="A60" s="89" t="s">
        <v>172</v>
      </c>
      <c r="B60" s="89" t="s">
        <v>71</v>
      </c>
      <c r="C60" s="89">
        <v>122</v>
      </c>
      <c r="M60" s="91">
        <v>58</v>
      </c>
      <c r="N60" s="92" t="s">
        <v>172</v>
      </c>
      <c r="O60" s="92" t="s">
        <v>15</v>
      </c>
      <c r="P60" s="91">
        <v>2</v>
      </c>
      <c r="Q60" s="92" t="str">
        <f>VLOOKUP(N60,Table6[],2,FALSE)</f>
        <v>Electronics</v>
      </c>
      <c r="R60" s="92">
        <f>VLOOKUP(N60,Table6[],3,FALSE)</f>
        <v>122</v>
      </c>
    </row>
    <row r="61" spans="1:18" x14ac:dyDescent="0.3">
      <c r="A61" s="89" t="s">
        <v>173</v>
      </c>
      <c r="B61" s="89" t="s">
        <v>71</v>
      </c>
      <c r="C61" s="89">
        <v>142</v>
      </c>
      <c r="M61" s="91">
        <v>59</v>
      </c>
      <c r="N61" s="92" t="s">
        <v>173</v>
      </c>
      <c r="O61" s="92" t="s">
        <v>14</v>
      </c>
      <c r="P61" s="91">
        <v>3</v>
      </c>
      <c r="Q61" s="92" t="str">
        <f>VLOOKUP(N61,Table6[],2,FALSE)</f>
        <v>Electronics</v>
      </c>
      <c r="R61" s="92">
        <f>VLOOKUP(N61,Table6[],3,FALSE)</f>
        <v>142</v>
      </c>
    </row>
    <row r="62" spans="1:18" x14ac:dyDescent="0.3">
      <c r="A62" s="89" t="s">
        <v>174</v>
      </c>
      <c r="B62" s="89" t="s">
        <v>71</v>
      </c>
      <c r="C62" s="89">
        <v>162</v>
      </c>
      <c r="M62" s="91">
        <v>60</v>
      </c>
      <c r="N62" s="92" t="s">
        <v>174</v>
      </c>
      <c r="O62" s="92" t="s">
        <v>15</v>
      </c>
      <c r="P62" s="91">
        <v>1</v>
      </c>
      <c r="Q62" s="92" t="str">
        <f>VLOOKUP(N62,Table6[],2,FALSE)</f>
        <v>Electronics</v>
      </c>
      <c r="R62" s="92">
        <f>VLOOKUP(N62,Table6[],3,FALSE)</f>
        <v>162</v>
      </c>
    </row>
    <row r="63" spans="1:18" x14ac:dyDescent="0.3">
      <c r="A63" s="89" t="s">
        <v>175</v>
      </c>
      <c r="B63" s="89" t="s">
        <v>72</v>
      </c>
      <c r="C63" s="89">
        <v>18</v>
      </c>
      <c r="M63" s="91">
        <v>61</v>
      </c>
      <c r="N63" s="92" t="s">
        <v>175</v>
      </c>
      <c r="O63" s="92" t="s">
        <v>14</v>
      </c>
      <c r="P63" s="91">
        <v>2</v>
      </c>
      <c r="Q63" s="92" t="str">
        <f>VLOOKUP(N63,Table6[],2,FALSE)</f>
        <v>Accessories</v>
      </c>
      <c r="R63" s="92">
        <f>VLOOKUP(N63,Table6[],3,FALSE)</f>
        <v>18</v>
      </c>
    </row>
    <row r="64" spans="1:18" x14ac:dyDescent="0.3">
      <c r="A64" s="89" t="s">
        <v>176</v>
      </c>
      <c r="B64" s="89" t="s">
        <v>72</v>
      </c>
      <c r="C64" s="89">
        <v>21</v>
      </c>
      <c r="M64" s="91">
        <v>62</v>
      </c>
      <c r="N64" s="92" t="s">
        <v>176</v>
      </c>
      <c r="O64" s="92" t="s">
        <v>15</v>
      </c>
      <c r="P64" s="91">
        <v>4</v>
      </c>
      <c r="Q64" s="92" t="str">
        <f>VLOOKUP(N64,Table6[],2,FALSE)</f>
        <v>Accessories</v>
      </c>
      <c r="R64" s="92">
        <f>VLOOKUP(N64,Table6[],3,FALSE)</f>
        <v>21</v>
      </c>
    </row>
    <row r="65" spans="1:18" x14ac:dyDescent="0.3">
      <c r="A65" s="89" t="s">
        <v>177</v>
      </c>
      <c r="B65" s="89" t="s">
        <v>72</v>
      </c>
      <c r="C65" s="89">
        <v>27</v>
      </c>
      <c r="M65" s="91">
        <v>63</v>
      </c>
      <c r="N65" s="92" t="s">
        <v>177</v>
      </c>
      <c r="O65" s="92" t="s">
        <v>14</v>
      </c>
      <c r="P65" s="91">
        <v>1</v>
      </c>
      <c r="Q65" s="92" t="str">
        <f>VLOOKUP(N65,Table6[],2,FALSE)</f>
        <v>Accessories</v>
      </c>
      <c r="R65" s="92">
        <f>VLOOKUP(N65,Table6[],3,FALSE)</f>
        <v>27</v>
      </c>
    </row>
    <row r="66" spans="1:18" x14ac:dyDescent="0.3">
      <c r="A66" s="89" t="s">
        <v>178</v>
      </c>
      <c r="B66" s="89" t="s">
        <v>72</v>
      </c>
      <c r="C66" s="89">
        <v>34</v>
      </c>
      <c r="M66" s="91">
        <v>64</v>
      </c>
      <c r="N66" s="92" t="s">
        <v>178</v>
      </c>
      <c r="O66" s="92" t="s">
        <v>15</v>
      </c>
      <c r="P66" s="91">
        <v>2</v>
      </c>
      <c r="Q66" s="92" t="str">
        <f>VLOOKUP(N66,Table6[],2,FALSE)</f>
        <v>Accessories</v>
      </c>
      <c r="R66" s="92">
        <f>VLOOKUP(N66,Table6[],3,FALSE)</f>
        <v>34</v>
      </c>
    </row>
    <row r="67" spans="1:18" x14ac:dyDescent="0.3">
      <c r="A67" s="89" t="s">
        <v>179</v>
      </c>
      <c r="B67" s="89" t="s">
        <v>72</v>
      </c>
      <c r="C67" s="89">
        <v>39</v>
      </c>
      <c r="M67" s="91">
        <v>65</v>
      </c>
      <c r="N67" s="92" t="s">
        <v>179</v>
      </c>
      <c r="O67" s="92" t="s">
        <v>14</v>
      </c>
      <c r="P67" s="91">
        <v>3</v>
      </c>
      <c r="Q67" s="92" t="str">
        <f>VLOOKUP(N67,Table6[],2,FALSE)</f>
        <v>Accessories</v>
      </c>
      <c r="R67" s="92">
        <f>VLOOKUP(N67,Table6[],3,FALSE)</f>
        <v>39</v>
      </c>
    </row>
    <row r="68" spans="1:18" x14ac:dyDescent="0.3">
      <c r="A68" s="89" t="s">
        <v>180</v>
      </c>
      <c r="B68" s="89" t="s">
        <v>71</v>
      </c>
      <c r="C68" s="89">
        <v>88</v>
      </c>
      <c r="M68" s="91">
        <v>66</v>
      </c>
      <c r="N68" s="92" t="s">
        <v>180</v>
      </c>
      <c r="O68" s="92" t="s">
        <v>15</v>
      </c>
      <c r="P68" s="91">
        <v>1</v>
      </c>
      <c r="Q68" s="92" t="str">
        <f>VLOOKUP(N68,Table6[],2,FALSE)</f>
        <v>Electronics</v>
      </c>
      <c r="R68" s="92">
        <f>VLOOKUP(N68,Table6[],3,FALSE)</f>
        <v>88</v>
      </c>
    </row>
    <row r="69" spans="1:18" x14ac:dyDescent="0.3">
      <c r="A69" s="89" t="s">
        <v>181</v>
      </c>
      <c r="B69" s="89" t="s">
        <v>71</v>
      </c>
      <c r="C69" s="89">
        <v>108</v>
      </c>
      <c r="M69" s="91">
        <v>67</v>
      </c>
      <c r="N69" s="92" t="s">
        <v>181</v>
      </c>
      <c r="O69" s="92" t="s">
        <v>14</v>
      </c>
      <c r="P69" s="91">
        <v>2</v>
      </c>
      <c r="Q69" s="92" t="str">
        <f>VLOOKUP(N69,Table6[],2,FALSE)</f>
        <v>Electronics</v>
      </c>
      <c r="R69" s="92">
        <f>VLOOKUP(N69,Table6[],3,FALSE)</f>
        <v>108</v>
      </c>
    </row>
    <row r="70" spans="1:18" x14ac:dyDescent="0.3">
      <c r="A70" s="89" t="s">
        <v>182</v>
      </c>
      <c r="B70" s="89" t="s">
        <v>71</v>
      </c>
      <c r="C70" s="89">
        <v>128</v>
      </c>
      <c r="M70" s="91">
        <v>68</v>
      </c>
      <c r="N70" s="92" t="s">
        <v>182</v>
      </c>
      <c r="O70" s="92" t="s">
        <v>15</v>
      </c>
      <c r="P70" s="91">
        <v>3</v>
      </c>
      <c r="Q70" s="92" t="str">
        <f>VLOOKUP(N70,Table6[],2,FALSE)</f>
        <v>Electronics</v>
      </c>
      <c r="R70" s="92">
        <f>VLOOKUP(N70,Table6[],3,FALSE)</f>
        <v>128</v>
      </c>
    </row>
    <row r="71" spans="1:18" x14ac:dyDescent="0.3">
      <c r="A71" s="89" t="s">
        <v>183</v>
      </c>
      <c r="B71" s="89" t="s">
        <v>71</v>
      </c>
      <c r="C71" s="89">
        <v>148</v>
      </c>
      <c r="M71" s="91">
        <v>69</v>
      </c>
      <c r="N71" s="92" t="s">
        <v>183</v>
      </c>
      <c r="O71" s="92" t="s">
        <v>14</v>
      </c>
      <c r="P71" s="91">
        <v>1</v>
      </c>
      <c r="Q71" s="92" t="str">
        <f>VLOOKUP(N71,Table6[],2,FALSE)</f>
        <v>Electronics</v>
      </c>
      <c r="R71" s="92">
        <f>VLOOKUP(N71,Table6[],3,FALSE)</f>
        <v>148</v>
      </c>
    </row>
    <row r="72" spans="1:18" x14ac:dyDescent="0.3">
      <c r="A72" s="89" t="s">
        <v>184</v>
      </c>
      <c r="B72" s="89" t="s">
        <v>71</v>
      </c>
      <c r="C72" s="89">
        <v>168</v>
      </c>
      <c r="M72" s="91">
        <v>70</v>
      </c>
      <c r="N72" s="92" t="s">
        <v>184</v>
      </c>
      <c r="O72" s="92" t="s">
        <v>15</v>
      </c>
      <c r="P72" s="91">
        <v>2</v>
      </c>
      <c r="Q72" s="92" t="str">
        <f>VLOOKUP(N72,Table6[],2,FALSE)</f>
        <v>Electronics</v>
      </c>
      <c r="R72" s="92">
        <f>VLOOKUP(N72,Table6[],3,FALSE)</f>
        <v>168</v>
      </c>
    </row>
    <row r="73" spans="1:18" x14ac:dyDescent="0.3">
      <c r="A73" s="89" t="s">
        <v>185</v>
      </c>
      <c r="B73" s="89" t="s">
        <v>72</v>
      </c>
      <c r="C73" s="89">
        <v>19</v>
      </c>
      <c r="M73" s="91">
        <v>71</v>
      </c>
      <c r="N73" s="92" t="s">
        <v>185</v>
      </c>
      <c r="O73" s="92" t="s">
        <v>14</v>
      </c>
      <c r="P73" s="91">
        <v>3</v>
      </c>
      <c r="Q73" s="92" t="str">
        <f>VLOOKUP(N73,Table6[],2,FALSE)</f>
        <v>Accessories</v>
      </c>
      <c r="R73" s="92">
        <f>VLOOKUP(N73,Table6[],3,FALSE)</f>
        <v>19</v>
      </c>
    </row>
    <row r="74" spans="1:18" x14ac:dyDescent="0.3">
      <c r="A74" s="89" t="s">
        <v>186</v>
      </c>
      <c r="B74" s="89" t="s">
        <v>72</v>
      </c>
      <c r="C74" s="89">
        <v>22</v>
      </c>
      <c r="M74" s="91">
        <v>72</v>
      </c>
      <c r="N74" s="92" t="s">
        <v>186</v>
      </c>
      <c r="O74" s="92" t="s">
        <v>15</v>
      </c>
      <c r="P74" s="91">
        <v>1</v>
      </c>
      <c r="Q74" s="92" t="str">
        <f>VLOOKUP(N74,Table6[],2,FALSE)</f>
        <v>Accessories</v>
      </c>
      <c r="R74" s="92">
        <f>VLOOKUP(N74,Table6[],3,FALSE)</f>
        <v>22</v>
      </c>
    </row>
    <row r="75" spans="1:18" x14ac:dyDescent="0.3">
      <c r="A75" s="89" t="s">
        <v>187</v>
      </c>
      <c r="B75" s="89" t="s">
        <v>72</v>
      </c>
      <c r="C75" s="89">
        <v>28</v>
      </c>
      <c r="M75" s="91">
        <v>73</v>
      </c>
      <c r="N75" s="92" t="s">
        <v>187</v>
      </c>
      <c r="O75" s="92" t="s">
        <v>14</v>
      </c>
      <c r="P75" s="91">
        <v>2</v>
      </c>
      <c r="Q75" s="92" t="str">
        <f>VLOOKUP(N75,Table6[],2,FALSE)</f>
        <v>Accessories</v>
      </c>
      <c r="R75" s="92">
        <f>VLOOKUP(N75,Table6[],3,FALSE)</f>
        <v>28</v>
      </c>
    </row>
    <row r="76" spans="1:18" x14ac:dyDescent="0.3">
      <c r="A76" s="89" t="s">
        <v>188</v>
      </c>
      <c r="B76" s="89" t="s">
        <v>72</v>
      </c>
      <c r="C76" s="89">
        <v>35</v>
      </c>
      <c r="M76" s="91">
        <v>74</v>
      </c>
      <c r="N76" s="92" t="s">
        <v>188</v>
      </c>
      <c r="O76" s="92" t="s">
        <v>15</v>
      </c>
      <c r="P76" s="91">
        <v>3</v>
      </c>
      <c r="Q76" s="92" t="str">
        <f>VLOOKUP(N76,Table6[],2,FALSE)</f>
        <v>Accessories</v>
      </c>
      <c r="R76" s="92">
        <f>VLOOKUP(N76,Table6[],3,FALSE)</f>
        <v>35</v>
      </c>
    </row>
    <row r="77" spans="1:18" x14ac:dyDescent="0.3">
      <c r="A77" s="89" t="s">
        <v>189</v>
      </c>
      <c r="B77" s="89" t="s">
        <v>72</v>
      </c>
      <c r="C77" s="89">
        <v>41</v>
      </c>
      <c r="M77" s="91">
        <v>75</v>
      </c>
      <c r="N77" s="92" t="s">
        <v>189</v>
      </c>
      <c r="O77" s="92" t="s">
        <v>14</v>
      </c>
      <c r="P77" s="91">
        <v>1</v>
      </c>
      <c r="Q77" s="92" t="str">
        <f>VLOOKUP(N77,Table6[],2,FALSE)</f>
        <v>Accessories</v>
      </c>
      <c r="R77" s="92">
        <f>VLOOKUP(N77,Table6[],3,FALSE)</f>
        <v>41</v>
      </c>
    </row>
    <row r="78" spans="1:18" x14ac:dyDescent="0.3">
      <c r="A78" s="89" t="s">
        <v>190</v>
      </c>
      <c r="B78" s="89" t="s">
        <v>71</v>
      </c>
      <c r="C78" s="89">
        <v>92</v>
      </c>
      <c r="M78" s="91">
        <v>76</v>
      </c>
      <c r="N78" s="92" t="s">
        <v>190</v>
      </c>
      <c r="O78" s="92" t="s">
        <v>15</v>
      </c>
      <c r="P78" s="91">
        <v>2</v>
      </c>
      <c r="Q78" s="92" t="str">
        <f>VLOOKUP(N78,Table6[],2,FALSE)</f>
        <v>Electronics</v>
      </c>
      <c r="R78" s="92">
        <f>VLOOKUP(N78,Table6[],3,FALSE)</f>
        <v>92</v>
      </c>
    </row>
    <row r="79" spans="1:18" x14ac:dyDescent="0.3">
      <c r="A79" s="89" t="s">
        <v>191</v>
      </c>
      <c r="B79" s="89" t="s">
        <v>71</v>
      </c>
      <c r="C79" s="89">
        <v>112</v>
      </c>
      <c r="M79" s="91">
        <v>77</v>
      </c>
      <c r="N79" s="92" t="s">
        <v>191</v>
      </c>
      <c r="O79" s="92" t="s">
        <v>14</v>
      </c>
      <c r="P79" s="91">
        <v>3</v>
      </c>
      <c r="Q79" s="92" t="str">
        <f>VLOOKUP(N79,Table6[],2,FALSE)</f>
        <v>Electronics</v>
      </c>
      <c r="R79" s="92">
        <f>VLOOKUP(N79,Table6[],3,FALSE)</f>
        <v>112</v>
      </c>
    </row>
    <row r="80" spans="1:18" x14ac:dyDescent="0.3">
      <c r="A80" s="89" t="s">
        <v>192</v>
      </c>
      <c r="B80" s="89" t="s">
        <v>71</v>
      </c>
      <c r="C80" s="89">
        <v>132</v>
      </c>
      <c r="M80" s="91">
        <v>78</v>
      </c>
      <c r="N80" s="92" t="s">
        <v>192</v>
      </c>
      <c r="O80" s="92" t="s">
        <v>15</v>
      </c>
      <c r="P80" s="91">
        <v>1</v>
      </c>
      <c r="Q80" s="92" t="str">
        <f>VLOOKUP(N80,Table6[],2,FALSE)</f>
        <v>Electronics</v>
      </c>
      <c r="R80" s="92">
        <f>VLOOKUP(N80,Table6[],3,FALSE)</f>
        <v>132</v>
      </c>
    </row>
    <row r="81" spans="1:18" x14ac:dyDescent="0.3">
      <c r="A81" s="89" t="s">
        <v>193</v>
      </c>
      <c r="B81" s="89" t="s">
        <v>71</v>
      </c>
      <c r="C81" s="89">
        <v>152</v>
      </c>
      <c r="M81" s="91">
        <v>79</v>
      </c>
      <c r="N81" s="92" t="s">
        <v>193</v>
      </c>
      <c r="O81" s="92" t="s">
        <v>14</v>
      </c>
      <c r="P81" s="91">
        <v>2</v>
      </c>
      <c r="Q81" s="92" t="str">
        <f>VLOOKUP(N81,Table6[],2,FALSE)</f>
        <v>Electronics</v>
      </c>
      <c r="R81" s="92">
        <f>VLOOKUP(N81,Table6[],3,FALSE)</f>
        <v>152</v>
      </c>
    </row>
    <row r="82" spans="1:18" x14ac:dyDescent="0.3">
      <c r="A82" s="89" t="s">
        <v>194</v>
      </c>
      <c r="B82" s="89" t="s">
        <v>71</v>
      </c>
      <c r="C82" s="89">
        <v>172</v>
      </c>
      <c r="M82" s="91">
        <v>80</v>
      </c>
      <c r="N82" s="92" t="s">
        <v>194</v>
      </c>
      <c r="O82" s="92" t="s">
        <v>15</v>
      </c>
      <c r="P82" s="91">
        <v>3</v>
      </c>
      <c r="Q82" s="92" t="str">
        <f>VLOOKUP(N82,Table6[],2,FALSE)</f>
        <v>Electronics</v>
      </c>
      <c r="R82" s="92">
        <f>VLOOKUP(N82,Table6[],3,FALSE)</f>
        <v>172</v>
      </c>
    </row>
    <row r="83" spans="1:18" x14ac:dyDescent="0.3">
      <c r="A83" s="89" t="s">
        <v>195</v>
      </c>
      <c r="B83" s="89" t="s">
        <v>72</v>
      </c>
      <c r="C83" s="89">
        <v>20</v>
      </c>
      <c r="M83" s="91">
        <v>81</v>
      </c>
      <c r="N83" s="92" t="s">
        <v>195</v>
      </c>
      <c r="O83" s="92" t="s">
        <v>14</v>
      </c>
      <c r="P83" s="91">
        <v>1</v>
      </c>
      <c r="Q83" s="92" t="str">
        <f>VLOOKUP(N83,Table6[],2,FALSE)</f>
        <v>Accessories</v>
      </c>
      <c r="R83" s="92">
        <f>VLOOKUP(N83,Table6[],3,FALSE)</f>
        <v>20</v>
      </c>
    </row>
    <row r="84" spans="1:18" x14ac:dyDescent="0.3">
      <c r="A84" s="89" t="s">
        <v>196</v>
      </c>
      <c r="B84" s="89" t="s">
        <v>72</v>
      </c>
      <c r="C84" s="89">
        <v>24</v>
      </c>
      <c r="M84" s="91">
        <v>82</v>
      </c>
      <c r="N84" s="92" t="s">
        <v>196</v>
      </c>
      <c r="O84" s="92" t="s">
        <v>15</v>
      </c>
      <c r="P84" s="91">
        <v>2</v>
      </c>
      <c r="Q84" s="92" t="str">
        <f>VLOOKUP(N84,Table6[],2,FALSE)</f>
        <v>Accessories</v>
      </c>
      <c r="R84" s="92">
        <f>VLOOKUP(N84,Table6[],3,FALSE)</f>
        <v>24</v>
      </c>
    </row>
    <row r="85" spans="1:18" x14ac:dyDescent="0.3">
      <c r="A85" s="89" t="s">
        <v>197</v>
      </c>
      <c r="B85" s="89" t="s">
        <v>72</v>
      </c>
      <c r="C85" s="89">
        <v>29</v>
      </c>
      <c r="M85" s="91">
        <v>83</v>
      </c>
      <c r="N85" s="92" t="s">
        <v>197</v>
      </c>
      <c r="O85" s="92" t="s">
        <v>14</v>
      </c>
      <c r="P85" s="91">
        <v>3</v>
      </c>
      <c r="Q85" s="92" t="str">
        <f>VLOOKUP(N85,Table6[],2,FALSE)</f>
        <v>Accessories</v>
      </c>
      <c r="R85" s="92">
        <f>VLOOKUP(N85,Table6[],3,FALSE)</f>
        <v>29</v>
      </c>
    </row>
    <row r="86" spans="1:18" x14ac:dyDescent="0.3">
      <c r="A86" s="89" t="s">
        <v>198</v>
      </c>
      <c r="B86" s="89" t="s">
        <v>72</v>
      </c>
      <c r="C86" s="89">
        <v>36</v>
      </c>
      <c r="M86" s="91">
        <v>84</v>
      </c>
      <c r="N86" s="92" t="s">
        <v>198</v>
      </c>
      <c r="O86" s="92" t="s">
        <v>15</v>
      </c>
      <c r="P86" s="91">
        <v>1</v>
      </c>
      <c r="Q86" s="92" t="str">
        <f>VLOOKUP(N86,Table6[],2,FALSE)</f>
        <v>Accessories</v>
      </c>
      <c r="R86" s="92">
        <f>VLOOKUP(N86,Table6[],3,FALSE)</f>
        <v>36</v>
      </c>
    </row>
    <row r="87" spans="1:18" x14ac:dyDescent="0.3">
      <c r="A87" s="89" t="s">
        <v>199</v>
      </c>
      <c r="B87" s="89" t="s">
        <v>72</v>
      </c>
      <c r="C87" s="89">
        <v>42</v>
      </c>
      <c r="M87" s="91">
        <v>85</v>
      </c>
      <c r="N87" s="92" t="s">
        <v>199</v>
      </c>
      <c r="O87" s="92" t="s">
        <v>14</v>
      </c>
      <c r="P87" s="91">
        <v>2</v>
      </c>
      <c r="Q87" s="92" t="str">
        <f>VLOOKUP(N87,Table6[],2,FALSE)</f>
        <v>Accessories</v>
      </c>
      <c r="R87" s="92">
        <f>VLOOKUP(N87,Table6[],3,FALSE)</f>
        <v>42</v>
      </c>
    </row>
    <row r="88" spans="1:18" x14ac:dyDescent="0.3">
      <c r="A88" s="89" t="s">
        <v>200</v>
      </c>
      <c r="B88" s="89" t="s">
        <v>71</v>
      </c>
      <c r="C88" s="89">
        <v>96</v>
      </c>
      <c r="M88" s="91">
        <v>86</v>
      </c>
      <c r="N88" s="92" t="s">
        <v>200</v>
      </c>
      <c r="O88" s="92" t="s">
        <v>15</v>
      </c>
      <c r="P88" s="91">
        <v>3</v>
      </c>
      <c r="Q88" s="92" t="str">
        <f>VLOOKUP(N88,Table6[],2,FALSE)</f>
        <v>Electronics</v>
      </c>
      <c r="R88" s="92">
        <f>VLOOKUP(N88,Table6[],3,FALSE)</f>
        <v>96</v>
      </c>
    </row>
    <row r="89" spans="1:18" x14ac:dyDescent="0.3">
      <c r="A89" s="89" t="s">
        <v>201</v>
      </c>
      <c r="B89" s="89" t="s">
        <v>71</v>
      </c>
      <c r="C89" s="89">
        <v>116</v>
      </c>
      <c r="M89" s="91">
        <v>87</v>
      </c>
      <c r="N89" s="92" t="s">
        <v>201</v>
      </c>
      <c r="O89" s="92" t="s">
        <v>14</v>
      </c>
      <c r="P89" s="91">
        <v>1</v>
      </c>
      <c r="Q89" s="92" t="str">
        <f>VLOOKUP(N89,Table6[],2,FALSE)</f>
        <v>Electronics</v>
      </c>
      <c r="R89" s="92">
        <f>VLOOKUP(N89,Table6[],3,FALSE)</f>
        <v>116</v>
      </c>
    </row>
    <row r="90" spans="1:18" x14ac:dyDescent="0.3">
      <c r="A90" s="89" t="s">
        <v>202</v>
      </c>
      <c r="B90" s="89" t="s">
        <v>71</v>
      </c>
      <c r="C90" s="89">
        <v>136</v>
      </c>
      <c r="M90" s="91">
        <v>88</v>
      </c>
      <c r="N90" s="92" t="s">
        <v>202</v>
      </c>
      <c r="O90" s="92" t="s">
        <v>15</v>
      </c>
      <c r="P90" s="91">
        <v>2</v>
      </c>
      <c r="Q90" s="92" t="str">
        <f>VLOOKUP(N90,Table6[],2,FALSE)</f>
        <v>Electronics</v>
      </c>
      <c r="R90" s="92">
        <f>VLOOKUP(N90,Table6[],3,FALSE)</f>
        <v>136</v>
      </c>
    </row>
    <row r="91" spans="1:18" x14ac:dyDescent="0.3">
      <c r="A91" s="89" t="s">
        <v>203</v>
      </c>
      <c r="B91" s="89" t="s">
        <v>71</v>
      </c>
      <c r="C91" s="89">
        <v>156</v>
      </c>
      <c r="M91" s="91">
        <v>89</v>
      </c>
      <c r="N91" s="92" t="s">
        <v>203</v>
      </c>
      <c r="O91" s="92" t="s">
        <v>14</v>
      </c>
      <c r="P91" s="91">
        <v>3</v>
      </c>
      <c r="Q91" s="92" t="str">
        <f>VLOOKUP(N91,Table6[],2,FALSE)</f>
        <v>Electronics</v>
      </c>
      <c r="R91" s="92">
        <f>VLOOKUP(N91,Table6[],3,FALSE)</f>
        <v>156</v>
      </c>
    </row>
    <row r="92" spans="1:18" x14ac:dyDescent="0.3">
      <c r="A92" s="89" t="s">
        <v>204</v>
      </c>
      <c r="B92" s="89" t="s">
        <v>71</v>
      </c>
      <c r="C92" s="89">
        <v>176</v>
      </c>
      <c r="M92" s="91">
        <v>90</v>
      </c>
      <c r="N92" s="92" t="s">
        <v>204</v>
      </c>
      <c r="O92" s="92" t="s">
        <v>15</v>
      </c>
      <c r="P92" s="91">
        <v>1</v>
      </c>
      <c r="Q92" s="92" t="str">
        <f>VLOOKUP(N92,Table6[],2,FALSE)</f>
        <v>Electronics</v>
      </c>
      <c r="R92" s="92">
        <f>VLOOKUP(N92,Table6[],3,FALSE)</f>
        <v>176</v>
      </c>
    </row>
    <row r="93" spans="1:18" x14ac:dyDescent="0.3">
      <c r="A93" s="89" t="s">
        <v>205</v>
      </c>
      <c r="B93" s="89" t="s">
        <v>72</v>
      </c>
      <c r="C93" s="89">
        <v>21</v>
      </c>
      <c r="M93" s="91">
        <v>91</v>
      </c>
      <c r="N93" s="92" t="s">
        <v>205</v>
      </c>
      <c r="O93" s="92" t="s">
        <v>14</v>
      </c>
      <c r="P93" s="91">
        <v>2</v>
      </c>
      <c r="Q93" s="92" t="str">
        <f>VLOOKUP(N93,Table6[],2,FALSE)</f>
        <v>Accessories</v>
      </c>
      <c r="R93" s="92">
        <f>VLOOKUP(N93,Table6[],3,FALSE)</f>
        <v>21</v>
      </c>
    </row>
    <row r="94" spans="1:18" x14ac:dyDescent="0.3">
      <c r="A94" s="89" t="s">
        <v>206</v>
      </c>
      <c r="B94" s="89" t="s">
        <v>72</v>
      </c>
      <c r="C94" s="89">
        <v>25</v>
      </c>
      <c r="M94" s="91">
        <v>92</v>
      </c>
      <c r="N94" s="92" t="s">
        <v>206</v>
      </c>
      <c r="O94" s="92" t="s">
        <v>15</v>
      </c>
      <c r="P94" s="91">
        <v>3</v>
      </c>
      <c r="Q94" s="92" t="str">
        <f>VLOOKUP(N94,Table6[],2,FALSE)</f>
        <v>Accessories</v>
      </c>
      <c r="R94" s="92">
        <f>VLOOKUP(N94,Table6[],3,FALSE)</f>
        <v>25</v>
      </c>
    </row>
    <row r="95" spans="1:18" x14ac:dyDescent="0.3">
      <c r="A95" s="89" t="s">
        <v>207</v>
      </c>
      <c r="B95" s="89" t="s">
        <v>72</v>
      </c>
      <c r="C95" s="89">
        <v>30</v>
      </c>
      <c r="M95" s="91">
        <v>93</v>
      </c>
      <c r="N95" s="92" t="s">
        <v>207</v>
      </c>
      <c r="O95" s="92" t="s">
        <v>14</v>
      </c>
      <c r="P95" s="91">
        <v>1</v>
      </c>
      <c r="Q95" s="92" t="str">
        <f>VLOOKUP(N95,Table6[],2,FALSE)</f>
        <v>Accessories</v>
      </c>
      <c r="R95" s="92">
        <f>VLOOKUP(N95,Table6[],3,FALSE)</f>
        <v>30</v>
      </c>
    </row>
    <row r="96" spans="1:18" x14ac:dyDescent="0.3">
      <c r="A96" s="89" t="s">
        <v>208</v>
      </c>
      <c r="B96" s="89" t="s">
        <v>72</v>
      </c>
      <c r="C96" s="89">
        <v>37</v>
      </c>
      <c r="M96" s="91">
        <v>94</v>
      </c>
      <c r="N96" s="92" t="s">
        <v>208</v>
      </c>
      <c r="O96" s="92" t="s">
        <v>15</v>
      </c>
      <c r="P96" s="91">
        <v>2</v>
      </c>
      <c r="Q96" s="92" t="str">
        <f>VLOOKUP(N96,Table6[],2,FALSE)</f>
        <v>Accessories</v>
      </c>
      <c r="R96" s="92">
        <f>VLOOKUP(N96,Table6[],3,FALSE)</f>
        <v>37</v>
      </c>
    </row>
    <row r="97" spans="1:18" x14ac:dyDescent="0.3">
      <c r="A97" s="89" t="s">
        <v>209</v>
      </c>
      <c r="B97" s="89" t="s">
        <v>72</v>
      </c>
      <c r="C97" s="89">
        <v>44</v>
      </c>
      <c r="M97" s="91">
        <v>95</v>
      </c>
      <c r="N97" s="92" t="s">
        <v>209</v>
      </c>
      <c r="O97" s="92" t="s">
        <v>14</v>
      </c>
      <c r="P97" s="91">
        <v>3</v>
      </c>
      <c r="Q97" s="92" t="str">
        <f>VLOOKUP(N97,Table6[],2,FALSE)</f>
        <v>Accessories</v>
      </c>
      <c r="R97" s="92">
        <f>VLOOKUP(N97,Table6[],3,FALSE)</f>
        <v>44</v>
      </c>
    </row>
    <row r="98" spans="1:18" x14ac:dyDescent="0.3">
      <c r="A98" s="89" t="s">
        <v>210</v>
      </c>
      <c r="B98" s="89" t="s">
        <v>71</v>
      </c>
      <c r="C98" s="89">
        <v>100</v>
      </c>
      <c r="M98" s="91">
        <v>96</v>
      </c>
      <c r="N98" s="92" t="s">
        <v>210</v>
      </c>
      <c r="O98" s="92" t="s">
        <v>15</v>
      </c>
      <c r="P98" s="91">
        <v>1</v>
      </c>
      <c r="Q98" s="92" t="str">
        <f>VLOOKUP(N98,Table6[],2,FALSE)</f>
        <v>Electronics</v>
      </c>
      <c r="R98" s="92">
        <f>VLOOKUP(N98,Table6[],3,FALSE)</f>
        <v>100</v>
      </c>
    </row>
    <row r="99" spans="1:18" x14ac:dyDescent="0.3">
      <c r="A99" s="89" t="s">
        <v>211</v>
      </c>
      <c r="B99" s="89" t="s">
        <v>71</v>
      </c>
      <c r="C99" s="89">
        <v>120</v>
      </c>
      <c r="M99" s="91">
        <v>97</v>
      </c>
      <c r="N99" s="92" t="s">
        <v>211</v>
      </c>
      <c r="O99" s="92" t="s">
        <v>14</v>
      </c>
      <c r="P99" s="91">
        <v>2</v>
      </c>
      <c r="Q99" s="92" t="str">
        <f>VLOOKUP(N99,Table6[],2,FALSE)</f>
        <v>Electronics</v>
      </c>
      <c r="R99" s="92">
        <f>VLOOKUP(N99,Table6[],3,FALSE)</f>
        <v>120</v>
      </c>
    </row>
    <row r="100" spans="1:18" x14ac:dyDescent="0.3">
      <c r="A100" s="89" t="s">
        <v>212</v>
      </c>
      <c r="B100" s="89" t="s">
        <v>71</v>
      </c>
      <c r="C100" s="89">
        <v>140</v>
      </c>
      <c r="M100" s="91">
        <v>98</v>
      </c>
      <c r="N100" s="92" t="s">
        <v>212</v>
      </c>
      <c r="O100" s="92" t="s">
        <v>15</v>
      </c>
      <c r="P100" s="91">
        <v>3</v>
      </c>
      <c r="Q100" s="92" t="str">
        <f>VLOOKUP(N100,Table6[],2,FALSE)</f>
        <v>Electronics</v>
      </c>
      <c r="R100" s="92">
        <f>VLOOKUP(N100,Table6[],3,FALSE)</f>
        <v>140</v>
      </c>
    </row>
    <row r="101" spans="1:18" x14ac:dyDescent="0.3">
      <c r="A101" s="89" t="s">
        <v>213</v>
      </c>
      <c r="B101" s="89" t="s">
        <v>71</v>
      </c>
      <c r="C101" s="89">
        <v>160</v>
      </c>
      <c r="M101" s="91">
        <v>99</v>
      </c>
      <c r="N101" s="92" t="s">
        <v>213</v>
      </c>
      <c r="O101" s="92" t="s">
        <v>14</v>
      </c>
      <c r="P101" s="91">
        <v>1</v>
      </c>
      <c r="Q101" s="92" t="str">
        <f>VLOOKUP(N101,Table6[],2,FALSE)</f>
        <v>Electronics</v>
      </c>
      <c r="R101" s="92">
        <f>VLOOKUP(N101,Table6[],3,FALSE)</f>
        <v>160</v>
      </c>
    </row>
    <row r="102" spans="1:18" x14ac:dyDescent="0.3">
      <c r="A102" s="89" t="s">
        <v>214</v>
      </c>
      <c r="B102" s="89" t="s">
        <v>71</v>
      </c>
      <c r="C102" s="89">
        <v>180</v>
      </c>
      <c r="M102" s="91">
        <v>100</v>
      </c>
      <c r="N102" s="92" t="s">
        <v>214</v>
      </c>
      <c r="O102" s="92" t="s">
        <v>15</v>
      </c>
      <c r="P102" s="91">
        <v>2</v>
      </c>
      <c r="Q102" s="92" t="str">
        <f>VLOOKUP(N102,Table6[],2,FALSE)</f>
        <v>Electronics</v>
      </c>
      <c r="R102" s="92">
        <f>VLOOKUP(N102,Table6[],3,FALSE)</f>
        <v>180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Task_1</vt:lpstr>
      <vt:lpstr>Task_2</vt:lpstr>
      <vt:lpstr>Task_3</vt:lpstr>
      <vt:lpstr>Task_4</vt:lpstr>
      <vt:lpstr>Management_report</vt:lpstr>
      <vt:lpstr>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datagordo@gmail.com</cp:lastModifiedBy>
  <dcterms:created xsi:type="dcterms:W3CDTF">2025-12-17T17:32:15Z</dcterms:created>
  <dcterms:modified xsi:type="dcterms:W3CDTF">2026-01-14T00:32:27Z</dcterms:modified>
</cp:coreProperties>
</file>